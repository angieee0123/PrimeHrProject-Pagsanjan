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2.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comments3.xml" ContentType="application/vnd.openxmlformats-officedocument.spreadsheetml.comments+xml"/>
  <Override PartName="/xl/drawings/drawing20.xml" ContentType="application/vnd.openxmlformats-officedocument.drawing+xml"/>
  <Override PartName="/xl/comments4.xml" ContentType="application/vnd.openxmlformats-officedocument.spreadsheetml.comments+xml"/>
  <Override PartName="/xl/drawings/drawing21.xml" ContentType="application/vnd.openxmlformats-officedocument.drawing+xml"/>
  <Override PartName="/xl/comments5.xml" ContentType="application/vnd.openxmlformats-officedocument.spreadsheetml.comments+xml"/>
  <Override PartName="/xl/drawings/drawing22.xml" ContentType="application/vnd.openxmlformats-officedocument.drawing+xml"/>
  <Override PartName="/xl/comments6.xml" ContentType="application/vnd.openxmlformats-officedocument.spreadsheetml.comments+xml"/>
  <Override PartName="/xl/drawings/drawing23.xml" ContentType="application/vnd.openxmlformats-officedocument.drawing+xml"/>
  <Override PartName="/xl/comments7.xml" ContentType="application/vnd.openxmlformats-officedocument.spreadsheetml.comments+xml"/>
  <Override PartName="/xl/drawings/drawing24.xml" ContentType="application/vnd.openxmlformats-officedocument.drawing+xml"/>
  <Override PartName="/xl/comments8.xml" ContentType="application/vnd.openxmlformats-officedocument.spreadsheetml.comments+xml"/>
  <Override PartName="/xl/drawings/drawing25.xml" ContentType="application/vnd.openxmlformats-officedocument.drawing+xml"/>
  <Override PartName="/xl/comments9.xml" ContentType="application/vnd.openxmlformats-officedocument.spreadsheetml.comments+xml"/>
  <Override PartName="/xl/drawings/drawing26.xml" ContentType="application/vnd.openxmlformats-officedocument.drawing+xml"/>
  <Override PartName="/xl/comments10.xml" ContentType="application/vnd.openxmlformats-officedocument.spreadsheetml.comments+xml"/>
  <Override PartName="/xl/drawings/drawing27.xml" ContentType="application/vnd.openxmlformats-officedocument.drawing+xml"/>
  <Override PartName="/xl/comments11.xml" ContentType="application/vnd.openxmlformats-officedocument.spreadsheetml.comments+xml"/>
  <Override PartName="/xl/drawings/drawing28.xml" ContentType="application/vnd.openxmlformats-officedocument.drawing+xml"/>
  <Override PartName="/xl/comments12.xml" ContentType="application/vnd.openxmlformats-officedocument.spreadsheetml.comments+xml"/>
  <Override PartName="/xl/drawings/drawing29.xml" ContentType="application/vnd.openxmlformats-officedocument.drawing+xml"/>
  <Override PartName="/xl/drawings/drawing30.xml" ContentType="application/vnd.openxmlformats-officedocument.drawing+xml"/>
  <Override PartName="/xl/comments13.xml" ContentType="application/vnd.openxmlformats-officedocument.spreadsheetml.comments+xml"/>
  <Override PartName="/xl/drawings/drawing31.xml" ContentType="application/vnd.openxmlformats-officedocument.drawing+xml"/>
  <Override PartName="/xl/comments14.xml" ContentType="application/vnd.openxmlformats-officedocument.spreadsheetml.comments+xml"/>
  <Override PartName="/xl/drawings/drawing32.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Users\stsim\Downloads\"/>
    </mc:Choice>
  </mc:AlternateContent>
  <xr:revisionPtr revIDLastSave="0" documentId="13_ncr:1_{27753167-D7AD-4C8F-B815-24AE745A6861}" xr6:coauthVersionLast="47" xr6:coauthVersionMax="47" xr10:uidLastSave="{00000000-0000-0000-0000-000000000000}"/>
  <bookViews>
    <workbookView xWindow="-16320" yWindow="-120" windowWidth="16440" windowHeight="29040" tabRatio="909" firstSheet="24" activeTab="32" xr2:uid="{00000000-000D-0000-FFFF-FFFF00000000}"/>
  </bookViews>
  <sheets>
    <sheet name="JO#1" sheetId="43" state="hidden" r:id="rId1"/>
    <sheet name="JOmto" sheetId="60" state="hidden" r:id="rId2"/>
    <sheet name="JO#02" sheetId="42" state="hidden" r:id="rId3"/>
    <sheet name="JO#LDRRM" sheetId="58" state="hidden" r:id="rId4"/>
    <sheet name="JO#5%DP" sheetId="40" state="hidden" r:id="rId5"/>
    <sheet name="JO#20%LDC" sheetId="44" state="hidden" r:id="rId6"/>
    <sheet name="JO#20%DF" sheetId="57" state="hidden" r:id="rId7"/>
    <sheet name="JO#MHO" sheetId="55" state="hidden" r:id="rId8"/>
    <sheet name="JO#SB" sheetId="59" state="hidden" r:id="rId9"/>
    <sheet name="Casual allow SB" sheetId="47" state="hidden" r:id="rId10"/>
    <sheet name="Casual allow" sheetId="45" state="hidden" r:id="rId11"/>
    <sheet name="CasualMHO1-15" sheetId="56" state="hidden" r:id="rId12"/>
    <sheet name="CasualMTO16-31" sheetId="61" state="hidden" r:id="rId13"/>
    <sheet name="CasualMHO16-31" sheetId="53" state="hidden" r:id="rId14"/>
    <sheet name="Casual 1-15 (SB)" sheetId="54" state="hidden" r:id="rId15"/>
    <sheet name="CasualSb16-31" sheetId="51" state="hidden" r:id="rId16"/>
    <sheet name="Casual 1-15" sheetId="15" state="hidden" r:id="rId17"/>
    <sheet name="Casual 16-31" sheetId="41" state="hidden" r:id="rId18"/>
    <sheet name="Reg1(1-15)" sheetId="88" r:id="rId19"/>
    <sheet name="Reg.2(1-15)" sheetId="78" r:id="rId20"/>
    <sheet name="Reg.3(1-15)" sheetId="79" r:id="rId21"/>
    <sheet name="Reg.4(1-15)" sheetId="95" r:id="rId22"/>
    <sheet name="SB(1-15)" sheetId="81" r:id="rId23"/>
    <sheet name="Reg1(16-31)" sheetId="4" r:id="rId24"/>
    <sheet name="RNEL115" sheetId="98" r:id="rId25"/>
    <sheet name="Reg2 (16-31)" sheetId="85" r:id="rId26"/>
    <sheet name="Reg3(16-31)" sheetId="2" r:id="rId27"/>
    <sheet name="Reg4(16-31)" sheetId="71" r:id="rId28"/>
    <sheet name="new hired co terminus" sheetId="83" state="hidden" r:id="rId29"/>
    <sheet name="SB (16-31)" sheetId="1" r:id="rId30"/>
    <sheet name="adjstmnt" sheetId="96" r:id="rId31"/>
    <sheet name="SBadjstmnt (2)" sheetId="97" r:id="rId32"/>
    <sheet name="Sheet1" sheetId="86" r:id="rId33"/>
    <sheet name="RECAP" sheetId="76" state="hidden" r:id="rId34"/>
    <sheet name="total2" sheetId="75" state="hidden" r:id="rId35"/>
  </sheets>
  <externalReferences>
    <externalReference r:id="rId36"/>
  </externalReferences>
  <definedNames>
    <definedName name="_xlnm.Print_Area" localSheetId="30">adjstmnt!$A$1:$AD$76</definedName>
    <definedName name="_xlnm.Print_Area" localSheetId="19">'Reg.2(1-15)'!$A$1:$AH$74</definedName>
    <definedName name="_xlnm.Print_Area" localSheetId="18">'Reg1(1-15)'!$A$1:$AG$78</definedName>
    <definedName name="_xlnm.Print_Area" localSheetId="23">'Reg1(16-31)'!$A$1:$AG$79</definedName>
    <definedName name="_xlnm.Print_Area" localSheetId="25">'Reg2 (16-31)'!$A$1:$AG$76</definedName>
    <definedName name="_xlnm.Print_Area" localSheetId="26">'Reg3(16-31)'!$A$1:$AH$83</definedName>
    <definedName name="_xlnm.Print_Area" localSheetId="24">RNEL115!$A$1:$AG$54</definedName>
    <definedName name="_xlnm.Print_Area" localSheetId="22">'SB(1-15)'!$A$1:$AI$63</definedName>
    <definedName name="_xlnm.Print_Area" localSheetId="31">'SBadjstmnt (2)'!$A$1:$AD$61</definedName>
    <definedName name="_xlnm.Print_Titles" localSheetId="16">'Casual 1-15'!$1:$10</definedName>
    <definedName name="_xlnm.Print_Titles" localSheetId="14">'Casual 1-15 (SB)'!$1:$10</definedName>
    <definedName name="_xlnm.Print_Titles" localSheetId="17">'Casual 16-31'!$1:$10</definedName>
    <definedName name="_xlnm.Print_Titles" localSheetId="10">'Casual allow'!$1:$10</definedName>
    <definedName name="_xlnm.Print_Titles" localSheetId="9">'Casual allow SB'!$1:$10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2" i="98" l="1"/>
  <c r="S12" i="98"/>
  <c r="R12" i="98"/>
  <c r="G12" i="98"/>
  <c r="W19" i="4"/>
  <c r="F35" i="98"/>
  <c r="AC34" i="98" l="1"/>
  <c r="AB34" i="98"/>
  <c r="AA34" i="98"/>
  <c r="Z34" i="98"/>
  <c r="Y34" i="98"/>
  <c r="V34" i="98"/>
  <c r="U34" i="98"/>
  <c r="T34" i="98"/>
  <c r="S34" i="98"/>
  <c r="R34" i="98"/>
  <c r="Q34" i="98"/>
  <c r="P34" i="98"/>
  <c r="O34" i="98"/>
  <c r="N34" i="98"/>
  <c r="M34" i="98"/>
  <c r="L34" i="98"/>
  <c r="K34" i="98"/>
  <c r="I34" i="98"/>
  <c r="H34" i="98"/>
  <c r="J34" i="98"/>
  <c r="AC13" i="98"/>
  <c r="AC35" i="98" s="1"/>
  <c r="AB13" i="98"/>
  <c r="AB35" i="98" s="1"/>
  <c r="AA13" i="98"/>
  <c r="AA35" i="98" s="1"/>
  <c r="Z13" i="98"/>
  <c r="Z35" i="98" s="1"/>
  <c r="Y13" i="98"/>
  <c r="Y35" i="98" s="1"/>
  <c r="V13" i="98"/>
  <c r="V35" i="98" s="1"/>
  <c r="U13" i="98"/>
  <c r="U35" i="98" s="1"/>
  <c r="T13" i="98"/>
  <c r="T35" i="98" s="1"/>
  <c r="S13" i="98"/>
  <c r="S35" i="98" s="1"/>
  <c r="R13" i="98"/>
  <c r="R35" i="98" s="1"/>
  <c r="Q13" i="98"/>
  <c r="Q35" i="98" s="1"/>
  <c r="P13" i="98"/>
  <c r="P35" i="98" s="1"/>
  <c r="O13" i="98"/>
  <c r="O35" i="98" s="1"/>
  <c r="N13" i="98"/>
  <c r="N35" i="98" s="1"/>
  <c r="M13" i="98"/>
  <c r="M35" i="98" s="1"/>
  <c r="L13" i="98"/>
  <c r="L35" i="98" s="1"/>
  <c r="K13" i="98"/>
  <c r="K35" i="98" s="1"/>
  <c r="J13" i="98"/>
  <c r="J35" i="98" s="1"/>
  <c r="I13" i="98"/>
  <c r="I35" i="98" s="1"/>
  <c r="H13" i="98"/>
  <c r="H35" i="98" s="1"/>
  <c r="F13" i="98"/>
  <c r="X12" i="98"/>
  <c r="X13" i="98" s="1"/>
  <c r="X35" i="98" s="1"/>
  <c r="W12" i="98"/>
  <c r="AC19" i="4"/>
  <c r="AB19" i="4"/>
  <c r="AA19" i="4"/>
  <c r="Z19" i="4"/>
  <c r="V19" i="4"/>
  <c r="U19" i="4"/>
  <c r="T19" i="4"/>
  <c r="S19" i="4"/>
  <c r="R19" i="4"/>
  <c r="Q19" i="4"/>
  <c r="P19" i="4"/>
  <c r="O19" i="4"/>
  <c r="N19" i="4"/>
  <c r="M19" i="4"/>
  <c r="L19" i="4"/>
  <c r="J19" i="4"/>
  <c r="I19" i="4"/>
  <c r="I34" i="81"/>
  <c r="H34" i="81"/>
  <c r="K37" i="4"/>
  <c r="P25" i="71"/>
  <c r="S25" i="95"/>
  <c r="F17" i="81"/>
  <c r="P52" i="71"/>
  <c r="X34" i="98" l="1"/>
  <c r="G13" i="98"/>
  <c r="G35" i="98" s="1"/>
  <c r="W13" i="98"/>
  <c r="W35" i="98" s="1"/>
  <c r="F34" i="98"/>
  <c r="AE30" i="78"/>
  <c r="AD13" i="88"/>
  <c r="X13" i="88"/>
  <c r="W13" i="88"/>
  <c r="AD13" i="1"/>
  <c r="W15" i="1"/>
  <c r="V15" i="1"/>
  <c r="W13" i="1"/>
  <c r="V13" i="1"/>
  <c r="G15" i="1"/>
  <c r="G13" i="1"/>
  <c r="AD14" i="1"/>
  <c r="AD15" i="1"/>
  <c r="AF13" i="81"/>
  <c r="AF15" i="81"/>
  <c r="AF17" i="81" s="1"/>
  <c r="G15" i="81"/>
  <c r="AF12" i="81"/>
  <c r="G13" i="81"/>
  <c r="Z13" i="81"/>
  <c r="Y13" i="81"/>
  <c r="Z15" i="81"/>
  <c r="Y15" i="81"/>
  <c r="I17" i="81"/>
  <c r="G17" i="81"/>
  <c r="AE17" i="81"/>
  <c r="AD17" i="81"/>
  <c r="AC17" i="81"/>
  <c r="AB17" i="81"/>
  <c r="AA17" i="81"/>
  <c r="W17" i="81"/>
  <c r="V17" i="81"/>
  <c r="U17" i="81"/>
  <c r="T17" i="81"/>
  <c r="S17" i="81"/>
  <c r="R17" i="81"/>
  <c r="Q17" i="81"/>
  <c r="P17" i="81"/>
  <c r="O17" i="81"/>
  <c r="N17" i="81"/>
  <c r="M17" i="81"/>
  <c r="L17" i="81"/>
  <c r="K17" i="81"/>
  <c r="J17" i="81"/>
  <c r="H17" i="81"/>
  <c r="Z38" i="97"/>
  <c r="Y38" i="97"/>
  <c r="X38" i="97"/>
  <c r="W38" i="97"/>
  <c r="T38" i="97"/>
  <c r="S38" i="97"/>
  <c r="R38" i="97"/>
  <c r="Q38" i="97"/>
  <c r="P38" i="97"/>
  <c r="O38" i="97"/>
  <c r="N38" i="97"/>
  <c r="M38" i="97"/>
  <c r="L38" i="97"/>
  <c r="J38" i="97"/>
  <c r="I38" i="97"/>
  <c r="H38" i="97"/>
  <c r="G38" i="97"/>
  <c r="AA37" i="97"/>
  <c r="Z37" i="97"/>
  <c r="Y37" i="97"/>
  <c r="X37" i="97"/>
  <c r="W37" i="97"/>
  <c r="V37" i="97"/>
  <c r="U37" i="97"/>
  <c r="T37" i="97"/>
  <c r="S37" i="97"/>
  <c r="R37" i="97"/>
  <c r="Q37" i="97"/>
  <c r="P37" i="97"/>
  <c r="O37" i="97"/>
  <c r="N37" i="97"/>
  <c r="M37" i="97"/>
  <c r="L37" i="97"/>
  <c r="K37" i="97"/>
  <c r="J37" i="97"/>
  <c r="I37" i="97"/>
  <c r="H37" i="97"/>
  <c r="G37" i="97"/>
  <c r="K12" i="97"/>
  <c r="K38" i="97" s="1"/>
  <c r="AA48" i="96"/>
  <c r="V48" i="96"/>
  <c r="V44" i="96"/>
  <c r="V41" i="96"/>
  <c r="V40" i="96"/>
  <c r="V37" i="96"/>
  <c r="V36" i="96"/>
  <c r="V35" i="96"/>
  <c r="V34" i="96"/>
  <c r="V30" i="96"/>
  <c r="V29" i="96"/>
  <c r="V28" i="96"/>
  <c r="V27" i="96"/>
  <c r="V23" i="96"/>
  <c r="V19" i="96"/>
  <c r="V16" i="96"/>
  <c r="V15" i="96"/>
  <c r="U15" i="96"/>
  <c r="V53" i="96"/>
  <c r="V52" i="96"/>
  <c r="K48" i="96"/>
  <c r="K44" i="96"/>
  <c r="K41" i="96"/>
  <c r="K40" i="96"/>
  <c r="K37" i="96"/>
  <c r="K36" i="96"/>
  <c r="K35" i="96"/>
  <c r="K34" i="96"/>
  <c r="K30" i="96"/>
  <c r="K29" i="96"/>
  <c r="K28" i="96"/>
  <c r="K27" i="96"/>
  <c r="K23" i="96"/>
  <c r="K19" i="96"/>
  <c r="K16" i="96"/>
  <c r="K15" i="96"/>
  <c r="V12" i="96"/>
  <c r="K12" i="96"/>
  <c r="G53" i="96"/>
  <c r="G52" i="96"/>
  <c r="X13" i="4"/>
  <c r="G34" i="98" l="1"/>
  <c r="AD34" i="98"/>
  <c r="W34" i="98"/>
  <c r="AD13" i="98"/>
  <c r="AD35" i="98" s="1"/>
  <c r="U12" i="97"/>
  <c r="AA12" i="97" s="1"/>
  <c r="V12" i="97"/>
  <c r="V38" i="97" s="1"/>
  <c r="G13" i="88"/>
  <c r="H13" i="4"/>
  <c r="AD13" i="4" s="1"/>
  <c r="J51" i="88"/>
  <c r="R39" i="4"/>
  <c r="Y52" i="96"/>
  <c r="Z53" i="96"/>
  <c r="Y53" i="96"/>
  <c r="X53" i="96"/>
  <c r="W53" i="96"/>
  <c r="T53" i="96"/>
  <c r="S53" i="96"/>
  <c r="R53" i="96"/>
  <c r="Q53" i="96"/>
  <c r="P53" i="96"/>
  <c r="O53" i="96"/>
  <c r="N53" i="96"/>
  <c r="M53" i="96"/>
  <c r="L53" i="96"/>
  <c r="J53" i="96"/>
  <c r="I53" i="96"/>
  <c r="H53" i="96"/>
  <c r="U48" i="96"/>
  <c r="U44" i="96"/>
  <c r="AA44" i="96" s="1"/>
  <c r="U41" i="96"/>
  <c r="U40" i="96"/>
  <c r="U37" i="96"/>
  <c r="AA37" i="96" s="1"/>
  <c r="U36" i="96"/>
  <c r="AA36" i="96" s="1"/>
  <c r="U35" i="96"/>
  <c r="U34" i="96"/>
  <c r="U30" i="96"/>
  <c r="U29" i="96"/>
  <c r="AA29" i="96" s="1"/>
  <c r="U28" i="96"/>
  <c r="U27" i="96"/>
  <c r="U23" i="96"/>
  <c r="U19" i="96"/>
  <c r="AA19" i="96" s="1"/>
  <c r="U16" i="96"/>
  <c r="AA16" i="96" s="1"/>
  <c r="AA15" i="96"/>
  <c r="U12" i="96"/>
  <c r="X52" i="96"/>
  <c r="T52" i="96"/>
  <c r="S52" i="96"/>
  <c r="R52" i="96"/>
  <c r="Q52" i="96"/>
  <c r="P52" i="96"/>
  <c r="O52" i="96"/>
  <c r="N52" i="96"/>
  <c r="M52" i="96"/>
  <c r="L52" i="96"/>
  <c r="K52" i="96"/>
  <c r="J52" i="96"/>
  <c r="I52" i="96"/>
  <c r="W52" i="96"/>
  <c r="Z52" i="96"/>
  <c r="U38" i="97" l="1"/>
  <c r="AA38" i="97"/>
  <c r="U53" i="96"/>
  <c r="AA12" i="96"/>
  <c r="K53" i="96"/>
  <c r="AA28" i="96"/>
  <c r="AA30" i="96"/>
  <c r="AA27" i="96"/>
  <c r="AA41" i="96"/>
  <c r="AA40" i="96"/>
  <c r="AA35" i="96"/>
  <c r="AA34" i="96"/>
  <c r="AA23" i="96"/>
  <c r="H52" i="96"/>
  <c r="AC19" i="88"/>
  <c r="AB19" i="88"/>
  <c r="AA19" i="88"/>
  <c r="Z19" i="88"/>
  <c r="Y19" i="88"/>
  <c r="V19" i="88"/>
  <c r="U19" i="88"/>
  <c r="T19" i="88"/>
  <c r="S19" i="88"/>
  <c r="R19" i="88"/>
  <c r="Q19" i="88"/>
  <c r="P19" i="88"/>
  <c r="O19" i="88"/>
  <c r="N19" i="88"/>
  <c r="M19" i="88"/>
  <c r="L19" i="88"/>
  <c r="K19" i="88"/>
  <c r="J19" i="88"/>
  <c r="I19" i="88"/>
  <c r="H19" i="88"/>
  <c r="AA53" i="96" l="1"/>
  <c r="U52" i="96"/>
  <c r="AA52" i="96"/>
  <c r="X18" i="88"/>
  <c r="W18" i="88"/>
  <c r="X17" i="88"/>
  <c r="W17" i="88"/>
  <c r="G17" i="88"/>
  <c r="G18" i="88"/>
  <c r="Z14" i="81"/>
  <c r="Y14" i="81"/>
  <c r="G14" i="81"/>
  <c r="AF14" i="81" s="1"/>
  <c r="V14" i="1"/>
  <c r="W14" i="1" s="1"/>
  <c r="G14" i="1"/>
  <c r="AD17" i="88" l="1"/>
  <c r="AD18" i="88"/>
  <c r="X14" i="4" l="1"/>
  <c r="H14" i="4"/>
  <c r="AD14" i="4" s="1"/>
  <c r="X18" i="4" l="1"/>
  <c r="Y18" i="4" s="1"/>
  <c r="H18" i="4"/>
  <c r="AD18" i="4" s="1"/>
  <c r="X17" i="4"/>
  <c r="Y17" i="4" s="1"/>
  <c r="H17" i="4" l="1"/>
  <c r="AD17" i="4" s="1"/>
  <c r="X24" i="4" l="1"/>
  <c r="H24" i="4"/>
  <c r="AD24" i="4" s="1"/>
  <c r="AD25" i="4" s="1"/>
  <c r="AC25" i="4"/>
  <c r="AB25" i="4"/>
  <c r="AA25" i="4"/>
  <c r="Z25" i="4"/>
  <c r="Y25" i="4"/>
  <c r="X25" i="4"/>
  <c r="W25" i="4"/>
  <c r="V25" i="4"/>
  <c r="U25" i="4"/>
  <c r="T25" i="4"/>
  <c r="S25" i="4"/>
  <c r="R25" i="4"/>
  <c r="Q25" i="4"/>
  <c r="P25" i="4"/>
  <c r="O25" i="4"/>
  <c r="N25" i="4"/>
  <c r="M25" i="4"/>
  <c r="L25" i="4"/>
  <c r="K25" i="4"/>
  <c r="J25" i="4"/>
  <c r="I25" i="4"/>
  <c r="H25" i="4"/>
  <c r="G25" i="4"/>
  <c r="O34" i="79" l="1"/>
  <c r="X14" i="88"/>
  <c r="W14" i="88"/>
  <c r="G14" i="88"/>
  <c r="AD14" i="88" s="1"/>
  <c r="F19" i="71"/>
  <c r="X56" i="4" l="1"/>
  <c r="T42" i="85" l="1"/>
  <c r="U42" i="85" s="1"/>
  <c r="T37" i="88"/>
  <c r="AC25" i="88" l="1"/>
  <c r="AB25" i="88"/>
  <c r="AA25" i="88"/>
  <c r="Z25" i="88"/>
  <c r="Y25" i="88"/>
  <c r="X25" i="88"/>
  <c r="W25" i="88"/>
  <c r="V25" i="88"/>
  <c r="U25" i="88"/>
  <c r="T25" i="88"/>
  <c r="S25" i="88"/>
  <c r="R25" i="88"/>
  <c r="Q25" i="88"/>
  <c r="P25" i="88"/>
  <c r="O25" i="88"/>
  <c r="N25" i="88"/>
  <c r="M25" i="88"/>
  <c r="L25" i="88"/>
  <c r="K25" i="88"/>
  <c r="J25" i="88"/>
  <c r="I25" i="88"/>
  <c r="G24" i="88"/>
  <c r="AD24" i="88" s="1"/>
  <c r="AD25" i="88" s="1"/>
  <c r="F25" i="88"/>
  <c r="G25" i="88" l="1"/>
  <c r="X12" i="4"/>
  <c r="H12" i="4"/>
  <c r="K45" i="78"/>
  <c r="AE34" i="81"/>
  <c r="AD34" i="81"/>
  <c r="AC34" i="81"/>
  <c r="AB34" i="81"/>
  <c r="AA34" i="81"/>
  <c r="X34" i="81"/>
  <c r="W34" i="81"/>
  <c r="V34" i="81"/>
  <c r="U34" i="81"/>
  <c r="T34" i="81"/>
  <c r="S34" i="81"/>
  <c r="R34" i="81"/>
  <c r="Q34" i="81"/>
  <c r="P34" i="81"/>
  <c r="O34" i="81"/>
  <c r="N34" i="81"/>
  <c r="M34" i="81"/>
  <c r="L34" i="81"/>
  <c r="K34" i="81"/>
  <c r="J34" i="81"/>
  <c r="AD12" i="4" l="1"/>
  <c r="R42" i="81"/>
  <c r="R44" i="81"/>
  <c r="Q42" i="1"/>
  <c r="Q34" i="1"/>
  <c r="Q44" i="1" l="1"/>
  <c r="P38" i="78"/>
  <c r="G12" i="88" l="1"/>
  <c r="X12" i="81"/>
  <c r="X17" i="81" s="1"/>
  <c r="X12" i="88" l="1"/>
  <c r="W12" i="88"/>
  <c r="AD12" i="88" s="1"/>
  <c r="V23" i="85"/>
  <c r="AB23" i="78"/>
  <c r="W20" i="78"/>
  <c r="V20" i="78"/>
  <c r="X60" i="95" l="1"/>
  <c r="X59" i="95"/>
  <c r="X58" i="95"/>
  <c r="X57" i="95"/>
  <c r="AA31" i="85"/>
  <c r="M26" i="85" l="1"/>
  <c r="I26" i="85"/>
  <c r="F41" i="1"/>
  <c r="F40" i="1"/>
  <c r="F39" i="1"/>
  <c r="F38" i="1"/>
  <c r="F37" i="1"/>
  <c r="F36" i="1"/>
  <c r="F33" i="1"/>
  <c r="F32" i="1"/>
  <c r="F31" i="1"/>
  <c r="F30" i="1"/>
  <c r="F29" i="1"/>
  <c r="F28" i="1"/>
  <c r="F27" i="1"/>
  <c r="F26" i="1"/>
  <c r="F25" i="1"/>
  <c r="F24" i="1"/>
  <c r="F23" i="1"/>
  <c r="F22" i="1"/>
  <c r="F21" i="1"/>
  <c r="F20" i="1"/>
  <c r="F19" i="1"/>
  <c r="F12" i="1"/>
  <c r="F60" i="71"/>
  <c r="F59" i="71"/>
  <c r="F58" i="71"/>
  <c r="F57" i="71"/>
  <c r="U57" i="71" s="1"/>
  <c r="F56" i="71"/>
  <c r="F55" i="71"/>
  <c r="F54" i="71"/>
  <c r="F53" i="71"/>
  <c r="F52" i="71"/>
  <c r="F51" i="71"/>
  <c r="F48" i="71"/>
  <c r="F47" i="71"/>
  <c r="F44" i="71"/>
  <c r="F43" i="71"/>
  <c r="F40" i="71"/>
  <c r="F39" i="71"/>
  <c r="F38" i="71"/>
  <c r="F36" i="71"/>
  <c r="F35" i="71"/>
  <c r="F34" i="71"/>
  <c r="F31" i="71"/>
  <c r="F30" i="71"/>
  <c r="F29" i="71"/>
  <c r="F28" i="71"/>
  <c r="F26" i="71"/>
  <c r="F25" i="71"/>
  <c r="F22" i="71"/>
  <c r="F18" i="71"/>
  <c r="U16" i="71"/>
  <c r="F15" i="71"/>
  <c r="F14" i="71"/>
  <c r="F13" i="71"/>
  <c r="F12" i="71"/>
  <c r="F64" i="2"/>
  <c r="G64" i="2" s="1"/>
  <c r="F63" i="2"/>
  <c r="G63" i="2" s="1"/>
  <c r="F62" i="2"/>
  <c r="G62" i="2" s="1"/>
  <c r="F61" i="2"/>
  <c r="G61" i="2" s="1"/>
  <c r="F60" i="2"/>
  <c r="G60" i="2" s="1"/>
  <c r="F59" i="2"/>
  <c r="G59" i="2" s="1"/>
  <c r="F58" i="2"/>
  <c r="G58" i="2" s="1"/>
  <c r="F55" i="2"/>
  <c r="F54" i="2"/>
  <c r="G54" i="2" s="1"/>
  <c r="F53" i="2"/>
  <c r="G53" i="2" s="1"/>
  <c r="G52" i="2"/>
  <c r="G51" i="2"/>
  <c r="F50" i="2"/>
  <c r="G50" i="2" s="1"/>
  <c r="F49" i="2"/>
  <c r="G49" i="2" s="1"/>
  <c r="G48" i="2"/>
  <c r="F47" i="2"/>
  <c r="G47" i="2" s="1"/>
  <c r="F46" i="2"/>
  <c r="G46" i="2" s="1"/>
  <c r="F45" i="2"/>
  <c r="G45" i="2" s="1"/>
  <c r="F44" i="2"/>
  <c r="G44" i="2" s="1"/>
  <c r="F43" i="2"/>
  <c r="G42" i="2"/>
  <c r="F39" i="2"/>
  <c r="G39" i="2" s="1"/>
  <c r="F36" i="2"/>
  <c r="G36" i="2" s="1"/>
  <c r="G33" i="2"/>
  <c r="F32" i="2"/>
  <c r="G32" i="2" s="1"/>
  <c r="G31" i="2"/>
  <c r="F30" i="2"/>
  <c r="G30" i="2" s="1"/>
  <c r="G29" i="2"/>
  <c r="G28" i="2"/>
  <c r="F27" i="2"/>
  <c r="G27" i="2" s="1"/>
  <c r="F26" i="2"/>
  <c r="G26" i="2" s="1"/>
  <c r="F25" i="2"/>
  <c r="G25" i="2" s="1"/>
  <c r="F24" i="2"/>
  <c r="G24" i="2" s="1"/>
  <c r="F23" i="2"/>
  <c r="G23" i="2" s="1"/>
  <c r="F22" i="2"/>
  <c r="G22" i="2" s="1"/>
  <c r="F21" i="2"/>
  <c r="G21" i="2" s="1"/>
  <c r="F20" i="2"/>
  <c r="G20" i="2" s="1"/>
  <c r="G19" i="2"/>
  <c r="F18" i="2"/>
  <c r="G18" i="2" s="1"/>
  <c r="F17" i="2"/>
  <c r="G17" i="2" s="1"/>
  <c r="F51" i="85"/>
  <c r="F48" i="85"/>
  <c r="F47" i="85"/>
  <c r="F44" i="85"/>
  <c r="F40" i="85"/>
  <c r="F39" i="85"/>
  <c r="F37" i="85"/>
  <c r="F33" i="85"/>
  <c r="F31" i="85"/>
  <c r="F29" i="85"/>
  <c r="F25" i="85"/>
  <c r="F24" i="85"/>
  <c r="F23" i="85"/>
  <c r="F22" i="85"/>
  <c r="F21" i="85"/>
  <c r="F20" i="85"/>
  <c r="F19" i="85"/>
  <c r="F17" i="85"/>
  <c r="F15" i="85"/>
  <c r="F14" i="85"/>
  <c r="F12" i="85"/>
  <c r="G57" i="4"/>
  <c r="G55" i="4"/>
  <c r="G53" i="4"/>
  <c r="G52" i="4"/>
  <c r="G51" i="4"/>
  <c r="G48" i="4"/>
  <c r="G47" i="4"/>
  <c r="G46" i="4"/>
  <c r="G45" i="4"/>
  <c r="G44" i="4"/>
  <c r="G43" i="4"/>
  <c r="G40" i="4"/>
  <c r="G39" i="4"/>
  <c r="G34" i="4"/>
  <c r="G33" i="4"/>
  <c r="G27" i="4"/>
  <c r="G21" i="4"/>
  <c r="H21" i="4" s="1"/>
  <c r="G16" i="4"/>
  <c r="G19" i="4" s="1"/>
  <c r="V12" i="1" l="1"/>
  <c r="W12" i="1" s="1"/>
  <c r="F17" i="1"/>
  <c r="V16" i="71"/>
  <c r="G57" i="71"/>
  <c r="AA57" i="71" s="1"/>
  <c r="F61" i="71"/>
  <c r="V57" i="71"/>
  <c r="X54" i="95"/>
  <c r="U34" i="79"/>
  <c r="T65" i="2"/>
  <c r="N38" i="95" l="1"/>
  <c r="AB22" i="95" l="1"/>
  <c r="T42" i="81"/>
  <c r="U42" i="81"/>
  <c r="V42" i="81"/>
  <c r="W23" i="95"/>
  <c r="U68" i="79"/>
  <c r="W17" i="78"/>
  <c r="T53" i="78" l="1"/>
  <c r="U53" i="78"/>
  <c r="T45" i="78"/>
  <c r="U45" i="78"/>
  <c r="F41" i="81"/>
  <c r="F40" i="81"/>
  <c r="F39" i="81"/>
  <c r="F38" i="81"/>
  <c r="F37" i="81"/>
  <c r="F36" i="81"/>
  <c r="F33" i="81"/>
  <c r="F32" i="81"/>
  <c r="F31" i="81"/>
  <c r="F30" i="81"/>
  <c r="F29" i="81"/>
  <c r="F28" i="81"/>
  <c r="F27" i="81"/>
  <c r="F26" i="81"/>
  <c r="F25" i="81"/>
  <c r="F24" i="81"/>
  <c r="F23" i="81"/>
  <c r="F22" i="81"/>
  <c r="F21" i="81"/>
  <c r="F20" i="81"/>
  <c r="F19" i="81"/>
  <c r="F60" i="95"/>
  <c r="F59" i="95"/>
  <c r="F58" i="95"/>
  <c r="F57" i="95"/>
  <c r="F56" i="95"/>
  <c r="F55" i="95"/>
  <c r="F54" i="95"/>
  <c r="F53" i="95"/>
  <c r="F52" i="95"/>
  <c r="F51" i="95"/>
  <c r="F48" i="95"/>
  <c r="F47" i="95"/>
  <c r="F44" i="95"/>
  <c r="F43" i="95"/>
  <c r="F40" i="95"/>
  <c r="F39" i="95"/>
  <c r="F38" i="95"/>
  <c r="F36" i="95"/>
  <c r="F35" i="95"/>
  <c r="F34" i="95"/>
  <c r="F31" i="95"/>
  <c r="F30" i="95"/>
  <c r="F29" i="95"/>
  <c r="F28" i="95"/>
  <c r="F26" i="95"/>
  <c r="F25" i="95"/>
  <c r="F22" i="95"/>
  <c r="F18" i="95"/>
  <c r="F15" i="95"/>
  <c r="F14" i="95"/>
  <c r="F13" i="95"/>
  <c r="F12" i="95"/>
  <c r="F67" i="79"/>
  <c r="F66" i="79"/>
  <c r="F65" i="79"/>
  <c r="F64" i="79"/>
  <c r="F63" i="79"/>
  <c r="F62" i="79"/>
  <c r="F61" i="79"/>
  <c r="F55" i="79"/>
  <c r="G55" i="2" s="1"/>
  <c r="F54" i="79"/>
  <c r="F53" i="79"/>
  <c r="Z53" i="79" s="1"/>
  <c r="F50" i="79"/>
  <c r="F49" i="79"/>
  <c r="F47" i="79"/>
  <c r="F46" i="79"/>
  <c r="F45" i="79"/>
  <c r="F44" i="79"/>
  <c r="F43" i="79"/>
  <c r="G43" i="2" s="1"/>
  <c r="F39" i="79"/>
  <c r="F36" i="79"/>
  <c r="F32" i="79"/>
  <c r="F30" i="79"/>
  <c r="F27" i="79"/>
  <c r="F26" i="79"/>
  <c r="F25" i="79"/>
  <c r="F24" i="79"/>
  <c r="F23" i="79"/>
  <c r="F22" i="79"/>
  <c r="F21" i="79"/>
  <c r="F20" i="79"/>
  <c r="F18" i="79"/>
  <c r="F17" i="79"/>
  <c r="F16" i="79"/>
  <c r="F15" i="79"/>
  <c r="F13" i="79"/>
  <c r="F12" i="79"/>
  <c r="F51" i="78"/>
  <c r="F48" i="78"/>
  <c r="F47" i="78"/>
  <c r="F44" i="78"/>
  <c r="F40" i="78"/>
  <c r="F39" i="78"/>
  <c r="F37" i="78"/>
  <c r="F33" i="78"/>
  <c r="F31" i="78"/>
  <c r="F29" i="78"/>
  <c r="F25" i="78"/>
  <c r="F24" i="78"/>
  <c r="F23" i="78"/>
  <c r="F22" i="78"/>
  <c r="F21" i="78"/>
  <c r="F20" i="78"/>
  <c r="F19" i="78"/>
  <c r="F17" i="78"/>
  <c r="F15" i="78"/>
  <c r="F14" i="78"/>
  <c r="F12" i="78"/>
  <c r="F57" i="88"/>
  <c r="F55" i="88"/>
  <c r="F53" i="88"/>
  <c r="F52" i="88"/>
  <c r="F51" i="88"/>
  <c r="F48" i="88"/>
  <c r="F47" i="88"/>
  <c r="F46" i="88"/>
  <c r="F45" i="88"/>
  <c r="F44" i="88"/>
  <c r="F43" i="88"/>
  <c r="F40" i="88"/>
  <c r="F39" i="88"/>
  <c r="F34" i="88"/>
  <c r="F33" i="88"/>
  <c r="F27" i="88"/>
  <c r="F21" i="88"/>
  <c r="F16" i="88"/>
  <c r="F19" i="88" s="1"/>
  <c r="F42" i="81" l="1"/>
  <c r="F14" i="2"/>
  <c r="G14" i="2" s="1"/>
  <c r="F16" i="2"/>
  <c r="G16" i="2" s="1"/>
  <c r="F15" i="2"/>
  <c r="G15" i="2" s="1"/>
  <c r="F12" i="2"/>
  <c r="G12" i="2" s="1"/>
  <c r="F13" i="2"/>
  <c r="G13" i="2" s="1"/>
  <c r="F34" i="81"/>
  <c r="G57" i="95"/>
  <c r="Y57" i="95"/>
  <c r="Z57" i="95"/>
  <c r="P17" i="1"/>
  <c r="F44" i="81" l="1"/>
  <c r="AF57" i="95"/>
  <c r="N34" i="2"/>
  <c r="F34" i="2"/>
  <c r="O34" i="2"/>
  <c r="L37" i="2"/>
  <c r="L34" i="2"/>
  <c r="G40" i="85" l="1"/>
  <c r="T40" i="85"/>
  <c r="U40" i="85" s="1"/>
  <c r="M34" i="2"/>
  <c r="F23" i="95"/>
  <c r="F41" i="88"/>
  <c r="F31" i="88"/>
  <c r="AC41" i="88"/>
  <c r="AB41" i="88"/>
  <c r="AA41" i="88"/>
  <c r="Z41" i="88"/>
  <c r="Y41" i="88"/>
  <c r="V41" i="88"/>
  <c r="U41" i="88"/>
  <c r="T41" i="88"/>
  <c r="S41" i="88"/>
  <c r="R41" i="88"/>
  <c r="Q41" i="88"/>
  <c r="P41" i="88"/>
  <c r="O41" i="88"/>
  <c r="N41" i="88"/>
  <c r="M41" i="88"/>
  <c r="L41" i="88"/>
  <c r="K41" i="88"/>
  <c r="J41" i="88"/>
  <c r="I41" i="88"/>
  <c r="H41" i="88"/>
  <c r="AC31" i="88"/>
  <c r="AB31" i="88"/>
  <c r="AA31" i="88"/>
  <c r="Z31" i="88"/>
  <c r="Y31" i="88"/>
  <c r="V31" i="88"/>
  <c r="T31" i="88"/>
  <c r="S31" i="88"/>
  <c r="R31" i="88"/>
  <c r="Q31" i="88"/>
  <c r="P31" i="88"/>
  <c r="O31" i="88"/>
  <c r="N31" i="88"/>
  <c r="M31" i="88"/>
  <c r="L31" i="88"/>
  <c r="K31" i="88"/>
  <c r="J31" i="88"/>
  <c r="I31" i="88"/>
  <c r="H31" i="88"/>
  <c r="AD40" i="85" l="1"/>
  <c r="F53" i="78" l="1"/>
  <c r="Z23" i="81" l="1"/>
  <c r="Y23" i="81"/>
  <c r="G25" i="81"/>
  <c r="AF25" i="81" s="1"/>
  <c r="G23" i="81"/>
  <c r="AF23" i="81" l="1"/>
  <c r="V16" i="1"/>
  <c r="G16" i="71"/>
  <c r="AA16" i="71" s="1"/>
  <c r="AK21" i="4" l="1"/>
  <c r="S31" i="4"/>
  <c r="P31" i="4"/>
  <c r="K31" i="4"/>
  <c r="AC41" i="4"/>
  <c r="AB41" i="4"/>
  <c r="AA41" i="4"/>
  <c r="Z41" i="4"/>
  <c r="W41" i="4"/>
  <c r="V41" i="4"/>
  <c r="U41" i="4"/>
  <c r="T41" i="4"/>
  <c r="S41" i="4"/>
  <c r="R41" i="4"/>
  <c r="Q41" i="4"/>
  <c r="P41" i="4"/>
  <c r="O41" i="4"/>
  <c r="N41" i="4"/>
  <c r="M41" i="4"/>
  <c r="L41" i="4"/>
  <c r="K41" i="4"/>
  <c r="J41" i="4"/>
  <c r="I41" i="4"/>
  <c r="G41" i="4"/>
  <c r="AC31" i="4" l="1"/>
  <c r="AB31" i="4"/>
  <c r="AA31" i="4"/>
  <c r="Z31" i="4"/>
  <c r="W31" i="4"/>
  <c r="V31" i="4"/>
  <c r="U31" i="4"/>
  <c r="T31" i="4"/>
  <c r="R31" i="4"/>
  <c r="Q31" i="4"/>
  <c r="O31" i="4"/>
  <c r="N31" i="4"/>
  <c r="M31" i="4"/>
  <c r="L31" i="4"/>
  <c r="J31" i="4"/>
  <c r="I31" i="4"/>
  <c r="G31" i="4"/>
  <c r="M42" i="1"/>
  <c r="AC34" i="1"/>
  <c r="AB34" i="1"/>
  <c r="AA34" i="1"/>
  <c r="Z34" i="1"/>
  <c r="Y34" i="1"/>
  <c r="X34" i="1"/>
  <c r="T34" i="1"/>
  <c r="S34" i="1"/>
  <c r="R34" i="1"/>
  <c r="P34" i="1"/>
  <c r="O34" i="1"/>
  <c r="N34" i="1"/>
  <c r="M34" i="1"/>
  <c r="L34" i="1"/>
  <c r="K34" i="1"/>
  <c r="J34" i="1"/>
  <c r="I34" i="1"/>
  <c r="H34" i="1"/>
  <c r="F34" i="1"/>
  <c r="AC17" i="1"/>
  <c r="AB17" i="1"/>
  <c r="AA17" i="1"/>
  <c r="Z17" i="1"/>
  <c r="Y17" i="1"/>
  <c r="X17" i="1"/>
  <c r="V17" i="1"/>
  <c r="U17" i="1"/>
  <c r="T17" i="1"/>
  <c r="S17" i="1"/>
  <c r="R17" i="1"/>
  <c r="O17" i="1"/>
  <c r="N17" i="1"/>
  <c r="M17" i="1"/>
  <c r="L17" i="1"/>
  <c r="K17" i="1"/>
  <c r="J17" i="1"/>
  <c r="I17" i="1"/>
  <c r="H17" i="1"/>
  <c r="V20" i="1"/>
  <c r="W20" i="1" s="1"/>
  <c r="V23" i="1"/>
  <c r="G25" i="1"/>
  <c r="AD25" i="1" s="1"/>
  <c r="G23" i="1"/>
  <c r="G20" i="1"/>
  <c r="G12" i="1"/>
  <c r="AD12" i="1" s="1"/>
  <c r="AD23" i="1" l="1"/>
  <c r="W23" i="1"/>
  <c r="AD20" i="1"/>
  <c r="Z20" i="81" l="1"/>
  <c r="Y20" i="81"/>
  <c r="G20" i="81"/>
  <c r="AF20" i="81" l="1"/>
  <c r="P37" i="71"/>
  <c r="I46" i="88" l="1"/>
  <c r="Y45" i="85" l="1"/>
  <c r="G39" i="88" l="1"/>
  <c r="W39" i="88"/>
  <c r="X39" i="88"/>
  <c r="N23" i="95"/>
  <c r="AD39" i="88" l="1"/>
  <c r="AA58" i="88"/>
  <c r="H61" i="95" l="1"/>
  <c r="I61" i="95"/>
  <c r="J61" i="95"/>
  <c r="K61" i="95"/>
  <c r="L61" i="95"/>
  <c r="M61" i="95"/>
  <c r="H23" i="95"/>
  <c r="I23" i="95"/>
  <c r="J23" i="95"/>
  <c r="K23" i="95"/>
  <c r="L23" i="95"/>
  <c r="M23" i="95"/>
  <c r="M62" i="95" l="1"/>
  <c r="X45" i="85"/>
  <c r="AA61" i="79"/>
  <c r="I58" i="4" l="1"/>
  <c r="J58" i="4"/>
  <c r="J37" i="4"/>
  <c r="I37" i="4"/>
  <c r="H65" i="2"/>
  <c r="I65" i="2"/>
  <c r="J65" i="2"/>
  <c r="K65" i="2"/>
  <c r="H56" i="2"/>
  <c r="I56" i="2"/>
  <c r="J56" i="2"/>
  <c r="K56" i="2"/>
  <c r="M45" i="85"/>
  <c r="K66" i="2" l="1"/>
  <c r="J59" i="4"/>
  <c r="I59" i="4"/>
  <c r="J66" i="2"/>
  <c r="Z42" i="1"/>
  <c r="AA42" i="1"/>
  <c r="I45" i="85" l="1"/>
  <c r="P61" i="95" l="1"/>
  <c r="O39" i="85"/>
  <c r="X26" i="85"/>
  <c r="W61" i="95"/>
  <c r="Z60" i="95"/>
  <c r="Y60" i="95"/>
  <c r="Y59" i="95"/>
  <c r="Z59" i="95"/>
  <c r="Z58" i="95"/>
  <c r="Y58" i="95"/>
  <c r="Z56" i="95"/>
  <c r="Y56" i="95"/>
  <c r="AE61" i="95"/>
  <c r="AD61" i="95"/>
  <c r="AC61" i="95"/>
  <c r="AB61" i="95"/>
  <c r="AA61" i="95"/>
  <c r="V61" i="95"/>
  <c r="U61" i="95"/>
  <c r="T61" i="95"/>
  <c r="S61" i="95"/>
  <c r="R61" i="95"/>
  <c r="Q61" i="95"/>
  <c r="O61" i="95"/>
  <c r="N61" i="95"/>
  <c r="F61" i="95"/>
  <c r="G56" i="95"/>
  <c r="G58" i="95"/>
  <c r="G59" i="95"/>
  <c r="G60" i="95"/>
  <c r="AF58" i="95" l="1"/>
  <c r="AF60" i="95"/>
  <c r="AF56" i="95"/>
  <c r="AF59" i="95"/>
  <c r="L48" i="71" l="1"/>
  <c r="Z48" i="71"/>
  <c r="H48" i="85" l="1"/>
  <c r="Z26" i="85" l="1"/>
  <c r="W18" i="78"/>
  <c r="T23" i="71" l="1"/>
  <c r="T32" i="71"/>
  <c r="Q61" i="71"/>
  <c r="Z61" i="71" l="1"/>
  <c r="Y61" i="71"/>
  <c r="X61" i="71"/>
  <c r="W61" i="71"/>
  <c r="T61" i="71"/>
  <c r="S61" i="71"/>
  <c r="R61" i="71"/>
  <c r="P61" i="71"/>
  <c r="O61" i="71"/>
  <c r="N61" i="71"/>
  <c r="M61" i="71"/>
  <c r="L61" i="71"/>
  <c r="K61" i="71"/>
  <c r="J61" i="71"/>
  <c r="I61" i="71"/>
  <c r="H61" i="71"/>
  <c r="U60" i="71"/>
  <c r="V60" i="71" s="1"/>
  <c r="U59" i="71"/>
  <c r="V59" i="71" s="1"/>
  <c r="U58" i="71"/>
  <c r="V58" i="71" s="1"/>
  <c r="U56" i="71"/>
  <c r="V56" i="71" s="1"/>
  <c r="G56" i="71"/>
  <c r="G58" i="71"/>
  <c r="G59" i="71"/>
  <c r="G60" i="71"/>
  <c r="AA56" i="71" l="1"/>
  <c r="AA60" i="71"/>
  <c r="AA59" i="71"/>
  <c r="AA58" i="71"/>
  <c r="U18" i="85"/>
  <c r="F26" i="85"/>
  <c r="T18" i="85"/>
  <c r="S26" i="78" l="1"/>
  <c r="U34" i="1"/>
  <c r="N41" i="71" l="1"/>
  <c r="F41" i="71"/>
  <c r="F26" i="78"/>
  <c r="Z22" i="95"/>
  <c r="Y22" i="95"/>
  <c r="AE23" i="95"/>
  <c r="AD23" i="95"/>
  <c r="AC23" i="95"/>
  <c r="AB23" i="95"/>
  <c r="AA23" i="95"/>
  <c r="V23" i="95"/>
  <c r="U23" i="95"/>
  <c r="T23" i="95"/>
  <c r="S23" i="95"/>
  <c r="R23" i="95"/>
  <c r="Q23" i="95"/>
  <c r="P23" i="95"/>
  <c r="O23" i="95"/>
  <c r="U12" i="71" l="1"/>
  <c r="F58" i="88"/>
  <c r="K58" i="4"/>
  <c r="H51" i="4"/>
  <c r="X51" i="4"/>
  <c r="AC58" i="4"/>
  <c r="AB58" i="4"/>
  <c r="AA58" i="4"/>
  <c r="V58" i="4"/>
  <c r="U58" i="4"/>
  <c r="T58" i="4"/>
  <c r="S58" i="4"/>
  <c r="R58" i="4"/>
  <c r="Q58" i="4"/>
  <c r="P58" i="4"/>
  <c r="O58" i="4"/>
  <c r="N58" i="4"/>
  <c r="M58" i="4"/>
  <c r="L58" i="4"/>
  <c r="G58" i="4"/>
  <c r="AD51" i="4" l="1"/>
  <c r="Y51" i="4"/>
  <c r="G51" i="88" l="1"/>
  <c r="X51" i="88"/>
  <c r="W51" i="88"/>
  <c r="H58" i="88"/>
  <c r="H59" i="88" s="1"/>
  <c r="I58" i="88"/>
  <c r="J58" i="88"/>
  <c r="K58" i="88"/>
  <c r="L58" i="88"/>
  <c r="M58" i="88"/>
  <c r="N58" i="88"/>
  <c r="O58" i="88"/>
  <c r="P58" i="88"/>
  <c r="Q58" i="88"/>
  <c r="R58" i="88"/>
  <c r="S58" i="88"/>
  <c r="T58" i="88"/>
  <c r="V58" i="88"/>
  <c r="Y58" i="88"/>
  <c r="Z58" i="88"/>
  <c r="AB58" i="88"/>
  <c r="AC58" i="88"/>
  <c r="AD51" i="88" l="1"/>
  <c r="Y18" i="78"/>
  <c r="X18" i="78"/>
  <c r="G22" i="95" l="1"/>
  <c r="AF22" i="95" s="1"/>
  <c r="G25" i="78"/>
  <c r="X25" i="78"/>
  <c r="Y25" i="78"/>
  <c r="AD26" i="78"/>
  <c r="AC26" i="78"/>
  <c r="AB26" i="78"/>
  <c r="AA26" i="78"/>
  <c r="Z26" i="78"/>
  <c r="U26" i="78"/>
  <c r="T26" i="78"/>
  <c r="R26" i="78"/>
  <c r="Q26" i="78"/>
  <c r="P26" i="78"/>
  <c r="O26" i="78"/>
  <c r="N26" i="78"/>
  <c r="M26" i="78"/>
  <c r="L26" i="78"/>
  <c r="K26" i="78"/>
  <c r="J26" i="78"/>
  <c r="I26" i="78"/>
  <c r="H26" i="78"/>
  <c r="G30" i="88"/>
  <c r="AD30" i="88" s="1"/>
  <c r="W30" i="88"/>
  <c r="X30" i="88"/>
  <c r="U54" i="71"/>
  <c r="AE25" i="78" l="1"/>
  <c r="Q65" i="2"/>
  <c r="M56" i="2"/>
  <c r="F23" i="71"/>
  <c r="F41" i="95" l="1"/>
  <c r="G40" i="95"/>
  <c r="Z40" i="95"/>
  <c r="Y40" i="95"/>
  <c r="AF40" i="95" s="1"/>
  <c r="AE41" i="95"/>
  <c r="AD41" i="95"/>
  <c r="AC41" i="95"/>
  <c r="AB41" i="95"/>
  <c r="AA41" i="95"/>
  <c r="W41" i="95"/>
  <c r="V41" i="95"/>
  <c r="U41" i="95"/>
  <c r="T41" i="95"/>
  <c r="S41" i="95"/>
  <c r="R41" i="95"/>
  <c r="Q41" i="95"/>
  <c r="P41" i="95"/>
  <c r="O41" i="95"/>
  <c r="N41" i="95"/>
  <c r="L41" i="95"/>
  <c r="K41" i="95"/>
  <c r="J41" i="95"/>
  <c r="I41" i="95"/>
  <c r="H41" i="95"/>
  <c r="Z55" i="95"/>
  <c r="Y55" i="95"/>
  <c r="G55" i="95"/>
  <c r="Z54" i="95"/>
  <c r="Y54" i="95"/>
  <c r="G54" i="95"/>
  <c r="Z53" i="95"/>
  <c r="Y53" i="95"/>
  <c r="G53" i="95"/>
  <c r="Z52" i="95"/>
  <c r="Y52" i="95"/>
  <c r="G52" i="95"/>
  <c r="Z51" i="95"/>
  <c r="Y51" i="95"/>
  <c r="G51" i="95"/>
  <c r="AE49" i="95"/>
  <c r="AD49" i="95"/>
  <c r="AC49" i="95"/>
  <c r="AB49" i="95"/>
  <c r="AA49" i="95"/>
  <c r="X49" i="95"/>
  <c r="W49" i="95"/>
  <c r="V49" i="95"/>
  <c r="U49" i="95"/>
  <c r="S49" i="95"/>
  <c r="R49" i="95"/>
  <c r="Q49" i="95"/>
  <c r="P49" i="95"/>
  <c r="O49" i="95"/>
  <c r="N49" i="95"/>
  <c r="L49" i="95"/>
  <c r="K49" i="95"/>
  <c r="J49" i="95"/>
  <c r="I49" i="95"/>
  <c r="H49" i="95"/>
  <c r="F49" i="95"/>
  <c r="Z48" i="95"/>
  <c r="Y48" i="95"/>
  <c r="G48" i="95"/>
  <c r="Z47" i="95"/>
  <c r="Y47" i="95"/>
  <c r="G47" i="95"/>
  <c r="AE45" i="95"/>
  <c r="AD45" i="95"/>
  <c r="AC45" i="95"/>
  <c r="AB45" i="95"/>
  <c r="AA45" i="95"/>
  <c r="W45" i="95"/>
  <c r="V45" i="95"/>
  <c r="U45" i="95"/>
  <c r="T45" i="95"/>
  <c r="S45" i="95"/>
  <c r="R45" i="95"/>
  <c r="Q45" i="95"/>
  <c r="P45" i="95"/>
  <c r="O45" i="95"/>
  <c r="N45" i="95"/>
  <c r="L45" i="95"/>
  <c r="K45" i="95"/>
  <c r="J45" i="95"/>
  <c r="I45" i="95"/>
  <c r="H45" i="95"/>
  <c r="F45" i="95"/>
  <c r="Z44" i="95"/>
  <c r="Y44" i="95"/>
  <c r="G44" i="95"/>
  <c r="Z43" i="95"/>
  <c r="Y43" i="95"/>
  <c r="G43" i="95"/>
  <c r="Z39" i="95"/>
  <c r="Y39" i="95"/>
  <c r="G39" i="95"/>
  <c r="Z38" i="95"/>
  <c r="Y38" i="95"/>
  <c r="G38" i="95"/>
  <c r="Z37" i="95"/>
  <c r="Y37" i="95"/>
  <c r="G37" i="95"/>
  <c r="Z36" i="95"/>
  <c r="Y36" i="95"/>
  <c r="G36" i="95"/>
  <c r="Z35" i="95"/>
  <c r="Y35" i="95"/>
  <c r="G35" i="95"/>
  <c r="Z34" i="95"/>
  <c r="Y34" i="95"/>
  <c r="G34" i="95"/>
  <c r="AF33" i="95"/>
  <c r="AE32" i="95"/>
  <c r="AD32" i="95"/>
  <c r="AC32" i="95"/>
  <c r="AB32" i="95"/>
  <c r="AA32" i="95"/>
  <c r="W32" i="95"/>
  <c r="V32" i="95"/>
  <c r="U32" i="95"/>
  <c r="T32" i="95"/>
  <c r="S32" i="95"/>
  <c r="R32" i="95"/>
  <c r="Q32" i="95"/>
  <c r="P32" i="95"/>
  <c r="O32" i="95"/>
  <c r="N32" i="95"/>
  <c r="L32" i="95"/>
  <c r="K32" i="95"/>
  <c r="J32" i="95"/>
  <c r="I32" i="95"/>
  <c r="H32" i="95"/>
  <c r="F32" i="95"/>
  <c r="Z31" i="95"/>
  <c r="Y31" i="95"/>
  <c r="G31" i="95"/>
  <c r="Z30" i="95"/>
  <c r="Y30" i="95"/>
  <c r="G30" i="95"/>
  <c r="Z29" i="95"/>
  <c r="Y29" i="95"/>
  <c r="G29" i="95"/>
  <c r="Z28" i="95"/>
  <c r="Y28" i="95"/>
  <c r="G28" i="95"/>
  <c r="Z27" i="95"/>
  <c r="Y27" i="95"/>
  <c r="G27" i="95"/>
  <c r="Z26" i="95"/>
  <c r="Y26" i="95"/>
  <c r="G26" i="95"/>
  <c r="Z25" i="95"/>
  <c r="Y25" i="95"/>
  <c r="G25" i="95"/>
  <c r="Z21" i="95"/>
  <c r="Y21" i="95"/>
  <c r="G21" i="95"/>
  <c r="Z20" i="95"/>
  <c r="Y20" i="95"/>
  <c r="G20" i="95"/>
  <c r="Z19" i="95"/>
  <c r="Y19" i="95"/>
  <c r="G19" i="95"/>
  <c r="Z18" i="95"/>
  <c r="Y18" i="95"/>
  <c r="G18" i="95"/>
  <c r="Z16" i="95"/>
  <c r="Y16" i="95"/>
  <c r="G16" i="95"/>
  <c r="Z17" i="95"/>
  <c r="Y17" i="95"/>
  <c r="G17" i="95"/>
  <c r="Z15" i="95"/>
  <c r="Y15" i="95"/>
  <c r="G15" i="95"/>
  <c r="Z14" i="95"/>
  <c r="Y14" i="95"/>
  <c r="G14" i="95"/>
  <c r="Z13" i="95"/>
  <c r="Y13" i="95"/>
  <c r="G13" i="95"/>
  <c r="Z12" i="95"/>
  <c r="Y12" i="95"/>
  <c r="G12" i="95"/>
  <c r="AF13" i="95" l="1"/>
  <c r="AF28" i="95"/>
  <c r="Z61" i="95"/>
  <c r="H62" i="95"/>
  <c r="I62" i="95"/>
  <c r="J62" i="95"/>
  <c r="K62" i="95"/>
  <c r="AF38" i="95"/>
  <c r="AF44" i="95"/>
  <c r="L62" i="95"/>
  <c r="AF26" i="95"/>
  <c r="AF51" i="95"/>
  <c r="AF25" i="95"/>
  <c r="AF20" i="95"/>
  <c r="G61" i="95"/>
  <c r="X61" i="95"/>
  <c r="Y61" i="95"/>
  <c r="AF21" i="95"/>
  <c r="AF53" i="95"/>
  <c r="X41" i="95"/>
  <c r="Y23" i="95"/>
  <c r="Y41" i="95"/>
  <c r="G23" i="95"/>
  <c r="Z23" i="95"/>
  <c r="Z41" i="95"/>
  <c r="AF27" i="95"/>
  <c r="X23" i="95"/>
  <c r="AF17" i="95"/>
  <c r="AF14" i="95"/>
  <c r="AF36" i="95"/>
  <c r="AF18" i="95"/>
  <c r="AF19" i="95"/>
  <c r="G41" i="95"/>
  <c r="Y45" i="95"/>
  <c r="AF54" i="95"/>
  <c r="AF29" i="95"/>
  <c r="AF37" i="95"/>
  <c r="S62" i="95"/>
  <c r="AF30" i="95"/>
  <c r="Z45" i="95"/>
  <c r="AF35" i="95"/>
  <c r="AF31" i="95"/>
  <c r="AF47" i="95"/>
  <c r="AF52" i="95"/>
  <c r="AF55" i="95"/>
  <c r="F62" i="95"/>
  <c r="U62" i="95"/>
  <c r="Y32" i="95"/>
  <c r="V62" i="95"/>
  <c r="AF15" i="95"/>
  <c r="Z32" i="95"/>
  <c r="W62" i="95"/>
  <c r="AA62" i="95"/>
  <c r="X32" i="95"/>
  <c r="Y49" i="95"/>
  <c r="AB62" i="95"/>
  <c r="Z49" i="95"/>
  <c r="N62" i="95"/>
  <c r="AF34" i="95"/>
  <c r="AF39" i="95"/>
  <c r="AF48" i="95"/>
  <c r="AC62" i="95"/>
  <c r="AF16" i="95"/>
  <c r="AF43" i="95"/>
  <c r="AD62" i="95"/>
  <c r="X45" i="95"/>
  <c r="R62" i="95"/>
  <c r="AE62" i="95"/>
  <c r="T62" i="95"/>
  <c r="Q62" i="95"/>
  <c r="P62" i="95"/>
  <c r="O62" i="95"/>
  <c r="G32" i="95"/>
  <c r="G49" i="95"/>
  <c r="G45" i="95"/>
  <c r="AF12" i="95"/>
  <c r="AF45" i="95" l="1"/>
  <c r="AF23" i="95"/>
  <c r="AF61" i="95"/>
  <c r="AF41" i="95"/>
  <c r="AF32" i="95"/>
  <c r="Y62" i="95"/>
  <c r="X62" i="95"/>
  <c r="AF49" i="95"/>
  <c r="G62" i="95"/>
  <c r="Z62" i="95"/>
  <c r="AF62" i="95" l="1"/>
  <c r="O49" i="4" l="1"/>
  <c r="Z23" i="71"/>
  <c r="W23" i="71"/>
  <c r="X23" i="71"/>
  <c r="Y23" i="71"/>
  <c r="H23" i="71"/>
  <c r="I23" i="71"/>
  <c r="J23" i="71"/>
  <c r="K23" i="71"/>
  <c r="L23" i="71"/>
  <c r="M23" i="71"/>
  <c r="N23" i="71"/>
  <c r="O23" i="71"/>
  <c r="P23" i="71"/>
  <c r="Q23" i="71"/>
  <c r="R23" i="71"/>
  <c r="S23" i="71"/>
  <c r="T25" i="85"/>
  <c r="U25" i="85" s="1"/>
  <c r="G25" i="85"/>
  <c r="AC26" i="85"/>
  <c r="AB26" i="85"/>
  <c r="Y26" i="85"/>
  <c r="W26" i="85"/>
  <c r="V26" i="85"/>
  <c r="R26" i="85"/>
  <c r="Q26" i="85"/>
  <c r="P26" i="85"/>
  <c r="O26" i="85"/>
  <c r="N26" i="85"/>
  <c r="L26" i="85"/>
  <c r="K26" i="85"/>
  <c r="J26" i="85"/>
  <c r="H26" i="85"/>
  <c r="G24" i="85"/>
  <c r="T24" i="85"/>
  <c r="G40" i="71"/>
  <c r="U40" i="71"/>
  <c r="V40" i="71" s="1"/>
  <c r="Y41" i="71"/>
  <c r="X41" i="71"/>
  <c r="W41" i="71"/>
  <c r="T41" i="71"/>
  <c r="S41" i="71"/>
  <c r="R41" i="71"/>
  <c r="Q41" i="71"/>
  <c r="P41" i="71"/>
  <c r="O41" i="71"/>
  <c r="M41" i="71"/>
  <c r="L41" i="71"/>
  <c r="K41" i="71"/>
  <c r="J41" i="71"/>
  <c r="I41" i="71"/>
  <c r="H41" i="71"/>
  <c r="U22" i="71"/>
  <c r="V22" i="71" s="1"/>
  <c r="G22" i="71"/>
  <c r="X30" i="4"/>
  <c r="Y30" i="4" s="1"/>
  <c r="H30" i="4"/>
  <c r="AD30" i="4" s="1"/>
  <c r="Y24" i="78"/>
  <c r="X24" i="78"/>
  <c r="G24" i="78"/>
  <c r="AA40" i="71" l="1"/>
  <c r="AA22" i="71"/>
  <c r="AE24" i="78"/>
  <c r="AD25" i="85"/>
  <c r="AD24" i="85"/>
  <c r="U24" i="85"/>
  <c r="G37" i="85" l="1"/>
  <c r="T37" i="85"/>
  <c r="U37" i="85" s="1"/>
  <c r="G37" i="78"/>
  <c r="X37" i="78"/>
  <c r="Y37" i="78"/>
  <c r="U31" i="71"/>
  <c r="U30" i="71"/>
  <c r="U29" i="71"/>
  <c r="AE37" i="78" l="1"/>
  <c r="AD37" i="85"/>
  <c r="X58" i="2"/>
  <c r="AE58" i="2" s="1"/>
  <c r="V26" i="78"/>
  <c r="W58" i="4" l="1"/>
  <c r="S26" i="85"/>
  <c r="G17" i="71" l="1"/>
  <c r="L42" i="1"/>
  <c r="V39" i="1" l="1"/>
  <c r="W39" i="1" s="1"/>
  <c r="V38" i="1"/>
  <c r="W38" i="1" s="1"/>
  <c r="G39" i="1"/>
  <c r="AD39" i="1" s="1"/>
  <c r="G38" i="1"/>
  <c r="AD38" i="1" l="1"/>
  <c r="Y58" i="2"/>
  <c r="X59" i="2"/>
  <c r="Y59" i="2" s="1"/>
  <c r="W49" i="4"/>
  <c r="AC61" i="2"/>
  <c r="K16" i="4" l="1"/>
  <c r="K19" i="4" s="1"/>
  <c r="Q34" i="79"/>
  <c r="V29" i="71"/>
  <c r="Q32" i="71"/>
  <c r="K32" i="71"/>
  <c r="J32" i="71"/>
  <c r="O32" i="71"/>
  <c r="G33" i="1" l="1"/>
  <c r="V33" i="1"/>
  <c r="W33" i="1" s="1"/>
  <c r="G33" i="81"/>
  <c r="Y33" i="81"/>
  <c r="Z33" i="81"/>
  <c r="AD33" i="1" l="1"/>
  <c r="AF33" i="81"/>
  <c r="Z31" i="81"/>
  <c r="Y31" i="81"/>
  <c r="G31" i="81"/>
  <c r="AK14" i="78"/>
  <c r="V31" i="71"/>
  <c r="V30" i="71"/>
  <c r="AF31" i="81" l="1"/>
  <c r="Z45" i="85"/>
  <c r="V31" i="1" l="1"/>
  <c r="W31" i="1" s="1"/>
  <c r="G31" i="1"/>
  <c r="AD31" i="1" l="1"/>
  <c r="H57" i="4"/>
  <c r="H56" i="4"/>
  <c r="H55" i="4"/>
  <c r="H54" i="4"/>
  <c r="H53" i="4"/>
  <c r="H52" i="4"/>
  <c r="H48" i="4"/>
  <c r="H47" i="4"/>
  <c r="H46" i="4"/>
  <c r="H45" i="4"/>
  <c r="H44" i="4"/>
  <c r="H43" i="4"/>
  <c r="H40" i="4"/>
  <c r="H39" i="4"/>
  <c r="H36" i="4"/>
  <c r="H35" i="4"/>
  <c r="H34" i="4"/>
  <c r="H33" i="4"/>
  <c r="H29" i="4"/>
  <c r="H28" i="4"/>
  <c r="H27" i="4"/>
  <c r="H15" i="4"/>
  <c r="H16" i="4"/>
  <c r="H19" i="4" l="1"/>
  <c r="H41" i="4"/>
  <c r="H49" i="4"/>
  <c r="H31" i="4"/>
  <c r="H58" i="4"/>
  <c r="AB53" i="78"/>
  <c r="U51" i="71" l="1"/>
  <c r="W16" i="78" l="1"/>
  <c r="U58" i="88"/>
  <c r="U31" i="88" l="1"/>
  <c r="W26" i="78"/>
  <c r="AC22" i="88"/>
  <c r="AB22" i="88"/>
  <c r="AA22" i="88"/>
  <c r="Z22" i="88"/>
  <c r="Y22" i="88"/>
  <c r="V22" i="88"/>
  <c r="U22" i="88"/>
  <c r="T22" i="88"/>
  <c r="S22" i="88"/>
  <c r="R22" i="88"/>
  <c r="Q22" i="88"/>
  <c r="P22" i="88"/>
  <c r="O22" i="88"/>
  <c r="N22" i="88"/>
  <c r="M22" i="88"/>
  <c r="L22" i="88"/>
  <c r="K22" i="88"/>
  <c r="J22" i="88"/>
  <c r="I22" i="88"/>
  <c r="F22" i="88"/>
  <c r="I32" i="71" l="1"/>
  <c r="I62" i="71" s="1"/>
  <c r="AC22" i="4" l="1"/>
  <c r="AB22" i="4"/>
  <c r="AA22" i="4"/>
  <c r="Z22" i="4"/>
  <c r="W22" i="4"/>
  <c r="V22" i="4"/>
  <c r="U22" i="4"/>
  <c r="T22" i="4"/>
  <c r="S22" i="4"/>
  <c r="R22" i="4"/>
  <c r="Q22" i="4"/>
  <c r="P22" i="4"/>
  <c r="O22" i="4"/>
  <c r="N22" i="4"/>
  <c r="M22" i="4"/>
  <c r="L22" i="4"/>
  <c r="K22" i="4"/>
  <c r="H22" i="4"/>
  <c r="G22" i="4"/>
  <c r="X21" i="4"/>
  <c r="Y21" i="4" l="1"/>
  <c r="Y22" i="4" s="1"/>
  <c r="AD21" i="4"/>
  <c r="AD22" i="4" s="1"/>
  <c r="X22" i="4"/>
  <c r="P45" i="78"/>
  <c r="AC49" i="4"/>
  <c r="AB49" i="4"/>
  <c r="AA49" i="4"/>
  <c r="Z49" i="4"/>
  <c r="V49" i="4"/>
  <c r="U49" i="4"/>
  <c r="T49" i="4"/>
  <c r="S49" i="4"/>
  <c r="R49" i="4"/>
  <c r="Q49" i="4"/>
  <c r="P49" i="4"/>
  <c r="N49" i="4"/>
  <c r="M49" i="4"/>
  <c r="L49" i="4"/>
  <c r="K49" i="4"/>
  <c r="G49" i="4"/>
  <c r="K68" i="79" l="1"/>
  <c r="H56" i="79"/>
  <c r="I56" i="79"/>
  <c r="J56" i="79"/>
  <c r="H68" i="79" l="1"/>
  <c r="I68" i="79"/>
  <c r="J68" i="79"/>
  <c r="V30" i="1" l="1"/>
  <c r="G30" i="81"/>
  <c r="Y30" i="81"/>
  <c r="Z30" i="81"/>
  <c r="Z62" i="79"/>
  <c r="Y62" i="79"/>
  <c r="Z61" i="79"/>
  <c r="Y61" i="79"/>
  <c r="G62" i="79"/>
  <c r="G61" i="79"/>
  <c r="AF62" i="79" l="1"/>
  <c r="AF61" i="79"/>
  <c r="AF30" i="81"/>
  <c r="AA56" i="2" l="1"/>
  <c r="AB56" i="2"/>
  <c r="AA40" i="2"/>
  <c r="AB40" i="2"/>
  <c r="AA65" i="2"/>
  <c r="AB65" i="2"/>
  <c r="AA34" i="2"/>
  <c r="AB34" i="2"/>
  <c r="AE59" i="2" l="1"/>
  <c r="T15" i="85"/>
  <c r="G30" i="1" l="1"/>
  <c r="AD30" i="1" s="1"/>
  <c r="G67" i="79"/>
  <c r="Y67" i="79"/>
  <c r="Z67" i="79"/>
  <c r="AE68" i="79"/>
  <c r="AD68" i="79"/>
  <c r="AC68" i="79"/>
  <c r="AB68" i="79"/>
  <c r="AA68" i="79"/>
  <c r="X68" i="79"/>
  <c r="W68" i="79"/>
  <c r="V68" i="79"/>
  <c r="T68" i="79"/>
  <c r="S68" i="79"/>
  <c r="R68" i="79"/>
  <c r="Q68" i="79"/>
  <c r="P68" i="79"/>
  <c r="O68" i="79"/>
  <c r="N68" i="79"/>
  <c r="M68" i="79"/>
  <c r="L68" i="79"/>
  <c r="F68" i="79"/>
  <c r="W30" i="1" l="1"/>
  <c r="AF67" i="79"/>
  <c r="S65" i="2" l="1"/>
  <c r="H32" i="71"/>
  <c r="N65" i="2"/>
  <c r="M65" i="2"/>
  <c r="L65" i="2"/>
  <c r="F65" i="2"/>
  <c r="AD65" i="2"/>
  <c r="AC65" i="2"/>
  <c r="Z65" i="2"/>
  <c r="W65" i="2"/>
  <c r="V65" i="2"/>
  <c r="U65" i="2"/>
  <c r="R65" i="2"/>
  <c r="P65" i="2"/>
  <c r="O65" i="2"/>
  <c r="X64" i="2"/>
  <c r="Y64" i="2" s="1"/>
  <c r="AE64" i="2" l="1"/>
  <c r="O37" i="4"/>
  <c r="O59" i="4" s="1"/>
  <c r="F32" i="71" l="1"/>
  <c r="N32" i="71" l="1"/>
  <c r="Z32" i="71"/>
  <c r="Y32" i="71"/>
  <c r="X32" i="71"/>
  <c r="W32" i="71"/>
  <c r="S32" i="71"/>
  <c r="R32" i="71"/>
  <c r="P32" i="71"/>
  <c r="M32" i="71"/>
  <c r="L32" i="71"/>
  <c r="G31" i="71"/>
  <c r="AA31" i="71" s="1"/>
  <c r="G30" i="71"/>
  <c r="AA30" i="71" s="1"/>
  <c r="G29" i="71"/>
  <c r="AA29" i="71" s="1"/>
  <c r="U26" i="71"/>
  <c r="V26" i="71" s="1"/>
  <c r="G26" i="71"/>
  <c r="AA26" i="71" l="1"/>
  <c r="AC45" i="2"/>
  <c r="W34" i="88" l="1"/>
  <c r="G34" i="88"/>
  <c r="AD34" i="88" s="1"/>
  <c r="X34" i="88"/>
  <c r="X34" i="4"/>
  <c r="O56" i="2"/>
  <c r="Y34" i="4" l="1"/>
  <c r="AD34" i="4"/>
  <c r="F45" i="78"/>
  <c r="W36" i="79"/>
  <c r="F34" i="79" l="1"/>
  <c r="U49" i="88" l="1"/>
  <c r="Z55" i="4" l="1"/>
  <c r="Z58" i="4" s="1"/>
  <c r="P37" i="88" l="1"/>
  <c r="W55" i="88"/>
  <c r="Z24" i="79"/>
  <c r="Y24" i="79"/>
  <c r="G24" i="79"/>
  <c r="Y44" i="78"/>
  <c r="X44" i="78"/>
  <c r="AD45" i="78"/>
  <c r="AC45" i="78"/>
  <c r="AB45" i="78"/>
  <c r="AA45" i="78"/>
  <c r="Z45" i="78"/>
  <c r="W45" i="78"/>
  <c r="V45" i="78"/>
  <c r="S45" i="78"/>
  <c r="R45" i="78"/>
  <c r="Q45" i="78"/>
  <c r="O45" i="78"/>
  <c r="N45" i="78"/>
  <c r="M45" i="78"/>
  <c r="L45" i="78"/>
  <c r="J45" i="78"/>
  <c r="I45" i="78"/>
  <c r="H45" i="78"/>
  <c r="G44" i="78"/>
  <c r="G19" i="78"/>
  <c r="X19" i="78"/>
  <c r="Y19" i="78"/>
  <c r="X47" i="78"/>
  <c r="T47" i="85"/>
  <c r="AE19" i="78" l="1"/>
  <c r="AF24" i="79"/>
  <c r="AE44" i="78"/>
  <c r="T44" i="85"/>
  <c r="U44" i="85" s="1"/>
  <c r="G44" i="85"/>
  <c r="AC45" i="85"/>
  <c r="AB45" i="85"/>
  <c r="W45" i="85"/>
  <c r="V45" i="85"/>
  <c r="S45" i="85"/>
  <c r="R45" i="85"/>
  <c r="Q45" i="85"/>
  <c r="P45" i="85"/>
  <c r="O45" i="85"/>
  <c r="L45" i="85"/>
  <c r="K45" i="85"/>
  <c r="J45" i="85"/>
  <c r="H45" i="85"/>
  <c r="W34" i="2"/>
  <c r="X24" i="2"/>
  <c r="Y24" i="2" s="1"/>
  <c r="AD44" i="85" l="1"/>
  <c r="AE24" i="2"/>
  <c r="T48" i="85"/>
  <c r="T19" i="85"/>
  <c r="U19" i="85" s="1"/>
  <c r="G19" i="85"/>
  <c r="AD19" i="85" l="1"/>
  <c r="X44" i="4"/>
  <c r="X44" i="88"/>
  <c r="W44" i="88"/>
  <c r="G44" i="88"/>
  <c r="G23" i="85"/>
  <c r="T23" i="85"/>
  <c r="X57" i="4"/>
  <c r="AD57" i="4" s="1"/>
  <c r="X57" i="88"/>
  <c r="W57" i="88"/>
  <c r="G57" i="88"/>
  <c r="Y40" i="81"/>
  <c r="G23" i="78"/>
  <c r="X23" i="78"/>
  <c r="Y23" i="78"/>
  <c r="X21" i="78"/>
  <c r="AD44" i="88" l="1"/>
  <c r="AD57" i="88"/>
  <c r="AE23" i="78"/>
  <c r="AD23" i="85"/>
  <c r="Y57" i="4"/>
  <c r="AD44" i="4"/>
  <c r="Y44" i="4"/>
  <c r="U23" i="85"/>
  <c r="G51" i="85" l="1"/>
  <c r="T51" i="85"/>
  <c r="U51" i="85" s="1"/>
  <c r="AA53" i="78"/>
  <c r="G51" i="78"/>
  <c r="X51" i="78"/>
  <c r="Y51" i="78"/>
  <c r="AD51" i="85" l="1"/>
  <c r="AE51" i="78"/>
  <c r="X53" i="4"/>
  <c r="AD53" i="4" s="1"/>
  <c r="X53" i="88"/>
  <c r="W53" i="88"/>
  <c r="G53" i="88"/>
  <c r="AD53" i="88" s="1"/>
  <c r="Y53" i="4" l="1"/>
  <c r="X61" i="2"/>
  <c r="AE61" i="2" s="1"/>
  <c r="W56" i="79" l="1"/>
  <c r="O42" i="1" l="1"/>
  <c r="H42" i="1" l="1"/>
  <c r="H44" i="1" l="1"/>
  <c r="AA45" i="85"/>
  <c r="X52" i="2"/>
  <c r="Y52" i="2" s="1"/>
  <c r="X48" i="2"/>
  <c r="Y48" i="2" s="1"/>
  <c r="X43" i="78"/>
  <c r="Y43" i="78"/>
  <c r="Y42" i="78"/>
  <c r="X42" i="78"/>
  <c r="AE52" i="2" l="1"/>
  <c r="AE48" i="2"/>
  <c r="Z52" i="79"/>
  <c r="Y52" i="79"/>
  <c r="G52" i="79"/>
  <c r="G48" i="79"/>
  <c r="Y48" i="79"/>
  <c r="Z48" i="79"/>
  <c r="AF52" i="79" l="1"/>
  <c r="AF48" i="79"/>
  <c r="Z26" i="81" l="1"/>
  <c r="Y26" i="81"/>
  <c r="G26" i="81"/>
  <c r="Z45" i="79"/>
  <c r="Y45" i="79"/>
  <c r="G51" i="79"/>
  <c r="Y51" i="79"/>
  <c r="Z51" i="79"/>
  <c r="Z29" i="79"/>
  <c r="Y29" i="79"/>
  <c r="G33" i="79"/>
  <c r="Y33" i="79"/>
  <c r="Z33" i="79"/>
  <c r="G29" i="79"/>
  <c r="G28" i="79"/>
  <c r="Y28" i="79"/>
  <c r="Z28" i="79"/>
  <c r="AE34" i="79"/>
  <c r="AD34" i="79"/>
  <c r="AC34" i="79"/>
  <c r="AB34" i="79"/>
  <c r="AA34" i="79"/>
  <c r="X34" i="79"/>
  <c r="W34" i="79"/>
  <c r="T34" i="79"/>
  <c r="S34" i="79"/>
  <c r="R34" i="79"/>
  <c r="P34" i="79"/>
  <c r="N34" i="79"/>
  <c r="M34" i="79"/>
  <c r="L34" i="79"/>
  <c r="K34" i="79"/>
  <c r="J34" i="79"/>
  <c r="I34" i="79"/>
  <c r="H34" i="79"/>
  <c r="Y36" i="78"/>
  <c r="X36" i="78"/>
  <c r="G36" i="78"/>
  <c r="G43" i="78"/>
  <c r="AE43" i="78" s="1"/>
  <c r="G42" i="78"/>
  <c r="AE42" i="78" s="1"/>
  <c r="G41" i="78"/>
  <c r="X41" i="78"/>
  <c r="Y41" i="78"/>
  <c r="X56" i="88"/>
  <c r="W56" i="88"/>
  <c r="G56" i="88"/>
  <c r="AD56" i="88" l="1"/>
  <c r="AF51" i="79"/>
  <c r="AE41" i="78"/>
  <c r="AE36" i="78"/>
  <c r="AF33" i="79"/>
  <c r="AF28" i="79"/>
  <c r="AF26" i="81"/>
  <c r="AF29" i="79"/>
  <c r="AD34" i="2"/>
  <c r="AC34" i="2"/>
  <c r="Z34" i="2"/>
  <c r="V34" i="2"/>
  <c r="U34" i="2"/>
  <c r="S34" i="2"/>
  <c r="R34" i="2"/>
  <c r="Q34" i="2"/>
  <c r="P34" i="2"/>
  <c r="I34" i="2"/>
  <c r="H34" i="2"/>
  <c r="P53" i="85" l="1"/>
  <c r="V26" i="1" l="1"/>
  <c r="W26" i="1" s="1"/>
  <c r="G26" i="1"/>
  <c r="AD26" i="1" l="1"/>
  <c r="T43" i="85"/>
  <c r="G43" i="85"/>
  <c r="Z49" i="71"/>
  <c r="Y49" i="71"/>
  <c r="X49" i="71"/>
  <c r="W49" i="71"/>
  <c r="T49" i="71"/>
  <c r="S49" i="71"/>
  <c r="R49" i="71"/>
  <c r="Q49" i="71"/>
  <c r="P49" i="71"/>
  <c r="O49" i="71"/>
  <c r="N49" i="71"/>
  <c r="M49" i="71"/>
  <c r="L49" i="71"/>
  <c r="K49" i="71"/>
  <c r="J49" i="71"/>
  <c r="H49" i="71"/>
  <c r="F49" i="71"/>
  <c r="U48" i="71"/>
  <c r="V48" i="71" s="1"/>
  <c r="G48" i="71"/>
  <c r="T36" i="85"/>
  <c r="U36" i="85" s="1"/>
  <c r="G36" i="85"/>
  <c r="T41" i="85"/>
  <c r="U41" i="85" s="1"/>
  <c r="G41" i="85"/>
  <c r="V27" i="1"/>
  <c r="W27" i="1" s="1"/>
  <c r="G27" i="1"/>
  <c r="AD41" i="85" l="1"/>
  <c r="AD43" i="85"/>
  <c r="AD36" i="85"/>
  <c r="AA48" i="71"/>
  <c r="AD27" i="1"/>
  <c r="U43" i="85"/>
  <c r="U27" i="71"/>
  <c r="V27" i="71" s="1"/>
  <c r="G27" i="71"/>
  <c r="X31" i="2"/>
  <c r="Y31" i="2" l="1"/>
  <c r="AE31" i="2"/>
  <c r="Y56" i="4"/>
  <c r="AD56" i="4"/>
  <c r="AA27" i="71"/>
  <c r="X51" i="2"/>
  <c r="Y51" i="2" s="1"/>
  <c r="F56" i="2"/>
  <c r="AC56" i="2"/>
  <c r="AD56" i="2"/>
  <c r="Z56" i="2"/>
  <c r="V56" i="2"/>
  <c r="U56" i="2"/>
  <c r="T56" i="2"/>
  <c r="Q56" i="2"/>
  <c r="P56" i="2"/>
  <c r="N56" i="2"/>
  <c r="L56" i="2"/>
  <c r="AE51" i="2" l="1"/>
  <c r="G42" i="85"/>
  <c r="AD42" i="85" l="1"/>
  <c r="X33" i="2"/>
  <c r="Y33" i="2" s="1"/>
  <c r="AE33" i="2" l="1"/>
  <c r="X29" i="2"/>
  <c r="Y29" i="2" s="1"/>
  <c r="X28" i="2"/>
  <c r="Y28" i="2" s="1"/>
  <c r="AE29" i="2" l="1"/>
  <c r="AE28" i="2"/>
  <c r="G31" i="79" l="1"/>
  <c r="Y31" i="79"/>
  <c r="Z31" i="79"/>
  <c r="AF31" i="79" l="1"/>
  <c r="W53" i="78" l="1"/>
  <c r="W55" i="78" s="1"/>
  <c r="AC49" i="88" l="1"/>
  <c r="Y49" i="88"/>
  <c r="J49" i="88"/>
  <c r="F49" i="88"/>
  <c r="X43" i="4" l="1"/>
  <c r="AD43" i="4" s="1"/>
  <c r="X43" i="88"/>
  <c r="W43" i="88"/>
  <c r="AB49" i="88"/>
  <c r="AA49" i="88"/>
  <c r="Z49" i="88"/>
  <c r="V49" i="88"/>
  <c r="S49" i="88"/>
  <c r="R49" i="88"/>
  <c r="Q49" i="88"/>
  <c r="P49" i="88"/>
  <c r="P59" i="88" s="1"/>
  <c r="O49" i="88"/>
  <c r="N49" i="88"/>
  <c r="M49" i="88"/>
  <c r="L49" i="88"/>
  <c r="K49" i="88"/>
  <c r="I49" i="88"/>
  <c r="G43" i="88"/>
  <c r="AD43" i="88" l="1"/>
  <c r="Y43" i="4"/>
  <c r="G27" i="81" l="1"/>
  <c r="Z27" i="81"/>
  <c r="Y27" i="81"/>
  <c r="AF27" i="81" l="1"/>
  <c r="X35" i="81" l="1"/>
  <c r="V34" i="79"/>
  <c r="W42" i="81" l="1"/>
  <c r="T49" i="88"/>
  <c r="T59" i="88" s="1"/>
  <c r="X42" i="81"/>
  <c r="F37" i="88"/>
  <c r="F59" i="88" s="1"/>
  <c r="G37" i="4" l="1"/>
  <c r="G59" i="4" s="1"/>
  <c r="N37" i="4" l="1"/>
  <c r="N59" i="4" s="1"/>
  <c r="X35" i="88"/>
  <c r="W35" i="88"/>
  <c r="G35" i="88"/>
  <c r="AD35" i="88" s="1"/>
  <c r="T14" i="85" l="1"/>
  <c r="X35" i="4"/>
  <c r="Y35" i="4" s="1"/>
  <c r="U17" i="85"/>
  <c r="AD35" i="4" l="1"/>
  <c r="T16" i="85"/>
  <c r="U16" i="85" s="1"/>
  <c r="U14" i="85"/>
  <c r="G14" i="79" l="1"/>
  <c r="V12" i="71" l="1"/>
  <c r="G12" i="71"/>
  <c r="AA12" i="71" s="1"/>
  <c r="X16" i="4" l="1"/>
  <c r="X16" i="88"/>
  <c r="W16" i="88"/>
  <c r="G16" i="88"/>
  <c r="AD16" i="88" l="1"/>
  <c r="Y16" i="4"/>
  <c r="AD16" i="4"/>
  <c r="AA37" i="88" l="1"/>
  <c r="AA59" i="88" s="1"/>
  <c r="X55" i="88" l="1"/>
  <c r="G55" i="88"/>
  <c r="AD55" i="88" s="1"/>
  <c r="X52" i="88"/>
  <c r="W52" i="88"/>
  <c r="G52" i="88"/>
  <c r="X54" i="88"/>
  <c r="W54" i="88"/>
  <c r="G54" i="88"/>
  <c r="X48" i="88"/>
  <c r="W48" i="88"/>
  <c r="G48" i="88"/>
  <c r="X47" i="88"/>
  <c r="W47" i="88"/>
  <c r="G47" i="88"/>
  <c r="AD47" i="88" s="1"/>
  <c r="X21" i="88"/>
  <c r="X22" i="88" s="1"/>
  <c r="W21" i="88"/>
  <c r="W22" i="88" s="1"/>
  <c r="G21" i="88"/>
  <c r="AD21" i="88" s="1"/>
  <c r="X46" i="88"/>
  <c r="W46" i="88"/>
  <c r="G46" i="88"/>
  <c r="X45" i="88"/>
  <c r="W45" i="88"/>
  <c r="G45" i="88"/>
  <c r="X40" i="88"/>
  <c r="X41" i="88" s="1"/>
  <c r="W40" i="88"/>
  <c r="W41" i="88" s="1"/>
  <c r="G40" i="88"/>
  <c r="AC37" i="88"/>
  <c r="AC59" i="88" s="1"/>
  <c r="AB37" i="88"/>
  <c r="AB59" i="88" s="1"/>
  <c r="Z37" i="88"/>
  <c r="Z59" i="88" s="1"/>
  <c r="Y37" i="88"/>
  <c r="Y59" i="88" s="1"/>
  <c r="V37" i="88"/>
  <c r="V59" i="88" s="1"/>
  <c r="S37" i="88"/>
  <c r="S59" i="88" s="1"/>
  <c r="R37" i="88"/>
  <c r="R59" i="88" s="1"/>
  <c r="Q37" i="88"/>
  <c r="Q59" i="88" s="1"/>
  <c r="O37" i="88"/>
  <c r="O59" i="88" s="1"/>
  <c r="N37" i="88"/>
  <c r="N59" i="88" s="1"/>
  <c r="M37" i="88"/>
  <c r="M59" i="88" s="1"/>
  <c r="L37" i="88"/>
  <c r="L59" i="88" s="1"/>
  <c r="K37" i="88"/>
  <c r="K59" i="88" s="1"/>
  <c r="J37" i="88"/>
  <c r="J59" i="88" s="1"/>
  <c r="I37" i="88"/>
  <c r="I59" i="88" s="1"/>
  <c r="X36" i="88"/>
  <c r="W36" i="88"/>
  <c r="G36" i="88"/>
  <c r="AD36" i="88" s="1"/>
  <c r="X33" i="88"/>
  <c r="W33" i="88"/>
  <c r="G33" i="88"/>
  <c r="X29" i="88"/>
  <c r="W29" i="88"/>
  <c r="G29" i="88"/>
  <c r="AD29" i="88" s="1"/>
  <c r="W28" i="88"/>
  <c r="X27" i="88"/>
  <c r="W27" i="88"/>
  <c r="G27" i="88"/>
  <c r="W15" i="88"/>
  <c r="W19" i="88" s="1"/>
  <c r="AD46" i="88" l="1"/>
  <c r="AD27" i="88"/>
  <c r="AD33" i="88"/>
  <c r="AD52" i="88"/>
  <c r="AD48" i="88"/>
  <c r="AD45" i="88"/>
  <c r="AD54" i="88"/>
  <c r="AD58" i="88" s="1"/>
  <c r="G41" i="88"/>
  <c r="AD40" i="88"/>
  <c r="AD41" i="88" s="1"/>
  <c r="W31" i="88"/>
  <c r="AD22" i="88"/>
  <c r="G58" i="88"/>
  <c r="W58" i="88"/>
  <c r="X58" i="88"/>
  <c r="G22" i="88"/>
  <c r="G49" i="88"/>
  <c r="W49" i="88"/>
  <c r="X49" i="88"/>
  <c r="G37" i="88"/>
  <c r="X37" i="88"/>
  <c r="G15" i="88"/>
  <c r="X28" i="88"/>
  <c r="X31" i="88" s="1"/>
  <c r="W37" i="88"/>
  <c r="X15" i="88"/>
  <c r="X19" i="88" s="1"/>
  <c r="G28" i="88"/>
  <c r="AD28" i="88" s="1"/>
  <c r="AD15" i="88" l="1"/>
  <c r="AD19" i="88" s="1"/>
  <c r="G19" i="88"/>
  <c r="X59" i="88"/>
  <c r="W59" i="88"/>
  <c r="G31" i="88"/>
  <c r="AD31" i="88"/>
  <c r="AD37" i="88"/>
  <c r="AD49" i="88"/>
  <c r="U37" i="88"/>
  <c r="U59" i="88" s="1"/>
  <c r="G59" i="88" l="1"/>
  <c r="AD59" i="88"/>
  <c r="T40" i="2"/>
  <c r="S37" i="2"/>
  <c r="AC40" i="2"/>
  <c r="Z38" i="71" l="1"/>
  <c r="Z41" i="71" s="1"/>
  <c r="S49" i="2" l="1"/>
  <c r="S56" i="2" s="1"/>
  <c r="R56" i="2"/>
  <c r="K59" i="4" l="1"/>
  <c r="X14" i="2" l="1"/>
  <c r="Y14" i="2" s="1"/>
  <c r="AE14" i="2" l="1"/>
  <c r="P56" i="79"/>
  <c r="N56" i="79"/>
  <c r="O56" i="79"/>
  <c r="Z14" i="79"/>
  <c r="Y14" i="79"/>
  <c r="AF14" i="79" s="1"/>
  <c r="W53" i="85" l="1"/>
  <c r="X53" i="85"/>
  <c r="X55" i="85" s="1"/>
  <c r="U15" i="85"/>
  <c r="G19" i="79" l="1"/>
  <c r="Y19" i="79"/>
  <c r="Z19" i="79"/>
  <c r="AF19" i="79" l="1"/>
  <c r="M42" i="81"/>
  <c r="U20" i="71" l="1"/>
  <c r="U21" i="71"/>
  <c r="V21" i="71" s="1"/>
  <c r="G21" i="71"/>
  <c r="X19" i="2"/>
  <c r="Y19" i="2" s="1"/>
  <c r="AE19" i="2" l="1"/>
  <c r="AA21" i="71"/>
  <c r="P55" i="85" l="1"/>
  <c r="U30" i="85"/>
  <c r="F45" i="85" l="1"/>
  <c r="Y28" i="81"/>
  <c r="R56" i="79" l="1"/>
  <c r="F42" i="1" l="1"/>
  <c r="U13" i="85"/>
  <c r="M53" i="78"/>
  <c r="Y42" i="1"/>
  <c r="W56" i="2"/>
  <c r="F44" i="1" l="1"/>
  <c r="G64" i="79" l="1"/>
  <c r="G66" i="79"/>
  <c r="G65" i="79"/>
  <c r="G63" i="79"/>
  <c r="G16" i="81"/>
  <c r="G38" i="81"/>
  <c r="G24" i="81"/>
  <c r="G21" i="81"/>
  <c r="G19" i="81"/>
  <c r="G12" i="81"/>
  <c r="G22" i="81"/>
  <c r="G32" i="81"/>
  <c r="G40" i="81"/>
  <c r="AF40" i="81" s="1"/>
  <c r="G39" i="81"/>
  <c r="G41" i="81"/>
  <c r="G29" i="81"/>
  <c r="X43" i="2"/>
  <c r="X50" i="2"/>
  <c r="X60" i="2"/>
  <c r="Y60" i="2" s="1"/>
  <c r="Y61" i="2"/>
  <c r="X63" i="2"/>
  <c r="Y63" i="2" s="1"/>
  <c r="X62" i="2"/>
  <c r="Y62" i="2" s="1"/>
  <c r="X55" i="2"/>
  <c r="AE55" i="2" s="1"/>
  <c r="X54" i="2"/>
  <c r="X53" i="2"/>
  <c r="F56" i="79"/>
  <c r="G68" i="79" l="1"/>
  <c r="G65" i="2"/>
  <c r="X65" i="2"/>
  <c r="AE63" i="2"/>
  <c r="F45" i="71"/>
  <c r="F62" i="71" s="1"/>
  <c r="F40" i="2"/>
  <c r="F37" i="2"/>
  <c r="F53" i="85"/>
  <c r="F66" i="2" l="1"/>
  <c r="F55" i="85"/>
  <c r="T29" i="85" l="1"/>
  <c r="U29" i="85" s="1"/>
  <c r="Y29" i="78"/>
  <c r="X29" i="78"/>
  <c r="G29" i="78"/>
  <c r="AE29" i="78" l="1"/>
  <c r="G29" i="85"/>
  <c r="AD29" i="85" s="1"/>
  <c r="Q42" i="81" l="1"/>
  <c r="Y15" i="78" l="1"/>
  <c r="X15" i="78"/>
  <c r="X47" i="2"/>
  <c r="Y47" i="2" s="1"/>
  <c r="Z47" i="79"/>
  <c r="Y47" i="79"/>
  <c r="G47" i="79"/>
  <c r="AE47" i="2" l="1"/>
  <c r="AF47" i="79"/>
  <c r="S42" i="81"/>
  <c r="Z49" i="79" l="1"/>
  <c r="M40" i="79" l="1"/>
  <c r="Y22" i="81" l="1"/>
  <c r="V22" i="1"/>
  <c r="W22" i="1" s="1"/>
  <c r="Z22" i="81" l="1"/>
  <c r="G22" i="1"/>
  <c r="AD22" i="1" s="1"/>
  <c r="Z19" i="81"/>
  <c r="AF22" i="81" l="1"/>
  <c r="Y24" i="81"/>
  <c r="AF24" i="81" s="1"/>
  <c r="Y21" i="81"/>
  <c r="Z24" i="81"/>
  <c r="Z21" i="81"/>
  <c r="Z12" i="81"/>
  <c r="Y19" i="81"/>
  <c r="Y12" i="81"/>
  <c r="AF21" i="81" l="1"/>
  <c r="AF19" i="81"/>
  <c r="J42" i="1" l="1"/>
  <c r="V21" i="1" l="1"/>
  <c r="W21" i="1" s="1"/>
  <c r="G21" i="1"/>
  <c r="V24" i="1"/>
  <c r="W24" i="1" s="1"/>
  <c r="V19" i="1"/>
  <c r="W19" i="1" s="1"/>
  <c r="G24" i="1"/>
  <c r="G19" i="1"/>
  <c r="AD24" i="1" l="1"/>
  <c r="AD19" i="1"/>
  <c r="AD21" i="1"/>
  <c r="N53" i="85" l="1"/>
  <c r="G15" i="78" l="1"/>
  <c r="AE15" i="78" s="1"/>
  <c r="G48" i="85" l="1"/>
  <c r="AD48" i="85" s="1"/>
  <c r="U48" i="85"/>
  <c r="Z44" i="1" l="1"/>
  <c r="O53" i="85" l="1"/>
  <c r="X33" i="78" l="1"/>
  <c r="AE42" i="81" l="1"/>
  <c r="AB42" i="81" l="1"/>
  <c r="AB44" i="81" l="1"/>
  <c r="T44" i="81" l="1"/>
  <c r="V44" i="81" l="1"/>
  <c r="U44" i="81"/>
  <c r="T56" i="79" l="1"/>
  <c r="U56" i="79"/>
  <c r="U37" i="79"/>
  <c r="T37" i="79" l="1"/>
  <c r="U40" i="79"/>
  <c r="T40" i="79"/>
  <c r="U69" i="79" l="1"/>
  <c r="T69" i="79"/>
  <c r="T55" i="78"/>
  <c r="U55" i="78"/>
  <c r="O42" i="81" l="1"/>
  <c r="AA53" i="85" l="1"/>
  <c r="I42" i="1" l="1"/>
  <c r="U47" i="71"/>
  <c r="G47" i="71"/>
  <c r="G49" i="71" l="1"/>
  <c r="AA47" i="71"/>
  <c r="AA49" i="71" s="1"/>
  <c r="V47" i="71"/>
  <c r="V49" i="71" s="1"/>
  <c r="U49" i="71"/>
  <c r="O55" i="85"/>
  <c r="X25" i="2"/>
  <c r="Y25" i="2" s="1"/>
  <c r="AE25" i="2" l="1"/>
  <c r="Y55" i="2"/>
  <c r="Y25" i="79"/>
  <c r="Z25" i="79"/>
  <c r="G25" i="79"/>
  <c r="Z55" i="79"/>
  <c r="Y55" i="79"/>
  <c r="G55" i="79"/>
  <c r="AC56" i="79"/>
  <c r="AD56" i="79"/>
  <c r="AE56" i="79"/>
  <c r="K56" i="79"/>
  <c r="L56" i="79"/>
  <c r="M56" i="79"/>
  <c r="Q56" i="79"/>
  <c r="S56" i="79"/>
  <c r="X56" i="79"/>
  <c r="AA56" i="79"/>
  <c r="AF25" i="79" l="1"/>
  <c r="AF55" i="79"/>
  <c r="R53" i="78"/>
  <c r="X48" i="78"/>
  <c r="X39" i="4"/>
  <c r="AC53" i="85"/>
  <c r="AB53" i="85"/>
  <c r="Z53" i="85"/>
  <c r="Z55" i="85" s="1"/>
  <c r="Y53" i="85"/>
  <c r="Y55" i="85" s="1"/>
  <c r="V53" i="85"/>
  <c r="V55" i="85" s="1"/>
  <c r="R53" i="85"/>
  <c r="Q53" i="85"/>
  <c r="M53" i="85"/>
  <c r="L53" i="85"/>
  <c r="K53" i="85"/>
  <c r="J53" i="85"/>
  <c r="I53" i="85"/>
  <c r="H53" i="85"/>
  <c r="H55" i="85" s="1"/>
  <c r="T52" i="85"/>
  <c r="U52" i="85" s="1"/>
  <c r="G52" i="85"/>
  <c r="T50" i="85"/>
  <c r="U50" i="85" s="1"/>
  <c r="G50" i="85"/>
  <c r="T49" i="85"/>
  <c r="U49" i="85" s="1"/>
  <c r="G49" i="85"/>
  <c r="G47" i="85"/>
  <c r="T34" i="85"/>
  <c r="U34" i="85" s="1"/>
  <c r="G34" i="85"/>
  <c r="T35" i="85"/>
  <c r="U35" i="85" s="1"/>
  <c r="G35" i="85"/>
  <c r="T38" i="85"/>
  <c r="U38" i="85" s="1"/>
  <c r="G38" i="85"/>
  <c r="T39" i="85"/>
  <c r="U39" i="85" s="1"/>
  <c r="G39" i="85"/>
  <c r="T32" i="85"/>
  <c r="G32" i="85"/>
  <c r="T31" i="85"/>
  <c r="U31" i="85" s="1"/>
  <c r="G31" i="85"/>
  <c r="T33" i="85"/>
  <c r="U33" i="85" s="1"/>
  <c r="N45" i="85"/>
  <c r="G33" i="85"/>
  <c r="G30" i="85"/>
  <c r="T28" i="85"/>
  <c r="G28" i="85"/>
  <c r="W55" i="85"/>
  <c r="T22" i="85"/>
  <c r="U22" i="85" s="1"/>
  <c r="G22" i="85"/>
  <c r="G16" i="85"/>
  <c r="AD16" i="85" s="1"/>
  <c r="T21" i="85"/>
  <c r="U21" i="85" s="1"/>
  <c r="G21" i="85"/>
  <c r="G18" i="85"/>
  <c r="T20" i="85"/>
  <c r="U20" i="85" s="1"/>
  <c r="G20" i="85"/>
  <c r="G17" i="85"/>
  <c r="AD17" i="85" s="1"/>
  <c r="G14" i="85"/>
  <c r="AD14" i="85" s="1"/>
  <c r="G15" i="85"/>
  <c r="AD15" i="85" s="1"/>
  <c r="G13" i="85"/>
  <c r="AD13" i="85" s="1"/>
  <c r="T12" i="85"/>
  <c r="G12" i="85"/>
  <c r="AD28" i="85" l="1"/>
  <c r="AD32" i="85"/>
  <c r="AD33" i="85"/>
  <c r="AD39" i="85"/>
  <c r="AD34" i="85"/>
  <c r="AD38" i="85"/>
  <c r="Y39" i="4"/>
  <c r="AD39" i="4"/>
  <c r="T26" i="85"/>
  <c r="G26" i="85"/>
  <c r="G45" i="85"/>
  <c r="U32" i="85"/>
  <c r="T45" i="85"/>
  <c r="AD12" i="85"/>
  <c r="AD31" i="85"/>
  <c r="AD22" i="85"/>
  <c r="G53" i="85"/>
  <c r="AD35" i="85"/>
  <c r="AD30" i="85"/>
  <c r="N55" i="85"/>
  <c r="U47" i="85"/>
  <c r="U53" i="85" s="1"/>
  <c r="T53" i="85"/>
  <c r="U28" i="85"/>
  <c r="AD20" i="85"/>
  <c r="AB55" i="85"/>
  <c r="J55" i="85"/>
  <c r="R55" i="85"/>
  <c r="I55" i="85"/>
  <c r="Q55" i="85"/>
  <c r="U12" i="85"/>
  <c r="U26" i="85" s="1"/>
  <c r="AD52" i="85"/>
  <c r="K55" i="85"/>
  <c r="AC55" i="85"/>
  <c r="AD21" i="85"/>
  <c r="AD49" i="85"/>
  <c r="M55" i="85"/>
  <c r="AD50" i="85"/>
  <c r="L55" i="85"/>
  <c r="U45" i="85" l="1"/>
  <c r="U55" i="85" s="1"/>
  <c r="G55" i="85"/>
  <c r="T55" i="85"/>
  <c r="K42" i="81" l="1"/>
  <c r="AA42" i="81" l="1"/>
  <c r="X18" i="2" l="1"/>
  <c r="Y18" i="2" s="1"/>
  <c r="Z18" i="79"/>
  <c r="Y18" i="79"/>
  <c r="G18" i="79"/>
  <c r="AF18" i="79" l="1"/>
  <c r="Z32" i="81"/>
  <c r="Y32" i="81"/>
  <c r="AF32" i="81" s="1"/>
  <c r="Z41" i="81"/>
  <c r="Y41" i="81"/>
  <c r="Z40" i="81"/>
  <c r="Z39" i="81"/>
  <c r="Y39" i="81"/>
  <c r="Z29" i="81"/>
  <c r="Y29" i="81"/>
  <c r="Y34" i="81" s="1"/>
  <c r="Z37" i="81"/>
  <c r="Y37" i="81"/>
  <c r="Z28" i="81"/>
  <c r="Z36" i="81"/>
  <c r="Y36" i="81"/>
  <c r="Z16" i="81"/>
  <c r="Z17" i="81" s="1"/>
  <c r="Y16" i="81"/>
  <c r="Y17" i="81" s="1"/>
  <c r="Z38" i="81"/>
  <c r="Y38" i="81"/>
  <c r="Z64" i="79"/>
  <c r="Y64" i="79"/>
  <c r="Z66" i="79"/>
  <c r="Y66" i="79"/>
  <c r="Z65" i="79"/>
  <c r="Y65" i="79"/>
  <c r="Z63" i="79"/>
  <c r="Y63" i="79"/>
  <c r="Z54" i="79"/>
  <c r="Y54" i="79"/>
  <c r="Y53" i="79"/>
  <c r="Z50" i="79"/>
  <c r="Y50" i="79"/>
  <c r="Y49" i="79"/>
  <c r="Z46" i="79"/>
  <c r="Y46" i="79"/>
  <c r="Z44" i="79"/>
  <c r="Y44" i="79"/>
  <c r="Z43" i="79"/>
  <c r="Y43" i="79"/>
  <c r="Z42" i="79"/>
  <c r="Y42" i="79"/>
  <c r="Z39" i="79"/>
  <c r="Y39" i="79"/>
  <c r="Z36" i="79"/>
  <c r="Y36" i="79"/>
  <c r="Z32" i="79"/>
  <c r="Y32" i="79"/>
  <c r="Z30" i="79"/>
  <c r="Y30" i="79"/>
  <c r="Z26" i="79"/>
  <c r="Y26" i="79"/>
  <c r="Z27" i="79"/>
  <c r="Y27" i="79"/>
  <c r="Z23" i="79"/>
  <c r="Y23" i="79"/>
  <c r="Z22" i="79"/>
  <c r="Y22" i="79"/>
  <c r="Z21" i="79"/>
  <c r="Y21" i="79"/>
  <c r="Z20" i="79"/>
  <c r="Y20" i="79"/>
  <c r="Z17" i="79"/>
  <c r="Y17" i="79"/>
  <c r="Z16" i="79"/>
  <c r="Y16" i="79"/>
  <c r="Z15" i="79"/>
  <c r="Y15" i="79"/>
  <c r="Z13" i="79"/>
  <c r="Y13" i="79"/>
  <c r="Z12" i="79"/>
  <c r="Y12" i="79"/>
  <c r="Y52" i="78"/>
  <c r="X52" i="78"/>
  <c r="Y50" i="78"/>
  <c r="X50" i="78"/>
  <c r="Y49" i="78"/>
  <c r="X49" i="78"/>
  <c r="Y48" i="78"/>
  <c r="Y47" i="78"/>
  <c r="Y34" i="78"/>
  <c r="X34" i="78"/>
  <c r="Y35" i="78"/>
  <c r="X35" i="78"/>
  <c r="Y40" i="78"/>
  <c r="X40" i="78"/>
  <c r="Y38" i="78"/>
  <c r="X38" i="78"/>
  <c r="Y39" i="78"/>
  <c r="X39" i="78"/>
  <c r="Y32" i="78"/>
  <c r="X32" i="78"/>
  <c r="Y31" i="78"/>
  <c r="X31" i="78"/>
  <c r="Y33" i="78"/>
  <c r="Y30" i="78"/>
  <c r="X30" i="78"/>
  <c r="Y28" i="78"/>
  <c r="X28" i="78"/>
  <c r="X16" i="78"/>
  <c r="Y16" i="78"/>
  <c r="Y13" i="78"/>
  <c r="Y14" i="78"/>
  <c r="Y17" i="78"/>
  <c r="Y20" i="78"/>
  <c r="Y21" i="78"/>
  <c r="Y22" i="78"/>
  <c r="X13" i="78"/>
  <c r="X14" i="78"/>
  <c r="X17" i="78"/>
  <c r="X20" i="78"/>
  <c r="X22" i="78"/>
  <c r="Y12" i="78"/>
  <c r="X12" i="78"/>
  <c r="Z34" i="81" l="1"/>
  <c r="X26" i="78"/>
  <c r="Y26" i="78"/>
  <c r="Y68" i="79"/>
  <c r="Z68" i="79"/>
  <c r="X45" i="78"/>
  <c r="Y45" i="78"/>
  <c r="Y34" i="79"/>
  <c r="Z34" i="79"/>
  <c r="Z56" i="79"/>
  <c r="Y56" i="79"/>
  <c r="V53" i="78"/>
  <c r="V41" i="1" l="1"/>
  <c r="V20" i="71" l="1"/>
  <c r="G20" i="71"/>
  <c r="AA20" i="71" s="1"/>
  <c r="V56" i="79" l="1"/>
  <c r="I53" i="78"/>
  <c r="W44" i="81" l="1"/>
  <c r="H53" i="78"/>
  <c r="I55" i="78"/>
  <c r="H55" i="78" l="1"/>
  <c r="X12" i="2"/>
  <c r="AE12" i="2" s="1"/>
  <c r="X42" i="1" l="1"/>
  <c r="AA44" i="81" l="1"/>
  <c r="K45" i="71" l="1"/>
  <c r="L45" i="71"/>
  <c r="AD37" i="2" l="1"/>
  <c r="AC37" i="2"/>
  <c r="AB37" i="2"/>
  <c r="AB66" i="2" s="1"/>
  <c r="AA37" i="2"/>
  <c r="AA66" i="2" s="1"/>
  <c r="Z37" i="2"/>
  <c r="W37" i="2"/>
  <c r="V37" i="2"/>
  <c r="U37" i="2"/>
  <c r="T37" i="2"/>
  <c r="R37" i="2"/>
  <c r="Q37" i="2"/>
  <c r="P37" i="2"/>
  <c r="O37" i="2"/>
  <c r="N37" i="2"/>
  <c r="M37" i="2"/>
  <c r="I37" i="2"/>
  <c r="H37" i="2"/>
  <c r="X36" i="2"/>
  <c r="G37" i="2"/>
  <c r="F40" i="79"/>
  <c r="AE37" i="79"/>
  <c r="AD37" i="79"/>
  <c r="AC37" i="79"/>
  <c r="AB37" i="79"/>
  <c r="AA37" i="79"/>
  <c r="X37" i="79"/>
  <c r="W37" i="79"/>
  <c r="V37" i="79"/>
  <c r="S37" i="79"/>
  <c r="R37" i="79"/>
  <c r="Q37" i="79"/>
  <c r="P37" i="79"/>
  <c r="O37" i="79"/>
  <c r="N37" i="79"/>
  <c r="M37" i="79"/>
  <c r="L37" i="79"/>
  <c r="K37" i="79"/>
  <c r="J37" i="79"/>
  <c r="I37" i="79"/>
  <c r="H37" i="79"/>
  <c r="F37" i="79"/>
  <c r="Z37" i="79"/>
  <c r="Y37" i="79"/>
  <c r="G36" i="79"/>
  <c r="AF36" i="79" s="1"/>
  <c r="Y36" i="2" l="1"/>
  <c r="Y37" i="2" s="1"/>
  <c r="AE36" i="2"/>
  <c r="AE37" i="2" s="1"/>
  <c r="AF37" i="79"/>
  <c r="G37" i="79"/>
  <c r="X37" i="2"/>
  <c r="X27" i="2"/>
  <c r="Y27" i="2" s="1"/>
  <c r="AE27" i="2" l="1"/>
  <c r="G27" i="79"/>
  <c r="AF27" i="79" s="1"/>
  <c r="AB56" i="79" l="1"/>
  <c r="O45" i="71" l="1"/>
  <c r="M45" i="71"/>
  <c r="N45" i="71"/>
  <c r="P45" i="71"/>
  <c r="X23" i="2" l="1"/>
  <c r="Y23" i="2" s="1"/>
  <c r="Q37" i="4"/>
  <c r="Q59" i="4" s="1"/>
  <c r="R37" i="4"/>
  <c r="R59" i="4" s="1"/>
  <c r="AE23" i="2" l="1"/>
  <c r="G23" i="79"/>
  <c r="AF23" i="79" s="1"/>
  <c r="S37" i="4" l="1"/>
  <c r="S59" i="4" s="1"/>
  <c r="X54" i="4" l="1"/>
  <c r="AD54" i="4" s="1"/>
  <c r="T13" i="2"/>
  <c r="T34" i="2" s="1"/>
  <c r="G18" i="78"/>
  <c r="AE18" i="78" s="1"/>
  <c r="Y54" i="4" l="1"/>
  <c r="Z16" i="83"/>
  <c r="Y16" i="83"/>
  <c r="X16" i="83"/>
  <c r="S16" i="83"/>
  <c r="R16" i="83"/>
  <c r="Q16" i="83"/>
  <c r="P16" i="83"/>
  <c r="O16" i="83"/>
  <c r="N16" i="83"/>
  <c r="M16" i="83"/>
  <c r="L16" i="83"/>
  <c r="K16" i="83"/>
  <c r="J16" i="83"/>
  <c r="I16" i="83"/>
  <c r="H16" i="83"/>
  <c r="F16" i="83"/>
  <c r="G14" i="83"/>
  <c r="T14" i="83" s="1"/>
  <c r="T13" i="83"/>
  <c r="U13" i="83" s="1"/>
  <c r="G13" i="83"/>
  <c r="W13" i="83" s="1"/>
  <c r="T12" i="83"/>
  <c r="U12" i="83" s="1"/>
  <c r="G12" i="83"/>
  <c r="V12" i="83" s="1"/>
  <c r="V13" i="83" l="1"/>
  <c r="V14" i="83"/>
  <c r="G16" i="83"/>
  <c r="U14" i="83"/>
  <c r="U16" i="83" s="1"/>
  <c r="AA14" i="83"/>
  <c r="AA13" i="83"/>
  <c r="W12" i="83"/>
  <c r="W14" i="83"/>
  <c r="T16" i="83"/>
  <c r="AA12" i="83"/>
  <c r="AA16" i="83" l="1"/>
  <c r="AL48" i="78" s="1"/>
  <c r="V16" i="83"/>
  <c r="W16" i="83"/>
  <c r="G34" i="2" l="1"/>
  <c r="G22" i="79"/>
  <c r="AF22" i="79" s="1"/>
  <c r="W41" i="1" l="1"/>
  <c r="G41" i="1"/>
  <c r="AD41" i="1" s="1"/>
  <c r="Y54" i="2"/>
  <c r="X22" i="2"/>
  <c r="X48" i="4"/>
  <c r="Y48" i="4" l="1"/>
  <c r="AD48" i="4"/>
  <c r="Y22" i="2"/>
  <c r="AE22" i="2"/>
  <c r="AE54" i="2"/>
  <c r="AD42" i="81"/>
  <c r="AC42" i="81"/>
  <c r="P42" i="81"/>
  <c r="N42" i="81"/>
  <c r="L42" i="81"/>
  <c r="J42" i="81"/>
  <c r="I42" i="81"/>
  <c r="H42" i="81"/>
  <c r="H44" i="81" s="1"/>
  <c r="AA40" i="79"/>
  <c r="S40" i="2" l="1"/>
  <c r="F17" i="76" l="1"/>
  <c r="F14" i="76"/>
  <c r="F13" i="76"/>
  <c r="F12" i="76"/>
  <c r="F11" i="76"/>
  <c r="F8" i="76"/>
  <c r="F7" i="76"/>
  <c r="F6" i="76"/>
  <c r="F5" i="76"/>
  <c r="E201" i="76"/>
  <c r="E200" i="76"/>
  <c r="E199" i="76"/>
  <c r="E198" i="76"/>
  <c r="E197" i="76"/>
  <c r="E196" i="76"/>
  <c r="E195" i="76"/>
  <c r="E194" i="76"/>
  <c r="E193" i="76"/>
  <c r="E192" i="76"/>
  <c r="E191" i="76"/>
  <c r="E188" i="76"/>
  <c r="E187" i="76"/>
  <c r="E186" i="76"/>
  <c r="E185" i="76"/>
  <c r="E184" i="76"/>
  <c r="E183" i="76"/>
  <c r="E182" i="76"/>
  <c r="E181" i="76"/>
  <c r="E180" i="76"/>
  <c r="E179" i="76"/>
  <c r="E175" i="76"/>
  <c r="E176" i="76"/>
  <c r="E174" i="76"/>
  <c r="E173" i="76"/>
  <c r="E168" i="76"/>
  <c r="E167" i="76"/>
  <c r="E166" i="76"/>
  <c r="E165" i="76"/>
  <c r="E164" i="76"/>
  <c r="E163" i="76"/>
  <c r="E162" i="76"/>
  <c r="E159" i="76"/>
  <c r="E158" i="76"/>
  <c r="E155" i="76"/>
  <c r="E154" i="76"/>
  <c r="E151" i="76"/>
  <c r="E150" i="76"/>
  <c r="E149" i="76"/>
  <c r="E148" i="76"/>
  <c r="E147" i="76"/>
  <c r="E146" i="76"/>
  <c r="E145" i="76"/>
  <c r="E144" i="76"/>
  <c r="E141" i="76"/>
  <c r="E140" i="76"/>
  <c r="E139" i="76"/>
  <c r="E138" i="76"/>
  <c r="E135" i="76"/>
  <c r="E134" i="76"/>
  <c r="E133" i="76"/>
  <c r="E132" i="76"/>
  <c r="E131" i="76"/>
  <c r="E130" i="76"/>
  <c r="E129" i="76"/>
  <c r="E128" i="76"/>
  <c r="E123" i="76"/>
  <c r="E122" i="76"/>
  <c r="E121" i="76"/>
  <c r="E120" i="76"/>
  <c r="E119" i="76"/>
  <c r="E118" i="76"/>
  <c r="E117" i="76"/>
  <c r="E114" i="76"/>
  <c r="E102" i="76"/>
  <c r="E111" i="76"/>
  <c r="E110" i="76"/>
  <c r="E109" i="76"/>
  <c r="E108" i="76"/>
  <c r="E107" i="76"/>
  <c r="E106" i="76"/>
  <c r="E105" i="76"/>
  <c r="E104" i="76"/>
  <c r="E103" i="76"/>
  <c r="E101" i="76"/>
  <c r="E100" i="76"/>
  <c r="E97" i="76"/>
  <c r="E96" i="76"/>
  <c r="E93" i="76"/>
  <c r="E92" i="76"/>
  <c r="E91" i="76"/>
  <c r="E90" i="76"/>
  <c r="E89" i="76"/>
  <c r="E88" i="76"/>
  <c r="E87" i="76"/>
  <c r="E86" i="76"/>
  <c r="E85" i="76"/>
  <c r="E84" i="76"/>
  <c r="E83" i="76"/>
  <c r="E77" i="76"/>
  <c r="E76" i="76"/>
  <c r="E75" i="76"/>
  <c r="E74" i="76"/>
  <c r="E73" i="76"/>
  <c r="E70" i="76"/>
  <c r="E69" i="76"/>
  <c r="E68" i="76"/>
  <c r="E67" i="76"/>
  <c r="E66" i="76"/>
  <c r="E65" i="76"/>
  <c r="E64" i="76"/>
  <c r="E63" i="76"/>
  <c r="E62" i="76"/>
  <c r="E61" i="76"/>
  <c r="E60" i="76"/>
  <c r="E59" i="76"/>
  <c r="E58" i="76"/>
  <c r="E57" i="76"/>
  <c r="E56" i="76"/>
  <c r="E55" i="76"/>
  <c r="E52" i="76"/>
  <c r="E51" i="76"/>
  <c r="E50" i="76"/>
  <c r="E49" i="76"/>
  <c r="E48" i="76"/>
  <c r="E47" i="76"/>
  <c r="E46" i="76"/>
  <c r="E45" i="76"/>
  <c r="E44" i="76"/>
  <c r="E43" i="76"/>
  <c r="E38" i="76"/>
  <c r="E37" i="76"/>
  <c r="E36" i="76"/>
  <c r="E35" i="76"/>
  <c r="E34" i="76"/>
  <c r="E26" i="76"/>
  <c r="E31" i="76"/>
  <c r="E30" i="76"/>
  <c r="E29" i="76"/>
  <c r="E28" i="76"/>
  <c r="E27" i="76"/>
  <c r="E25" i="76"/>
  <c r="E22" i="76"/>
  <c r="E21" i="76"/>
  <c r="E18" i="76"/>
  <c r="E17" i="76"/>
  <c r="E14" i="76"/>
  <c r="E13" i="76"/>
  <c r="E12" i="76"/>
  <c r="E11" i="76"/>
  <c r="E8" i="76"/>
  <c r="E7" i="76"/>
  <c r="E6" i="76"/>
  <c r="E5" i="76"/>
  <c r="AF41" i="81"/>
  <c r="AF39" i="81"/>
  <c r="AF29" i="81"/>
  <c r="G37" i="81"/>
  <c r="AF37" i="81" s="1"/>
  <c r="G28" i="81"/>
  <c r="G34" i="81" s="1"/>
  <c r="G36" i="81"/>
  <c r="AE44" i="81"/>
  <c r="AD44" i="81"/>
  <c r="AC44" i="81"/>
  <c r="S44" i="81"/>
  <c r="Q44" i="81"/>
  <c r="P44" i="81"/>
  <c r="O44" i="81"/>
  <c r="N44" i="81"/>
  <c r="M44" i="81"/>
  <c r="L44" i="81"/>
  <c r="K44" i="81"/>
  <c r="J44" i="81"/>
  <c r="I44" i="81"/>
  <c r="X44" i="81"/>
  <c r="AF16" i="81"/>
  <c r="AF64" i="79"/>
  <c r="AF66" i="79"/>
  <c r="AF65" i="79"/>
  <c r="AF63" i="79"/>
  <c r="AE59" i="79"/>
  <c r="AD59" i="79"/>
  <c r="AC59" i="79"/>
  <c r="AB59" i="79"/>
  <c r="AA59" i="79"/>
  <c r="AA69" i="79" s="1"/>
  <c r="X59" i="79"/>
  <c r="W59" i="79"/>
  <c r="V59" i="79"/>
  <c r="S59" i="79"/>
  <c r="R59" i="79"/>
  <c r="Q59" i="79"/>
  <c r="P59" i="79"/>
  <c r="O59" i="79"/>
  <c r="N59" i="79"/>
  <c r="M59" i="79"/>
  <c r="L59" i="79"/>
  <c r="K59" i="79"/>
  <c r="J59" i="79"/>
  <c r="I59" i="79"/>
  <c r="H59" i="79"/>
  <c r="F59" i="79"/>
  <c r="F69" i="79" s="1"/>
  <c r="Z58" i="79"/>
  <c r="Z59" i="79" s="1"/>
  <c r="Y58" i="79"/>
  <c r="Y59" i="79" s="1"/>
  <c r="G58" i="79"/>
  <c r="G59" i="79" s="1"/>
  <c r="G54" i="79"/>
  <c r="AF54" i="79" s="1"/>
  <c r="G53" i="79"/>
  <c r="AF53" i="79" s="1"/>
  <c r="G50" i="79"/>
  <c r="AF50" i="79" s="1"/>
  <c r="G49" i="79"/>
  <c r="AF49" i="79" s="1"/>
  <c r="G46" i="79"/>
  <c r="AF46" i="79" s="1"/>
  <c r="G44" i="79"/>
  <c r="AF44" i="79" s="1"/>
  <c r="G43" i="79"/>
  <c r="AF43" i="79" s="1"/>
  <c r="G45" i="79"/>
  <c r="AF45" i="79" s="1"/>
  <c r="G42" i="79"/>
  <c r="AF42" i="79" s="1"/>
  <c r="AE40" i="79"/>
  <c r="AD40" i="79"/>
  <c r="AC40" i="79"/>
  <c r="AB40" i="79"/>
  <c r="X40" i="79"/>
  <c r="W40" i="79"/>
  <c r="V40" i="79"/>
  <c r="S40" i="79"/>
  <c r="R40" i="79"/>
  <c r="Q40" i="79"/>
  <c r="P40" i="79"/>
  <c r="O40" i="79"/>
  <c r="N40" i="79"/>
  <c r="L40" i="79"/>
  <c r="K40" i="79"/>
  <c r="J40" i="79"/>
  <c r="I40" i="79"/>
  <c r="H40" i="79"/>
  <c r="G39" i="79"/>
  <c r="AF39" i="79" s="1"/>
  <c r="G32" i="79"/>
  <c r="AF32" i="79" s="1"/>
  <c r="G17" i="79"/>
  <c r="AF17" i="79" s="1"/>
  <c r="G16" i="79"/>
  <c r="AF16" i="79" s="1"/>
  <c r="G30" i="79"/>
  <c r="AF30" i="79" s="1"/>
  <c r="G15" i="79"/>
  <c r="AF15" i="79" s="1"/>
  <c r="G26" i="79"/>
  <c r="AF26" i="79" s="1"/>
  <c r="G21" i="79"/>
  <c r="AF21" i="79" s="1"/>
  <c r="G20" i="79"/>
  <c r="AF20" i="79" s="1"/>
  <c r="G13" i="79"/>
  <c r="AF13" i="79" s="1"/>
  <c r="G12" i="79"/>
  <c r="AF12" i="79" s="1"/>
  <c r="AD53" i="78"/>
  <c r="AC53" i="78"/>
  <c r="AC55" i="78" s="1"/>
  <c r="Z53" i="78"/>
  <c r="Z55" i="78" s="1"/>
  <c r="S53" i="78"/>
  <c r="Q53" i="78"/>
  <c r="P53" i="78"/>
  <c r="O53" i="78"/>
  <c r="N53" i="78"/>
  <c r="L53" i="78"/>
  <c r="K53" i="78"/>
  <c r="J53" i="78"/>
  <c r="G52" i="78"/>
  <c r="AE52" i="78" s="1"/>
  <c r="G50" i="78"/>
  <c r="AE50" i="78" s="1"/>
  <c r="G49" i="78"/>
  <c r="AE49" i="78" s="1"/>
  <c r="G48" i="78"/>
  <c r="AE48" i="78" s="1"/>
  <c r="G47" i="78"/>
  <c r="AE47" i="78" s="1"/>
  <c r="G34" i="78"/>
  <c r="AE34" i="78" s="1"/>
  <c r="G35" i="78"/>
  <c r="AE35" i="78" s="1"/>
  <c r="G40" i="78"/>
  <c r="AE40" i="78" s="1"/>
  <c r="G38" i="78"/>
  <c r="AE38" i="78" s="1"/>
  <c r="G39" i="78"/>
  <c r="AE39" i="78" s="1"/>
  <c r="G32" i="78"/>
  <c r="AE32" i="78" s="1"/>
  <c r="G31" i="78"/>
  <c r="AE31" i="78" s="1"/>
  <c r="G33" i="78"/>
  <c r="AE33" i="78" s="1"/>
  <c r="G30" i="78"/>
  <c r="G28" i="78"/>
  <c r="AE28" i="78" s="1"/>
  <c r="G22" i="78"/>
  <c r="AE22" i="78" s="1"/>
  <c r="G16" i="78"/>
  <c r="G21" i="78"/>
  <c r="AE21" i="78" s="1"/>
  <c r="G14" i="78"/>
  <c r="AE14" i="78" s="1"/>
  <c r="G20" i="78"/>
  <c r="AE20" i="78" s="1"/>
  <c r="G17" i="78"/>
  <c r="AE17" i="78" s="1"/>
  <c r="G13" i="78"/>
  <c r="AE13" i="78" s="1"/>
  <c r="G12" i="78"/>
  <c r="G26" i="78" l="1"/>
  <c r="AE12" i="78"/>
  <c r="AF68" i="79"/>
  <c r="H69" i="79"/>
  <c r="I69" i="79"/>
  <c r="J69" i="79"/>
  <c r="V69" i="79"/>
  <c r="AF56" i="79"/>
  <c r="G45" i="78"/>
  <c r="AE53" i="78"/>
  <c r="AF34" i="79"/>
  <c r="G34" i="79"/>
  <c r="AE16" i="78"/>
  <c r="AF36" i="81"/>
  <c r="G42" i="81"/>
  <c r="AF28" i="81"/>
  <c r="AF34" i="81" s="1"/>
  <c r="AF38" i="81"/>
  <c r="G56" i="79"/>
  <c r="R69" i="79"/>
  <c r="K55" i="78"/>
  <c r="K69" i="79"/>
  <c r="L69" i="79"/>
  <c r="M69" i="79"/>
  <c r="N69" i="79"/>
  <c r="O69" i="79"/>
  <c r="P69" i="79"/>
  <c r="Q69" i="79"/>
  <c r="S69" i="79"/>
  <c r="W69" i="79"/>
  <c r="X69" i="79"/>
  <c r="AB69" i="79"/>
  <c r="AC69" i="79"/>
  <c r="AD69" i="79"/>
  <c r="AE69" i="79"/>
  <c r="X53" i="78"/>
  <c r="Z42" i="81"/>
  <c r="Y42" i="81"/>
  <c r="AA55" i="78"/>
  <c r="G53" i="78"/>
  <c r="Q55" i="78"/>
  <c r="AB55" i="78"/>
  <c r="AD55" i="78"/>
  <c r="Y53" i="78"/>
  <c r="N55" i="78"/>
  <c r="F55" i="78"/>
  <c r="O55" i="78"/>
  <c r="S55" i="78"/>
  <c r="J55" i="78"/>
  <c r="R55" i="78"/>
  <c r="V55" i="78"/>
  <c r="L55" i="78"/>
  <c r="P55" i="78"/>
  <c r="M55" i="78"/>
  <c r="E112" i="76"/>
  <c r="G40" i="79"/>
  <c r="Z40" i="79"/>
  <c r="Y40" i="79"/>
  <c r="AF58" i="79"/>
  <c r="AF59" i="79" s="1"/>
  <c r="AF42" i="81" l="1"/>
  <c r="AF44" i="81" s="1"/>
  <c r="AE26" i="78"/>
  <c r="AE45" i="78"/>
  <c r="AI52" i="88"/>
  <c r="AI55" i="88" s="1"/>
  <c r="Z44" i="81"/>
  <c r="Y44" i="81"/>
  <c r="G44" i="81"/>
  <c r="Z69" i="79"/>
  <c r="Y69" i="79"/>
  <c r="G69" i="79"/>
  <c r="G55" i="78"/>
  <c r="AF40" i="79"/>
  <c r="AF69" i="79" s="1"/>
  <c r="Y55" i="78"/>
  <c r="X55" i="78"/>
  <c r="AE55" i="78" l="1"/>
  <c r="X20" i="2" l="1"/>
  <c r="AE20" i="2" s="1"/>
  <c r="Y65" i="76" l="1"/>
  <c r="Y64" i="76" l="1"/>
  <c r="AL176" i="76" l="1"/>
  <c r="AL175" i="76"/>
  <c r="AL174" i="76"/>
  <c r="AL173" i="76"/>
  <c r="U135" i="76"/>
  <c r="X135" i="76" s="1"/>
  <c r="U134" i="76"/>
  <c r="X134" i="76" s="1"/>
  <c r="U133" i="76"/>
  <c r="X133" i="76" s="1"/>
  <c r="U132" i="76"/>
  <c r="U131" i="76"/>
  <c r="X131" i="76" s="1"/>
  <c r="U130" i="76"/>
  <c r="X130" i="76" s="1"/>
  <c r="U129" i="76"/>
  <c r="X129" i="76" s="1"/>
  <c r="U128" i="76"/>
  <c r="X128" i="76" s="1"/>
  <c r="P128" i="76"/>
  <c r="O128" i="76"/>
  <c r="K128" i="76"/>
  <c r="G128" i="76"/>
  <c r="F128" i="76"/>
  <c r="Q128" i="76" s="1"/>
  <c r="N202" i="76"/>
  <c r="N189" i="76"/>
  <c r="N177" i="76"/>
  <c r="N169" i="76"/>
  <c r="N156" i="76"/>
  <c r="N152" i="76"/>
  <c r="N142" i="76"/>
  <c r="N136" i="76"/>
  <c r="N124" i="76"/>
  <c r="N112" i="76"/>
  <c r="N94" i="76"/>
  <c r="N78" i="76"/>
  <c r="N71" i="76"/>
  <c r="N53" i="76"/>
  <c r="N15" i="76"/>
  <c r="N19" i="76"/>
  <c r="N23" i="76"/>
  <c r="N32" i="76"/>
  <c r="N39" i="76"/>
  <c r="N9" i="76"/>
  <c r="N125" i="76" l="1"/>
  <c r="N203" i="76"/>
  <c r="N80" i="76"/>
  <c r="N170" i="76"/>
  <c r="N40" i="76"/>
  <c r="X132" i="76"/>
  <c r="AE201" i="76"/>
  <c r="AH201" i="76" s="1"/>
  <c r="AE200" i="76"/>
  <c r="AH200" i="76" s="1"/>
  <c r="AE199" i="76"/>
  <c r="AH199" i="76" s="1"/>
  <c r="AE198" i="76"/>
  <c r="AH198" i="76" s="1"/>
  <c r="AE197" i="76"/>
  <c r="AH197" i="76" s="1"/>
  <c r="AE196" i="76"/>
  <c r="AH196" i="76" s="1"/>
  <c r="AE195" i="76"/>
  <c r="AH195" i="76" s="1"/>
  <c r="AE194" i="76"/>
  <c r="AH194" i="76" s="1"/>
  <c r="AE193" i="76"/>
  <c r="AH193" i="76" s="1"/>
  <c r="AE192" i="76"/>
  <c r="AH192" i="76" s="1"/>
  <c r="AE191" i="76"/>
  <c r="AH191" i="76" s="1"/>
  <c r="AE188" i="76"/>
  <c r="AH188" i="76" s="1"/>
  <c r="AE187" i="76"/>
  <c r="AH187" i="76" s="1"/>
  <c r="AE186" i="76"/>
  <c r="AH186" i="76" s="1"/>
  <c r="AE185" i="76"/>
  <c r="AH185" i="76" s="1"/>
  <c r="AE184" i="76"/>
  <c r="AH184" i="76" s="1"/>
  <c r="AE183" i="76"/>
  <c r="AH183" i="76" s="1"/>
  <c r="AE182" i="76"/>
  <c r="AH182" i="76" s="1"/>
  <c r="AE181" i="76"/>
  <c r="AH181" i="76" s="1"/>
  <c r="AE180" i="76"/>
  <c r="AH180" i="76" s="1"/>
  <c r="AE179" i="76"/>
  <c r="AH179" i="76" s="1"/>
  <c r="AE176" i="76"/>
  <c r="AH176" i="76" s="1"/>
  <c r="AE175" i="76"/>
  <c r="AH175" i="76" s="1"/>
  <c r="AE174" i="76"/>
  <c r="AH174" i="76" s="1"/>
  <c r="AE173" i="76"/>
  <c r="AH173" i="76" s="1"/>
  <c r="AE168" i="76"/>
  <c r="AH168" i="76" s="1"/>
  <c r="AE167" i="76"/>
  <c r="AH167" i="76" s="1"/>
  <c r="AE166" i="76"/>
  <c r="AH166" i="76" s="1"/>
  <c r="AE165" i="76"/>
  <c r="AH165" i="76" s="1"/>
  <c r="AE164" i="76"/>
  <c r="AH164" i="76" s="1"/>
  <c r="AE163" i="76"/>
  <c r="AH163" i="76" s="1"/>
  <c r="AE162" i="76"/>
  <c r="AE159" i="76"/>
  <c r="AH159" i="76" s="1"/>
  <c r="AE158" i="76"/>
  <c r="AH158" i="76" s="1"/>
  <c r="AE155" i="76"/>
  <c r="AH155" i="76" s="1"/>
  <c r="AE154" i="76"/>
  <c r="AH154" i="76" s="1"/>
  <c r="AE151" i="76"/>
  <c r="AH151" i="76" s="1"/>
  <c r="AE150" i="76"/>
  <c r="AH150" i="76" s="1"/>
  <c r="AE149" i="76"/>
  <c r="AH149" i="76" s="1"/>
  <c r="AE148" i="76"/>
  <c r="AH148" i="76" s="1"/>
  <c r="AE147" i="76"/>
  <c r="AH147" i="76" s="1"/>
  <c r="AE146" i="76"/>
  <c r="AH146" i="76" s="1"/>
  <c r="AE145" i="76"/>
  <c r="AH145" i="76" s="1"/>
  <c r="AE144" i="76"/>
  <c r="AE141" i="76"/>
  <c r="AH141" i="76" s="1"/>
  <c r="AE140" i="76"/>
  <c r="AH140" i="76" s="1"/>
  <c r="AE139" i="76"/>
  <c r="AH139" i="76" s="1"/>
  <c r="AE138" i="76"/>
  <c r="AH138" i="76" s="1"/>
  <c r="AE135" i="76"/>
  <c r="AH135" i="76" s="1"/>
  <c r="AE134" i="76"/>
  <c r="AH134" i="76" s="1"/>
  <c r="AE133" i="76"/>
  <c r="AH133" i="76" s="1"/>
  <c r="AE132" i="76"/>
  <c r="AH132" i="76" s="1"/>
  <c r="AE131" i="76"/>
  <c r="AH131" i="76" s="1"/>
  <c r="AE130" i="76"/>
  <c r="AH130" i="76" s="1"/>
  <c r="AE129" i="76"/>
  <c r="AH129" i="76" s="1"/>
  <c r="AE128" i="76"/>
  <c r="AE123" i="76"/>
  <c r="AH123" i="76" s="1"/>
  <c r="AE122" i="76"/>
  <c r="AH122" i="76" s="1"/>
  <c r="AE121" i="76"/>
  <c r="AH121" i="76" s="1"/>
  <c r="AE120" i="76"/>
  <c r="AH120" i="76" s="1"/>
  <c r="AE119" i="76"/>
  <c r="AH119" i="76" s="1"/>
  <c r="AE118" i="76"/>
  <c r="AH118" i="76" s="1"/>
  <c r="AE117" i="76"/>
  <c r="AE114" i="76"/>
  <c r="AE115" i="76" s="1"/>
  <c r="AE111" i="76"/>
  <c r="AH111" i="76" s="1"/>
  <c r="AE110" i="76"/>
  <c r="AH110" i="76" s="1"/>
  <c r="AE109" i="76"/>
  <c r="AH109" i="76" s="1"/>
  <c r="AE108" i="76"/>
  <c r="AH108" i="76" s="1"/>
  <c r="AE107" i="76"/>
  <c r="AH107" i="76" s="1"/>
  <c r="AE106" i="76"/>
  <c r="AH106" i="76" s="1"/>
  <c r="AE105" i="76"/>
  <c r="AH105" i="76" s="1"/>
  <c r="AE104" i="76"/>
  <c r="AH104" i="76" s="1"/>
  <c r="AE103" i="76"/>
  <c r="AH103" i="76" s="1"/>
  <c r="AE102" i="76"/>
  <c r="AH102" i="76" s="1"/>
  <c r="AE101" i="76"/>
  <c r="AE100" i="76"/>
  <c r="AH100" i="76" s="1"/>
  <c r="AE97" i="76"/>
  <c r="AH97" i="76" s="1"/>
  <c r="AE96" i="76"/>
  <c r="AH96" i="76" s="1"/>
  <c r="AE93" i="76"/>
  <c r="AH93" i="76" s="1"/>
  <c r="AE92" i="76"/>
  <c r="AH92" i="76" s="1"/>
  <c r="AE91" i="76"/>
  <c r="AH91" i="76" s="1"/>
  <c r="AE90" i="76"/>
  <c r="AH90" i="76" s="1"/>
  <c r="AE89" i="76"/>
  <c r="AH89" i="76" s="1"/>
  <c r="AE88" i="76"/>
  <c r="AH88" i="76" s="1"/>
  <c r="AE87" i="76"/>
  <c r="AH87" i="76" s="1"/>
  <c r="AE86" i="76"/>
  <c r="AH86" i="76" s="1"/>
  <c r="AE85" i="76"/>
  <c r="AH85" i="76" s="1"/>
  <c r="AE84" i="76"/>
  <c r="AH84" i="76" s="1"/>
  <c r="AE83" i="76"/>
  <c r="AH83" i="76" s="1"/>
  <c r="AE77" i="76"/>
  <c r="AH77" i="76" s="1"/>
  <c r="AE76" i="76"/>
  <c r="AH76" i="76" s="1"/>
  <c r="AE75" i="76"/>
  <c r="AH75" i="76" s="1"/>
  <c r="AE74" i="76"/>
  <c r="AH74" i="76" s="1"/>
  <c r="AE73" i="76"/>
  <c r="AE70" i="76"/>
  <c r="AH70" i="76" s="1"/>
  <c r="AE69" i="76"/>
  <c r="AH69" i="76" s="1"/>
  <c r="AE68" i="76"/>
  <c r="AH68" i="76" s="1"/>
  <c r="AE67" i="76"/>
  <c r="AH67" i="76" s="1"/>
  <c r="AE66" i="76"/>
  <c r="AH66" i="76" s="1"/>
  <c r="AE65" i="76"/>
  <c r="AH65" i="76" s="1"/>
  <c r="AE64" i="76"/>
  <c r="AH64" i="76" s="1"/>
  <c r="AE63" i="76"/>
  <c r="AH63" i="76" s="1"/>
  <c r="AE62" i="76"/>
  <c r="AH62" i="76" s="1"/>
  <c r="AE61" i="76"/>
  <c r="AH61" i="76" s="1"/>
  <c r="AE60" i="76"/>
  <c r="AH60" i="76" s="1"/>
  <c r="AE59" i="76"/>
  <c r="AH59" i="76" s="1"/>
  <c r="AE58" i="76"/>
  <c r="AH58" i="76" s="1"/>
  <c r="AE57" i="76"/>
  <c r="AH57" i="76" s="1"/>
  <c r="AE56" i="76"/>
  <c r="AH56" i="76" s="1"/>
  <c r="AE55" i="76"/>
  <c r="AH55" i="76" s="1"/>
  <c r="AE52" i="76"/>
  <c r="AH52" i="76" s="1"/>
  <c r="AE51" i="76"/>
  <c r="AH51" i="76" s="1"/>
  <c r="AE50" i="76"/>
  <c r="AH50" i="76" s="1"/>
  <c r="AE49" i="76"/>
  <c r="AH49" i="76" s="1"/>
  <c r="AE48" i="76"/>
  <c r="AH48" i="76" s="1"/>
  <c r="AE47" i="76"/>
  <c r="AH47" i="76" s="1"/>
  <c r="AE46" i="76"/>
  <c r="AH46" i="76" s="1"/>
  <c r="AE45" i="76"/>
  <c r="AH45" i="76" s="1"/>
  <c r="AE44" i="76"/>
  <c r="AH44" i="76" s="1"/>
  <c r="AE43" i="76"/>
  <c r="AE38" i="76"/>
  <c r="AH38" i="76" s="1"/>
  <c r="AE37" i="76"/>
  <c r="AH37" i="76" s="1"/>
  <c r="AE36" i="76"/>
  <c r="AH36" i="76" s="1"/>
  <c r="AE35" i="76"/>
  <c r="AH35" i="76" s="1"/>
  <c r="AE34" i="76"/>
  <c r="AH34" i="76" s="1"/>
  <c r="AE31" i="76"/>
  <c r="AH31" i="76" s="1"/>
  <c r="AE30" i="76"/>
  <c r="AH30" i="76" s="1"/>
  <c r="AE29" i="76"/>
  <c r="AH29" i="76" s="1"/>
  <c r="AE28" i="76"/>
  <c r="AH28" i="76" s="1"/>
  <c r="AE27" i="76"/>
  <c r="AH27" i="76" s="1"/>
  <c r="AE26" i="76"/>
  <c r="AH26" i="76" s="1"/>
  <c r="AE25" i="76"/>
  <c r="AH25" i="76" s="1"/>
  <c r="AE22" i="76"/>
  <c r="AH22" i="76" s="1"/>
  <c r="AE21" i="76"/>
  <c r="AE18" i="76"/>
  <c r="AH18" i="76" s="1"/>
  <c r="AE17" i="76"/>
  <c r="AH17" i="76" s="1"/>
  <c r="AE14" i="76"/>
  <c r="AH14" i="76" s="1"/>
  <c r="AE13" i="76"/>
  <c r="AH13" i="76" s="1"/>
  <c r="AE12" i="76"/>
  <c r="AH12" i="76" s="1"/>
  <c r="AE11" i="76"/>
  <c r="AH11" i="76" s="1"/>
  <c r="AE8" i="76"/>
  <c r="AH8" i="76" s="1"/>
  <c r="AE7" i="76"/>
  <c r="AH7" i="76" s="1"/>
  <c r="AE6" i="76"/>
  <c r="AH6" i="76" s="1"/>
  <c r="AE5" i="76"/>
  <c r="AH5" i="76" s="1"/>
  <c r="S17" i="76"/>
  <c r="S11" i="76"/>
  <c r="S8" i="76"/>
  <c r="S7" i="76"/>
  <c r="S6" i="76"/>
  <c r="S5" i="76"/>
  <c r="R5" i="76"/>
  <c r="D189" i="76"/>
  <c r="Z188" i="76"/>
  <c r="R179" i="76"/>
  <c r="O187" i="76"/>
  <c r="O188" i="76"/>
  <c r="O186" i="76"/>
  <c r="O185" i="76"/>
  <c r="O184" i="76"/>
  <c r="O183" i="76"/>
  <c r="O182" i="76"/>
  <c r="O181" i="76"/>
  <c r="O180" i="76"/>
  <c r="O179" i="76"/>
  <c r="H188" i="76"/>
  <c r="H187" i="76"/>
  <c r="H186" i="76"/>
  <c r="H185" i="76"/>
  <c r="H184" i="76"/>
  <c r="H183" i="76"/>
  <c r="H182" i="76"/>
  <c r="H181" i="76"/>
  <c r="H180" i="76"/>
  <c r="H179" i="76"/>
  <c r="G188" i="76"/>
  <c r="G187" i="76"/>
  <c r="G186" i="76"/>
  <c r="G185" i="76"/>
  <c r="G184" i="76"/>
  <c r="G183" i="76"/>
  <c r="G182" i="76"/>
  <c r="G181" i="76"/>
  <c r="G180" i="76"/>
  <c r="G179" i="76"/>
  <c r="F188" i="76"/>
  <c r="F187" i="76"/>
  <c r="F186" i="76"/>
  <c r="F185" i="76"/>
  <c r="F184" i="76"/>
  <c r="F183" i="76"/>
  <c r="F182" i="76"/>
  <c r="F181" i="76"/>
  <c r="F180" i="76"/>
  <c r="F179" i="76"/>
  <c r="D177" i="76"/>
  <c r="Z175" i="76"/>
  <c r="Y175" i="76"/>
  <c r="U175" i="76"/>
  <c r="S175" i="76"/>
  <c r="R175" i="76"/>
  <c r="P175" i="76"/>
  <c r="O175" i="76"/>
  <c r="M175" i="76"/>
  <c r="L175" i="76"/>
  <c r="K175" i="76"/>
  <c r="J175" i="76"/>
  <c r="I175" i="76"/>
  <c r="H175" i="76"/>
  <c r="G175" i="76"/>
  <c r="F175" i="76"/>
  <c r="AB174" i="76"/>
  <c r="Z174" i="76"/>
  <c r="Y174" i="76"/>
  <c r="S174" i="76"/>
  <c r="R174" i="76"/>
  <c r="P174" i="76"/>
  <c r="O174" i="76"/>
  <c r="M174" i="76"/>
  <c r="L174" i="76"/>
  <c r="K174" i="76"/>
  <c r="J174" i="76"/>
  <c r="I174" i="76"/>
  <c r="H174" i="76"/>
  <c r="G174" i="76"/>
  <c r="F174" i="76"/>
  <c r="AB173" i="76"/>
  <c r="Z173" i="76"/>
  <c r="Y173" i="76"/>
  <c r="U173" i="76"/>
  <c r="S173" i="76"/>
  <c r="R173" i="76"/>
  <c r="P173" i="76"/>
  <c r="O173" i="76"/>
  <c r="M173" i="76"/>
  <c r="L173" i="76"/>
  <c r="K173" i="76"/>
  <c r="J173" i="76"/>
  <c r="I173" i="76"/>
  <c r="H173" i="76"/>
  <c r="G173" i="76"/>
  <c r="F173" i="76"/>
  <c r="AB169" i="76"/>
  <c r="J169" i="76"/>
  <c r="I169" i="76"/>
  <c r="L158" i="76"/>
  <c r="K158" i="76"/>
  <c r="H158" i="76"/>
  <c r="G158" i="76"/>
  <c r="F158" i="76"/>
  <c r="AB160" i="76"/>
  <c r="J160" i="76"/>
  <c r="I160" i="76"/>
  <c r="AB156" i="76"/>
  <c r="J156" i="76"/>
  <c r="I156" i="76"/>
  <c r="D156" i="76"/>
  <c r="Z155" i="76"/>
  <c r="Y155" i="76"/>
  <c r="U155" i="76"/>
  <c r="X155" i="76" s="1"/>
  <c r="S155" i="76"/>
  <c r="R155" i="76"/>
  <c r="P155" i="76"/>
  <c r="O155" i="76"/>
  <c r="M155" i="76"/>
  <c r="L155" i="76"/>
  <c r="K155" i="76"/>
  <c r="H155" i="76"/>
  <c r="G155" i="76"/>
  <c r="F155" i="76"/>
  <c r="Z154" i="76"/>
  <c r="Z156" i="76" s="1"/>
  <c r="Y154" i="76"/>
  <c r="U154" i="76"/>
  <c r="S154" i="76"/>
  <c r="S156" i="76" s="1"/>
  <c r="R154" i="76"/>
  <c r="P154" i="76"/>
  <c r="P156" i="76" s="1"/>
  <c r="O154" i="76"/>
  <c r="M154" i="76"/>
  <c r="M156" i="76" s="1"/>
  <c r="L154" i="76"/>
  <c r="L156" i="76" s="1"/>
  <c r="K154" i="76"/>
  <c r="K156" i="76" s="1"/>
  <c r="H154" i="76"/>
  <c r="H156" i="76" s="1"/>
  <c r="G154" i="76"/>
  <c r="G156" i="76" s="1"/>
  <c r="F154" i="76"/>
  <c r="F156" i="76" s="1"/>
  <c r="AE23" i="76" l="1"/>
  <c r="T173" i="76"/>
  <c r="AE53" i="76"/>
  <c r="AE78" i="76"/>
  <c r="AE136" i="76"/>
  <c r="AE169" i="76"/>
  <c r="AE160" i="76"/>
  <c r="T175" i="76"/>
  <c r="AE124" i="76"/>
  <c r="AE19" i="76"/>
  <c r="AH128" i="76"/>
  <c r="AE152" i="76"/>
  <c r="AH43" i="76"/>
  <c r="AH114" i="76"/>
  <c r="O156" i="76"/>
  <c r="T154" i="76"/>
  <c r="T156" i="76" s="1"/>
  <c r="T155" i="76"/>
  <c r="AE112" i="76"/>
  <c r="AA175" i="76"/>
  <c r="AE202" i="76"/>
  <c r="AE71" i="76"/>
  <c r="AH144" i="76"/>
  <c r="Q154" i="76"/>
  <c r="R156" i="76"/>
  <c r="AE189" i="76"/>
  <c r="AE15" i="76"/>
  <c r="AH21" i="76"/>
  <c r="AH101" i="76"/>
  <c r="AH117" i="76"/>
  <c r="Q155" i="76"/>
  <c r="E156" i="76"/>
  <c r="Q175" i="76"/>
  <c r="AE177" i="76"/>
  <c r="AE142" i="76"/>
  <c r="AE94" i="76"/>
  <c r="AE32" i="76"/>
  <c r="AE9" i="76"/>
  <c r="AH73" i="76"/>
  <c r="AH162" i="76"/>
  <c r="AA154" i="76"/>
  <c r="F189" i="76"/>
  <c r="H189" i="76"/>
  <c r="X173" i="76"/>
  <c r="E160" i="76"/>
  <c r="Q174" i="76"/>
  <c r="Q173" i="76"/>
  <c r="E189" i="76"/>
  <c r="G189" i="76"/>
  <c r="O189" i="76"/>
  <c r="X154" i="76"/>
  <c r="X156" i="76" s="1"/>
  <c r="U156" i="76"/>
  <c r="E177" i="76"/>
  <c r="T174" i="76"/>
  <c r="AA174" i="76"/>
  <c r="Y156" i="76"/>
  <c r="AA173" i="76"/>
  <c r="AA155" i="76"/>
  <c r="X175" i="76"/>
  <c r="T5" i="76"/>
  <c r="J152" i="76"/>
  <c r="I152" i="76"/>
  <c r="D142" i="76"/>
  <c r="Z141" i="76"/>
  <c r="Y141" i="76"/>
  <c r="U141" i="76"/>
  <c r="X141" i="76" s="1"/>
  <c r="S141" i="76"/>
  <c r="R141" i="76"/>
  <c r="P141" i="76"/>
  <c r="O141" i="76"/>
  <c r="M141" i="76"/>
  <c r="L141" i="76"/>
  <c r="K141" i="76"/>
  <c r="H141" i="76"/>
  <c r="G141" i="76"/>
  <c r="F141" i="76"/>
  <c r="AB138" i="76"/>
  <c r="AB142" i="76" s="1"/>
  <c r="Y138" i="76"/>
  <c r="Z138" i="76"/>
  <c r="U138" i="76"/>
  <c r="X138" i="76" s="1"/>
  <c r="S138" i="76"/>
  <c r="R138" i="76"/>
  <c r="P138" i="76"/>
  <c r="O138" i="76"/>
  <c r="K138" i="76"/>
  <c r="H138" i="76"/>
  <c r="G138" i="76"/>
  <c r="F138" i="76"/>
  <c r="J142" i="76"/>
  <c r="I142" i="76"/>
  <c r="AB136" i="76"/>
  <c r="X136" i="76"/>
  <c r="J136" i="76"/>
  <c r="I136" i="76"/>
  <c r="Z135" i="76"/>
  <c r="Y135" i="76"/>
  <c r="S135" i="76"/>
  <c r="R135" i="76"/>
  <c r="P135" i="76"/>
  <c r="O135" i="76"/>
  <c r="M135" i="76"/>
  <c r="L135" i="76"/>
  <c r="K135" i="76"/>
  <c r="H135" i="76"/>
  <c r="G135" i="76"/>
  <c r="F135" i="76"/>
  <c r="Z128" i="76"/>
  <c r="Y128" i="76"/>
  <c r="S128" i="76"/>
  <c r="R128" i="76"/>
  <c r="M128" i="76"/>
  <c r="L128" i="76"/>
  <c r="H128" i="76"/>
  <c r="Y114" i="76"/>
  <c r="Z114" i="76"/>
  <c r="Z115" i="76" s="1"/>
  <c r="F100" i="76"/>
  <c r="AB98" i="76"/>
  <c r="G93" i="76"/>
  <c r="G92" i="76"/>
  <c r="G91" i="76"/>
  <c r="G90" i="76"/>
  <c r="G89" i="76"/>
  <c r="G88" i="76"/>
  <c r="G87" i="76"/>
  <c r="G86" i="76"/>
  <c r="G85" i="76"/>
  <c r="G84" i="76"/>
  <c r="F93" i="76"/>
  <c r="F92" i="76"/>
  <c r="F91" i="76"/>
  <c r="F90" i="76"/>
  <c r="F89" i="76"/>
  <c r="F88" i="76"/>
  <c r="F87" i="76"/>
  <c r="F86" i="76"/>
  <c r="F85" i="76"/>
  <c r="Z84" i="76"/>
  <c r="Y84" i="76"/>
  <c r="U84" i="76"/>
  <c r="S84" i="76"/>
  <c r="R84" i="76"/>
  <c r="P84" i="76"/>
  <c r="O84" i="76"/>
  <c r="M84" i="76"/>
  <c r="L84" i="76"/>
  <c r="K84" i="76"/>
  <c r="J84" i="76"/>
  <c r="I84" i="76"/>
  <c r="H84" i="76"/>
  <c r="F84" i="76"/>
  <c r="Z83" i="76"/>
  <c r="Y83" i="76"/>
  <c r="AA83" i="76" s="1"/>
  <c r="U83" i="76"/>
  <c r="S83" i="76"/>
  <c r="R83" i="76"/>
  <c r="P83" i="76"/>
  <c r="O83" i="76"/>
  <c r="M83" i="76"/>
  <c r="L83" i="76"/>
  <c r="K83" i="76"/>
  <c r="J83" i="76"/>
  <c r="I83" i="76"/>
  <c r="H83" i="76"/>
  <c r="G83" i="76"/>
  <c r="F83" i="76"/>
  <c r="AE80" i="76" l="1"/>
  <c r="AE170" i="76"/>
  <c r="AE125" i="76"/>
  <c r="AA156" i="76"/>
  <c r="I170" i="76"/>
  <c r="AC155" i="76"/>
  <c r="T128" i="76"/>
  <c r="T135" i="76"/>
  <c r="J170" i="76"/>
  <c r="AC154" i="76"/>
  <c r="Q83" i="76"/>
  <c r="F94" i="76"/>
  <c r="Q156" i="76"/>
  <c r="G94" i="76"/>
  <c r="AA84" i="76"/>
  <c r="Y115" i="76"/>
  <c r="AA114" i="76"/>
  <c r="AA115" i="76" s="1"/>
  <c r="T141" i="76"/>
  <c r="X83" i="76"/>
  <c r="T84" i="76"/>
  <c r="AA128" i="76"/>
  <c r="AA135" i="76"/>
  <c r="AA138" i="76"/>
  <c r="AA141" i="76"/>
  <c r="AC173" i="76"/>
  <c r="E94" i="76"/>
  <c r="T83" i="76"/>
  <c r="Q84" i="76"/>
  <c r="X84" i="76"/>
  <c r="E115" i="76"/>
  <c r="Q135" i="76"/>
  <c r="T138" i="76"/>
  <c r="Q141" i="76"/>
  <c r="I78" i="76"/>
  <c r="D78" i="76"/>
  <c r="Z77" i="76"/>
  <c r="Y77" i="76"/>
  <c r="U77" i="76"/>
  <c r="S77" i="76"/>
  <c r="R77" i="76"/>
  <c r="P77" i="76"/>
  <c r="O77" i="76"/>
  <c r="M77" i="76"/>
  <c r="L77" i="76"/>
  <c r="K77" i="76"/>
  <c r="J77" i="76"/>
  <c r="H77" i="76"/>
  <c r="G77" i="76"/>
  <c r="F77" i="76"/>
  <c r="Z76" i="76"/>
  <c r="Y76" i="76"/>
  <c r="U76" i="76"/>
  <c r="S76" i="76"/>
  <c r="R76" i="76"/>
  <c r="P76" i="76"/>
  <c r="O76" i="76"/>
  <c r="M76" i="76"/>
  <c r="L76" i="76"/>
  <c r="K76" i="76"/>
  <c r="J76" i="76"/>
  <c r="H76" i="76"/>
  <c r="G76" i="76"/>
  <c r="F76" i="76"/>
  <c r="Z75" i="76"/>
  <c r="Y75" i="76"/>
  <c r="U75" i="76"/>
  <c r="S75" i="76"/>
  <c r="R75" i="76"/>
  <c r="P75" i="76"/>
  <c r="O75" i="76"/>
  <c r="M75" i="76"/>
  <c r="L75" i="76"/>
  <c r="K75" i="76"/>
  <c r="J75" i="76"/>
  <c r="H75" i="76"/>
  <c r="G75" i="76"/>
  <c r="F75" i="76"/>
  <c r="Z74" i="76"/>
  <c r="Y74" i="76"/>
  <c r="AA74" i="76" s="1"/>
  <c r="U74" i="76"/>
  <c r="S74" i="76"/>
  <c r="R74" i="76"/>
  <c r="P74" i="76"/>
  <c r="O74" i="76"/>
  <c r="M74" i="76"/>
  <c r="L74" i="76"/>
  <c r="K74" i="76"/>
  <c r="J74" i="76"/>
  <c r="H74" i="76"/>
  <c r="G74" i="76"/>
  <c r="F74" i="76"/>
  <c r="AB73" i="76"/>
  <c r="AB78" i="76" s="1"/>
  <c r="Z73" i="76"/>
  <c r="Y73" i="76"/>
  <c r="U73" i="76"/>
  <c r="U78" i="76" s="1"/>
  <c r="S73" i="76"/>
  <c r="R73" i="76"/>
  <c r="P73" i="76"/>
  <c r="O73" i="76"/>
  <c r="O78" i="76" s="1"/>
  <c r="M73" i="76"/>
  <c r="L73" i="76"/>
  <c r="K73" i="76"/>
  <c r="J73" i="76"/>
  <c r="J78" i="76" s="1"/>
  <c r="H73" i="76"/>
  <c r="G73" i="76"/>
  <c r="F73" i="76"/>
  <c r="Z70" i="76"/>
  <c r="Y70" i="76"/>
  <c r="U70" i="76"/>
  <c r="S70" i="76"/>
  <c r="R70" i="76"/>
  <c r="P70" i="76"/>
  <c r="O70" i="76"/>
  <c r="M70" i="76"/>
  <c r="L70" i="76"/>
  <c r="K70" i="76"/>
  <c r="J70" i="76"/>
  <c r="H70" i="76"/>
  <c r="G70" i="76"/>
  <c r="F70" i="76"/>
  <c r="Z69" i="76"/>
  <c r="Y69" i="76"/>
  <c r="AA69" i="76" s="1"/>
  <c r="U69" i="76"/>
  <c r="S69" i="76"/>
  <c r="R69" i="76"/>
  <c r="P69" i="76"/>
  <c r="O69" i="76"/>
  <c r="M69" i="76"/>
  <c r="L69" i="76"/>
  <c r="K69" i="76"/>
  <c r="J69" i="76"/>
  <c r="H69" i="76"/>
  <c r="G69" i="76"/>
  <c r="F69" i="76"/>
  <c r="Z68" i="76"/>
  <c r="Y68" i="76"/>
  <c r="U68" i="76"/>
  <c r="X68" i="76" s="1"/>
  <c r="S68" i="76"/>
  <c r="R68" i="76"/>
  <c r="P68" i="76"/>
  <c r="O68" i="76"/>
  <c r="M68" i="76"/>
  <c r="L68" i="76"/>
  <c r="K68" i="76"/>
  <c r="J68" i="76"/>
  <c r="H68" i="76"/>
  <c r="G68" i="76"/>
  <c r="F68" i="76"/>
  <c r="Z67" i="76"/>
  <c r="Y67" i="76"/>
  <c r="U67" i="76"/>
  <c r="S67" i="76"/>
  <c r="R67" i="76"/>
  <c r="P67" i="76"/>
  <c r="O67" i="76"/>
  <c r="M67" i="76"/>
  <c r="L67" i="76"/>
  <c r="K67" i="76"/>
  <c r="J67" i="76"/>
  <c r="H67" i="76"/>
  <c r="G67" i="76"/>
  <c r="F67" i="76"/>
  <c r="Z66" i="76"/>
  <c r="Y66" i="76"/>
  <c r="U66" i="76"/>
  <c r="S66" i="76"/>
  <c r="R66" i="76"/>
  <c r="P66" i="76"/>
  <c r="O66" i="76"/>
  <c r="M66" i="76"/>
  <c r="L66" i="76"/>
  <c r="K66" i="76"/>
  <c r="J66" i="76"/>
  <c r="H66" i="76"/>
  <c r="G66" i="76"/>
  <c r="F66" i="76"/>
  <c r="Z65" i="76"/>
  <c r="AA65" i="76"/>
  <c r="U65" i="76"/>
  <c r="S65" i="76"/>
  <c r="R65" i="76"/>
  <c r="P65" i="76"/>
  <c r="O65" i="76"/>
  <c r="M65" i="76"/>
  <c r="L65" i="76"/>
  <c r="K65" i="76"/>
  <c r="J65" i="76"/>
  <c r="H65" i="76"/>
  <c r="G65" i="76"/>
  <c r="F65" i="76"/>
  <c r="Z64" i="76"/>
  <c r="U64" i="76"/>
  <c r="S64" i="76"/>
  <c r="R64" i="76"/>
  <c r="P64" i="76"/>
  <c r="O64" i="76"/>
  <c r="M64" i="76"/>
  <c r="L64" i="76"/>
  <c r="K64" i="76"/>
  <c r="J64" i="76"/>
  <c r="H64" i="76"/>
  <c r="G64" i="76"/>
  <c r="F64" i="76"/>
  <c r="Z63" i="76"/>
  <c r="Y63" i="76"/>
  <c r="U63" i="76"/>
  <c r="S63" i="76"/>
  <c r="R63" i="76"/>
  <c r="P63" i="76"/>
  <c r="O63" i="76"/>
  <c r="M63" i="76"/>
  <c r="L63" i="76"/>
  <c r="K63" i="76"/>
  <c r="J63" i="76"/>
  <c r="H63" i="76"/>
  <c r="G63" i="76"/>
  <c r="F63" i="76"/>
  <c r="Z62" i="76"/>
  <c r="Y62" i="76"/>
  <c r="U62" i="76"/>
  <c r="S62" i="76"/>
  <c r="R62" i="76"/>
  <c r="P62" i="76"/>
  <c r="O62" i="76"/>
  <c r="M62" i="76"/>
  <c r="L62" i="76"/>
  <c r="K62" i="76"/>
  <c r="J62" i="76"/>
  <c r="H62" i="76"/>
  <c r="G62" i="76"/>
  <c r="F62" i="76"/>
  <c r="Z61" i="76"/>
  <c r="Y61" i="76"/>
  <c r="AA61" i="76" s="1"/>
  <c r="U61" i="76"/>
  <c r="S61" i="76"/>
  <c r="R61" i="76"/>
  <c r="P61" i="76"/>
  <c r="O61" i="76"/>
  <c r="M61" i="76"/>
  <c r="L61" i="76"/>
  <c r="K61" i="76"/>
  <c r="J61" i="76"/>
  <c r="H61" i="76"/>
  <c r="G61" i="76"/>
  <c r="F61" i="76"/>
  <c r="Z60" i="76"/>
  <c r="Y60" i="76"/>
  <c r="U60" i="76"/>
  <c r="S60" i="76"/>
  <c r="R60" i="76"/>
  <c r="P60" i="76"/>
  <c r="O60" i="76"/>
  <c r="M60" i="76"/>
  <c r="L60" i="76"/>
  <c r="K60" i="76"/>
  <c r="J60" i="76"/>
  <c r="H60" i="76"/>
  <c r="G60" i="76"/>
  <c r="F60" i="76"/>
  <c r="Z59" i="76"/>
  <c r="Y59" i="76"/>
  <c r="W59" i="76"/>
  <c r="V59" i="76"/>
  <c r="U59" i="76"/>
  <c r="S59" i="76"/>
  <c r="R59" i="76"/>
  <c r="P59" i="76"/>
  <c r="O59" i="76"/>
  <c r="M59" i="76"/>
  <c r="L59" i="76"/>
  <c r="K59" i="76"/>
  <c r="J59" i="76"/>
  <c r="H59" i="76"/>
  <c r="G59" i="76"/>
  <c r="F59" i="76"/>
  <c r="AB58" i="76"/>
  <c r="Z58" i="76"/>
  <c r="Y58" i="76"/>
  <c r="AA58" i="76" s="1"/>
  <c r="W58" i="76"/>
  <c r="V58" i="76"/>
  <c r="U58" i="76"/>
  <c r="S58" i="76"/>
  <c r="R58" i="76"/>
  <c r="P58" i="76"/>
  <c r="O58" i="76"/>
  <c r="M58" i="76"/>
  <c r="L58" i="76"/>
  <c r="K58" i="76"/>
  <c r="J58" i="76"/>
  <c r="H58" i="76"/>
  <c r="G58" i="76"/>
  <c r="F58" i="76"/>
  <c r="AB57" i="76"/>
  <c r="Z57" i="76"/>
  <c r="Y57" i="76"/>
  <c r="U57" i="76"/>
  <c r="S57" i="76"/>
  <c r="R57" i="76"/>
  <c r="P57" i="76"/>
  <c r="O57" i="76"/>
  <c r="M57" i="76"/>
  <c r="L57" i="76"/>
  <c r="K57" i="76"/>
  <c r="J57" i="76"/>
  <c r="H57" i="76"/>
  <c r="G57" i="76"/>
  <c r="F57" i="76"/>
  <c r="AB56" i="76"/>
  <c r="Z56" i="76"/>
  <c r="Y56" i="76"/>
  <c r="AA56" i="76" s="1"/>
  <c r="U56" i="76"/>
  <c r="S56" i="76"/>
  <c r="R56" i="76"/>
  <c r="P56" i="76"/>
  <c r="O56" i="76"/>
  <c r="M56" i="76"/>
  <c r="L56" i="76"/>
  <c r="K56" i="76"/>
  <c r="J56" i="76"/>
  <c r="H56" i="76"/>
  <c r="G56" i="76"/>
  <c r="F56" i="76"/>
  <c r="AB55" i="76"/>
  <c r="Z55" i="76"/>
  <c r="Y55" i="76"/>
  <c r="U55" i="76"/>
  <c r="S55" i="76"/>
  <c r="R55" i="76"/>
  <c r="P55" i="76"/>
  <c r="O55" i="76"/>
  <c r="M55" i="76"/>
  <c r="L55" i="76"/>
  <c r="K55" i="76"/>
  <c r="J55" i="76"/>
  <c r="H55" i="76"/>
  <c r="G55" i="76"/>
  <c r="F55" i="76"/>
  <c r="I71" i="76"/>
  <c r="I53" i="76"/>
  <c r="U48" i="76"/>
  <c r="S48" i="76"/>
  <c r="R48" i="76"/>
  <c r="P48" i="76"/>
  <c r="O48" i="76"/>
  <c r="M48" i="76"/>
  <c r="L48" i="76"/>
  <c r="K48" i="76"/>
  <c r="J48" i="76"/>
  <c r="H48" i="76"/>
  <c r="G48" i="76"/>
  <c r="F48" i="76"/>
  <c r="S47" i="76"/>
  <c r="R47" i="76"/>
  <c r="P47" i="76"/>
  <c r="O47" i="76"/>
  <c r="M47" i="76"/>
  <c r="L47" i="76"/>
  <c r="K47" i="76"/>
  <c r="J47" i="76"/>
  <c r="H47" i="76"/>
  <c r="G47" i="76"/>
  <c r="F47" i="76"/>
  <c r="Z46" i="76"/>
  <c r="Y46" i="76"/>
  <c r="W46" i="76"/>
  <c r="V46" i="76"/>
  <c r="U46" i="76"/>
  <c r="X46" i="76" s="1"/>
  <c r="S46" i="76"/>
  <c r="R46" i="76"/>
  <c r="P46" i="76"/>
  <c r="O46" i="76"/>
  <c r="M46" i="76"/>
  <c r="L46" i="76"/>
  <c r="K46" i="76"/>
  <c r="J46" i="76"/>
  <c r="H46" i="76"/>
  <c r="G46" i="76"/>
  <c r="F46" i="76"/>
  <c r="Q46" i="76" s="1"/>
  <c r="Z45" i="76"/>
  <c r="Y45" i="76"/>
  <c r="AA45" i="76" s="1"/>
  <c r="V45" i="76"/>
  <c r="U45" i="76"/>
  <c r="S45" i="76"/>
  <c r="R45" i="76"/>
  <c r="P45" i="76"/>
  <c r="O45" i="76"/>
  <c r="M45" i="76"/>
  <c r="L45" i="76"/>
  <c r="K45" i="76"/>
  <c r="J45" i="76"/>
  <c r="H45" i="76"/>
  <c r="G45" i="76"/>
  <c r="F45" i="76"/>
  <c r="Z44" i="76"/>
  <c r="Y44" i="76"/>
  <c r="W44" i="76"/>
  <c r="V44" i="76"/>
  <c r="S44" i="76"/>
  <c r="R44" i="76"/>
  <c r="P44" i="76"/>
  <c r="O44" i="76"/>
  <c r="M44" i="76"/>
  <c r="L44" i="76"/>
  <c r="K44" i="76"/>
  <c r="J44" i="76"/>
  <c r="H44" i="76"/>
  <c r="G44" i="76"/>
  <c r="F44" i="76"/>
  <c r="AB43" i="76"/>
  <c r="AB53" i="76" s="1"/>
  <c r="Z43" i="76"/>
  <c r="Y43" i="76"/>
  <c r="AA43" i="76" s="1"/>
  <c r="U43" i="76"/>
  <c r="S43" i="76"/>
  <c r="R43" i="76"/>
  <c r="P43" i="76"/>
  <c r="O43" i="76"/>
  <c r="M43" i="76"/>
  <c r="L43" i="76"/>
  <c r="K43" i="76"/>
  <c r="J43" i="76"/>
  <c r="H43" i="76"/>
  <c r="G43" i="76"/>
  <c r="F43" i="76"/>
  <c r="AB38" i="76"/>
  <c r="Z38" i="76"/>
  <c r="Y38" i="76"/>
  <c r="AA38" i="76" s="1"/>
  <c r="U38" i="76"/>
  <c r="S38" i="76"/>
  <c r="R38" i="76"/>
  <c r="P38" i="76"/>
  <c r="O38" i="76"/>
  <c r="M38" i="76"/>
  <c r="L38" i="76"/>
  <c r="K38" i="76"/>
  <c r="J38" i="76"/>
  <c r="H38" i="76"/>
  <c r="G38" i="76"/>
  <c r="F38" i="76"/>
  <c r="AB37" i="76"/>
  <c r="Z37" i="76"/>
  <c r="Y37" i="76"/>
  <c r="U37" i="76"/>
  <c r="X37" i="76" s="1"/>
  <c r="S37" i="76"/>
  <c r="R37" i="76"/>
  <c r="P37" i="76"/>
  <c r="O37" i="76"/>
  <c r="M37" i="76"/>
  <c r="L37" i="76"/>
  <c r="K37" i="76"/>
  <c r="J37" i="76"/>
  <c r="H37" i="76"/>
  <c r="G37" i="76"/>
  <c r="F37" i="76"/>
  <c r="Q37" i="76" s="1"/>
  <c r="AB36" i="76"/>
  <c r="Z36" i="76"/>
  <c r="Y36" i="76"/>
  <c r="U36" i="76"/>
  <c r="S36" i="76"/>
  <c r="R36" i="76"/>
  <c r="P36" i="76"/>
  <c r="O36" i="76"/>
  <c r="M36" i="76"/>
  <c r="L36" i="76"/>
  <c r="K36" i="76"/>
  <c r="H36" i="76"/>
  <c r="G36" i="76"/>
  <c r="F36" i="76"/>
  <c r="AB35" i="76"/>
  <c r="Z35" i="76"/>
  <c r="Y35" i="76"/>
  <c r="U35" i="76"/>
  <c r="S35" i="76"/>
  <c r="R35" i="76"/>
  <c r="P35" i="76"/>
  <c r="O35" i="76"/>
  <c r="M35" i="76"/>
  <c r="L35" i="76"/>
  <c r="K35" i="76"/>
  <c r="J35" i="76"/>
  <c r="H35" i="76"/>
  <c r="G35" i="76"/>
  <c r="F35" i="76"/>
  <c r="U34" i="76"/>
  <c r="Z34" i="76"/>
  <c r="Y34" i="76"/>
  <c r="AA34" i="76" s="1"/>
  <c r="S34" i="76"/>
  <c r="R34" i="76"/>
  <c r="P34" i="76"/>
  <c r="O34" i="76"/>
  <c r="M34" i="76"/>
  <c r="L34" i="76"/>
  <c r="K34" i="76"/>
  <c r="J34" i="76"/>
  <c r="H34" i="76"/>
  <c r="G34" i="76"/>
  <c r="F34" i="76"/>
  <c r="I39" i="76"/>
  <c r="D39" i="76"/>
  <c r="I32" i="76"/>
  <c r="AB31" i="76"/>
  <c r="Y31" i="76"/>
  <c r="Z31" i="76"/>
  <c r="U31" i="76"/>
  <c r="S31" i="76"/>
  <c r="R31" i="76"/>
  <c r="P31" i="76"/>
  <c r="O31" i="76"/>
  <c r="M31" i="76"/>
  <c r="L31" i="76"/>
  <c r="K31" i="76"/>
  <c r="J31" i="76"/>
  <c r="H31" i="76"/>
  <c r="G31" i="76"/>
  <c r="F31" i="76"/>
  <c r="AB30" i="76"/>
  <c r="Z30" i="76"/>
  <c r="Y30" i="76"/>
  <c r="U30" i="76"/>
  <c r="S30" i="76"/>
  <c r="R30" i="76"/>
  <c r="P30" i="76"/>
  <c r="O30" i="76"/>
  <c r="M30" i="76"/>
  <c r="L30" i="76"/>
  <c r="K30" i="76"/>
  <c r="J30" i="76"/>
  <c r="H30" i="76"/>
  <c r="G30" i="76"/>
  <c r="F30" i="76"/>
  <c r="Z29" i="76"/>
  <c r="Y29" i="76"/>
  <c r="U29" i="76"/>
  <c r="X29" i="76" s="1"/>
  <c r="P29" i="76"/>
  <c r="O29" i="76"/>
  <c r="M29" i="76"/>
  <c r="L29" i="76"/>
  <c r="K29" i="76"/>
  <c r="J29" i="76"/>
  <c r="H29" i="76"/>
  <c r="G29" i="76"/>
  <c r="F29" i="76"/>
  <c r="S29" i="76"/>
  <c r="R29" i="76"/>
  <c r="L28" i="76"/>
  <c r="AB28" i="76"/>
  <c r="AB29" i="76"/>
  <c r="K28" i="76"/>
  <c r="J28" i="76"/>
  <c r="H28" i="76"/>
  <c r="G28" i="76"/>
  <c r="F28" i="76"/>
  <c r="AB27" i="76"/>
  <c r="Z27" i="76"/>
  <c r="Y27" i="76"/>
  <c r="U27" i="76"/>
  <c r="S27" i="76"/>
  <c r="R27" i="76"/>
  <c r="P27" i="76"/>
  <c r="O27" i="76"/>
  <c r="M27" i="76"/>
  <c r="L27" i="76"/>
  <c r="K27" i="76"/>
  <c r="J27" i="76"/>
  <c r="H27" i="76"/>
  <c r="G27" i="76"/>
  <c r="F27" i="76"/>
  <c r="AB25" i="76"/>
  <c r="Z25" i="76"/>
  <c r="Y25" i="76"/>
  <c r="P25" i="76"/>
  <c r="U25" i="76"/>
  <c r="X25" i="76" s="1"/>
  <c r="S25" i="76"/>
  <c r="R25" i="76"/>
  <c r="O25" i="76"/>
  <c r="O26" i="76"/>
  <c r="M25" i="76"/>
  <c r="L25" i="76"/>
  <c r="K25" i="76"/>
  <c r="J25" i="76"/>
  <c r="H25" i="76"/>
  <c r="G25" i="76"/>
  <c r="F25" i="76"/>
  <c r="Q25" i="76" s="1"/>
  <c r="Z22" i="76"/>
  <c r="Y22" i="76"/>
  <c r="AA22" i="76" s="1"/>
  <c r="U22" i="76"/>
  <c r="S22" i="76"/>
  <c r="R22" i="76"/>
  <c r="P22" i="76"/>
  <c r="O22" i="76"/>
  <c r="M22" i="76"/>
  <c r="L22" i="76"/>
  <c r="K22" i="76"/>
  <c r="J22" i="76"/>
  <c r="H22" i="76"/>
  <c r="G22" i="76"/>
  <c r="F22" i="76"/>
  <c r="AB21" i="76"/>
  <c r="Z21" i="76"/>
  <c r="Y21" i="76"/>
  <c r="U21" i="76"/>
  <c r="S21" i="76"/>
  <c r="R21" i="76"/>
  <c r="P21" i="76"/>
  <c r="O21" i="76"/>
  <c r="M21" i="76"/>
  <c r="L21" i="76"/>
  <c r="K21" i="76"/>
  <c r="J21" i="76"/>
  <c r="H21" i="76"/>
  <c r="G21" i="76"/>
  <c r="F21" i="76"/>
  <c r="AB18" i="76"/>
  <c r="Z18" i="76"/>
  <c r="Y18" i="76"/>
  <c r="AA18" i="76" s="1"/>
  <c r="U18" i="76"/>
  <c r="S18" i="76"/>
  <c r="R18" i="76"/>
  <c r="P18" i="76"/>
  <c r="O18" i="76"/>
  <c r="M18" i="76"/>
  <c r="L18" i="76"/>
  <c r="K18" i="76"/>
  <c r="J18" i="76"/>
  <c r="H18" i="76"/>
  <c r="G18" i="76"/>
  <c r="F18" i="76"/>
  <c r="AB17" i="76"/>
  <c r="Z17" i="76"/>
  <c r="Y17" i="76"/>
  <c r="AA17" i="76" s="1"/>
  <c r="U17" i="76"/>
  <c r="X17" i="76" s="1"/>
  <c r="R17" i="76"/>
  <c r="T17" i="76" s="1"/>
  <c r="P17" i="76"/>
  <c r="O17" i="76"/>
  <c r="M17" i="76"/>
  <c r="L17" i="76"/>
  <c r="K17" i="76"/>
  <c r="J17" i="76"/>
  <c r="H17" i="76"/>
  <c r="G17" i="76"/>
  <c r="I80" i="76" l="1"/>
  <c r="AI44" i="76"/>
  <c r="AJ44" i="76" s="1"/>
  <c r="T66" i="76"/>
  <c r="T70" i="76"/>
  <c r="AF45" i="76"/>
  <c r="T22" i="76"/>
  <c r="T27" i="76"/>
  <c r="T31" i="76"/>
  <c r="T35" i="76"/>
  <c r="T38" i="76"/>
  <c r="T46" i="76"/>
  <c r="AF58" i="76"/>
  <c r="T25" i="76"/>
  <c r="AC156" i="76"/>
  <c r="T34" i="76"/>
  <c r="T62" i="76"/>
  <c r="Q64" i="76"/>
  <c r="X64" i="76"/>
  <c r="Q68" i="76"/>
  <c r="F78" i="76"/>
  <c r="K78" i="76"/>
  <c r="G78" i="76"/>
  <c r="T75" i="76"/>
  <c r="Q77" i="76"/>
  <c r="X77" i="76"/>
  <c r="AE39" i="76"/>
  <c r="O39" i="76"/>
  <c r="L78" i="76"/>
  <c r="AA55" i="76"/>
  <c r="AB71" i="76"/>
  <c r="AB80" i="76" s="1"/>
  <c r="AA57" i="76"/>
  <c r="AI58" i="76"/>
  <c r="AJ58" i="76" s="1"/>
  <c r="AA59" i="76"/>
  <c r="AF59" i="76" s="1"/>
  <c r="T60" i="76"/>
  <c r="Q62" i="76"/>
  <c r="X62" i="76"/>
  <c r="AA63" i="76"/>
  <c r="T64" i="76"/>
  <c r="AA67" i="76"/>
  <c r="T68" i="76"/>
  <c r="H78" i="76"/>
  <c r="M78" i="76"/>
  <c r="S78" i="76"/>
  <c r="AA73" i="76"/>
  <c r="Z78" i="76"/>
  <c r="AA76" i="76"/>
  <c r="T77" i="76"/>
  <c r="Q29" i="76"/>
  <c r="Q31" i="76"/>
  <c r="Q35" i="76"/>
  <c r="X35" i="76"/>
  <c r="Q38" i="76"/>
  <c r="X38" i="76"/>
  <c r="Q18" i="76"/>
  <c r="X18" i="76"/>
  <c r="T21" i="76"/>
  <c r="T23" i="76" s="1"/>
  <c r="AA21" i="76"/>
  <c r="AA23" i="76" s="1"/>
  <c r="AA25" i="76"/>
  <c r="AA29" i="76"/>
  <c r="T30" i="76"/>
  <c r="AA30" i="76"/>
  <c r="AA31" i="76"/>
  <c r="S39" i="76"/>
  <c r="X36" i="76"/>
  <c r="AA37" i="76"/>
  <c r="T43" i="76"/>
  <c r="Q44" i="76"/>
  <c r="Q45" i="76"/>
  <c r="X45" i="76"/>
  <c r="AA46" i="76"/>
  <c r="T47" i="76"/>
  <c r="Q48" i="76"/>
  <c r="X48" i="76"/>
  <c r="T55" i="76"/>
  <c r="Q56" i="76"/>
  <c r="X56" i="76"/>
  <c r="T57" i="76"/>
  <c r="Q58" i="76"/>
  <c r="X58" i="76"/>
  <c r="T59" i="76"/>
  <c r="Q61" i="76"/>
  <c r="X61" i="76"/>
  <c r="AA62" i="76"/>
  <c r="T63" i="76"/>
  <c r="Q65" i="76"/>
  <c r="X65" i="76"/>
  <c r="AA66" i="76"/>
  <c r="T67" i="76"/>
  <c r="Q69" i="76"/>
  <c r="X69" i="76"/>
  <c r="AA70" i="76"/>
  <c r="T73" i="76"/>
  <c r="Q74" i="76"/>
  <c r="X74" i="76"/>
  <c r="AA75" i="76"/>
  <c r="T76" i="76"/>
  <c r="Y78" i="76"/>
  <c r="AC141" i="76"/>
  <c r="AC128" i="76"/>
  <c r="P39" i="76"/>
  <c r="Q66" i="76"/>
  <c r="X66" i="76"/>
  <c r="Q70" i="76"/>
  <c r="X70" i="76"/>
  <c r="Q75" i="76"/>
  <c r="X75" i="76"/>
  <c r="E78" i="76"/>
  <c r="R78" i="76"/>
  <c r="T18" i="76"/>
  <c r="Q21" i="76"/>
  <c r="X21" i="76"/>
  <c r="AA27" i="76"/>
  <c r="T29" i="76"/>
  <c r="Q30" i="76"/>
  <c r="X30" i="76"/>
  <c r="Q34" i="76"/>
  <c r="X34" i="76"/>
  <c r="AA35" i="76"/>
  <c r="T36" i="76"/>
  <c r="AA36" i="76"/>
  <c r="Q43" i="76"/>
  <c r="X43" i="76"/>
  <c r="T44" i="76"/>
  <c r="AA44" i="76"/>
  <c r="T45" i="76"/>
  <c r="AI46" i="76"/>
  <c r="AJ46" i="76" s="1"/>
  <c r="Q47" i="76"/>
  <c r="T48" i="76"/>
  <c r="Q55" i="76"/>
  <c r="X55" i="76"/>
  <c r="T56" i="76"/>
  <c r="Q57" i="76"/>
  <c r="X57" i="76"/>
  <c r="T58" i="76"/>
  <c r="Q59" i="76"/>
  <c r="X59" i="76"/>
  <c r="AA60" i="76"/>
  <c r="T61" i="76"/>
  <c r="Q63" i="76"/>
  <c r="X63" i="76"/>
  <c r="AA64" i="76"/>
  <c r="T65" i="76"/>
  <c r="Q67" i="76"/>
  <c r="X67" i="76"/>
  <c r="AA68" i="76"/>
  <c r="T69" i="76"/>
  <c r="Q73" i="76"/>
  <c r="X73" i="76"/>
  <c r="T74" i="76"/>
  <c r="Q76" i="76"/>
  <c r="X76" i="76"/>
  <c r="AA77" i="76"/>
  <c r="AC135" i="76"/>
  <c r="E19" i="76"/>
  <c r="Q17" i="76"/>
  <c r="AC17" i="76" s="1"/>
  <c r="Q22" i="76"/>
  <c r="X22" i="76"/>
  <c r="Q27" i="76"/>
  <c r="X27" i="76"/>
  <c r="X31" i="76"/>
  <c r="R39" i="76"/>
  <c r="T37" i="76"/>
  <c r="AI59" i="76"/>
  <c r="AJ59" i="76" s="1"/>
  <c r="Q60" i="76"/>
  <c r="X60" i="76"/>
  <c r="P78" i="76"/>
  <c r="U39" i="76"/>
  <c r="R71" i="76"/>
  <c r="S71" i="76"/>
  <c r="O71" i="76"/>
  <c r="P71" i="76"/>
  <c r="H71" i="76"/>
  <c r="G71" i="76"/>
  <c r="F71" i="76"/>
  <c r="Z71" i="76"/>
  <c r="Y71" i="76"/>
  <c r="M71" i="76"/>
  <c r="L71" i="76"/>
  <c r="K71" i="76"/>
  <c r="J71" i="76"/>
  <c r="U71" i="76"/>
  <c r="E71" i="76"/>
  <c r="M39" i="76"/>
  <c r="K39" i="76"/>
  <c r="H39" i="76"/>
  <c r="G39" i="76"/>
  <c r="F39" i="76"/>
  <c r="E39" i="76"/>
  <c r="Z39" i="76"/>
  <c r="Y39" i="76"/>
  <c r="L39" i="76"/>
  <c r="Z14" i="76"/>
  <c r="Y14" i="76"/>
  <c r="U14" i="76"/>
  <c r="S14" i="76"/>
  <c r="R14" i="76"/>
  <c r="P14" i="76"/>
  <c r="O14" i="76"/>
  <c r="M14" i="76"/>
  <c r="L14" i="76"/>
  <c r="K14" i="76"/>
  <c r="J14" i="76"/>
  <c r="H14" i="76"/>
  <c r="G14" i="76"/>
  <c r="Z13" i="76"/>
  <c r="Y13" i="76"/>
  <c r="U13" i="76"/>
  <c r="R13" i="76"/>
  <c r="S13" i="76"/>
  <c r="S12" i="76"/>
  <c r="P13" i="76"/>
  <c r="O13" i="76"/>
  <c r="M13" i="76"/>
  <c r="L13" i="76"/>
  <c r="K13" i="76"/>
  <c r="J13" i="76"/>
  <c r="H13" i="76"/>
  <c r="G13" i="76"/>
  <c r="Z12" i="76"/>
  <c r="Y12" i="76"/>
  <c r="U12" i="76"/>
  <c r="R12" i="76"/>
  <c r="T12" i="76" s="1"/>
  <c r="P12" i="76"/>
  <c r="O12" i="76"/>
  <c r="M12" i="76"/>
  <c r="L12" i="76"/>
  <c r="K12" i="76"/>
  <c r="J12" i="76"/>
  <c r="H12" i="76"/>
  <c r="G12" i="76"/>
  <c r="AB145" i="76"/>
  <c r="AB144" i="76"/>
  <c r="AB119" i="76"/>
  <c r="AB118" i="76"/>
  <c r="AB101" i="76"/>
  <c r="AB100" i="76"/>
  <c r="AB33" i="76"/>
  <c r="AB26" i="76"/>
  <c r="AB32" i="76" s="1"/>
  <c r="AB8" i="76"/>
  <c r="AB7" i="76"/>
  <c r="AB6" i="76"/>
  <c r="AB5" i="76"/>
  <c r="Z11" i="76"/>
  <c r="Y11" i="76"/>
  <c r="U11" i="76"/>
  <c r="S28" i="76"/>
  <c r="S26" i="76"/>
  <c r="S23" i="76"/>
  <c r="R11" i="76"/>
  <c r="T11" i="76" s="1"/>
  <c r="P11" i="76"/>
  <c r="P15" i="76" s="1"/>
  <c r="O11" i="76"/>
  <c r="M11" i="76"/>
  <c r="L11" i="76"/>
  <c r="K11" i="76"/>
  <c r="K15" i="76" s="1"/>
  <c r="J11" i="76"/>
  <c r="H11" i="76"/>
  <c r="G11" i="76"/>
  <c r="G26" i="76"/>
  <c r="G32" i="76" s="1"/>
  <c r="F26" i="76"/>
  <c r="F32" i="76" s="1"/>
  <c r="D23" i="76"/>
  <c r="AB23" i="76"/>
  <c r="U23" i="76"/>
  <c r="R23" i="76"/>
  <c r="P23" i="76"/>
  <c r="O23" i="76"/>
  <c r="I23" i="76"/>
  <c r="AB19" i="76"/>
  <c r="AA19" i="76"/>
  <c r="Z19" i="76"/>
  <c r="Y19" i="76"/>
  <c r="X19" i="76"/>
  <c r="U19" i="76"/>
  <c r="T19" i="76"/>
  <c r="S19" i="76"/>
  <c r="R19" i="76"/>
  <c r="P19" i="76"/>
  <c r="O19" i="76"/>
  <c r="M19" i="76"/>
  <c r="L19" i="76"/>
  <c r="K19" i="76"/>
  <c r="J19" i="76"/>
  <c r="I19" i="76"/>
  <c r="H19" i="76"/>
  <c r="G19" i="76"/>
  <c r="F19" i="76"/>
  <c r="D19" i="76"/>
  <c r="I15" i="76"/>
  <c r="D15" i="76"/>
  <c r="I9" i="76"/>
  <c r="D9" i="76"/>
  <c r="AB201" i="76"/>
  <c r="Z201" i="76"/>
  <c r="Y201" i="76"/>
  <c r="U201" i="76"/>
  <c r="S201" i="76"/>
  <c r="R201" i="76"/>
  <c r="P201" i="76"/>
  <c r="O201" i="76"/>
  <c r="M201" i="76"/>
  <c r="L201" i="76"/>
  <c r="K201" i="76"/>
  <c r="J201" i="76"/>
  <c r="I201" i="76"/>
  <c r="H201" i="76"/>
  <c r="G201" i="76"/>
  <c r="F201" i="76"/>
  <c r="AB200" i="76"/>
  <c r="Z200" i="76"/>
  <c r="Y200" i="76"/>
  <c r="U200" i="76"/>
  <c r="S200" i="76"/>
  <c r="R200" i="76"/>
  <c r="P200" i="76"/>
  <c r="O200" i="76"/>
  <c r="M200" i="76"/>
  <c r="L200" i="76"/>
  <c r="K200" i="76"/>
  <c r="J200" i="76"/>
  <c r="I200" i="76"/>
  <c r="H200" i="76"/>
  <c r="G200" i="76"/>
  <c r="F200" i="76"/>
  <c r="AB199" i="76"/>
  <c r="Z199" i="76"/>
  <c r="Y199" i="76"/>
  <c r="U199" i="76"/>
  <c r="S199" i="76"/>
  <c r="R199" i="76"/>
  <c r="P199" i="76"/>
  <c r="O199" i="76"/>
  <c r="M199" i="76"/>
  <c r="L199" i="76"/>
  <c r="K199" i="76"/>
  <c r="J199" i="76"/>
  <c r="I199" i="76"/>
  <c r="H199" i="76"/>
  <c r="G199" i="76"/>
  <c r="F199" i="76"/>
  <c r="Q199" i="76" s="1"/>
  <c r="AB198" i="76"/>
  <c r="Z198" i="76"/>
  <c r="Y198" i="76"/>
  <c r="U198" i="76"/>
  <c r="S198" i="76"/>
  <c r="R198" i="76"/>
  <c r="P198" i="76"/>
  <c r="O198" i="76"/>
  <c r="M198" i="76"/>
  <c r="L198" i="76"/>
  <c r="K198" i="76"/>
  <c r="J198" i="76"/>
  <c r="I198" i="76"/>
  <c r="H198" i="76"/>
  <c r="G198" i="76"/>
  <c r="F198" i="76"/>
  <c r="AB197" i="76"/>
  <c r="Z197" i="76"/>
  <c r="Y197" i="76"/>
  <c r="U197" i="76"/>
  <c r="S197" i="76"/>
  <c r="R197" i="76"/>
  <c r="P197" i="76"/>
  <c r="O197" i="76"/>
  <c r="M197" i="76"/>
  <c r="L197" i="76"/>
  <c r="K197" i="76"/>
  <c r="J197" i="76"/>
  <c r="I197" i="76"/>
  <c r="H197" i="76"/>
  <c r="G197" i="76"/>
  <c r="F197" i="76"/>
  <c r="AB196" i="76"/>
  <c r="Z196" i="76"/>
  <c r="Y196" i="76"/>
  <c r="U196" i="76"/>
  <c r="S196" i="76"/>
  <c r="R196" i="76"/>
  <c r="P196" i="76"/>
  <c r="O196" i="76"/>
  <c r="M196" i="76"/>
  <c r="L196" i="76"/>
  <c r="K196" i="76"/>
  <c r="J196" i="76"/>
  <c r="I196" i="76"/>
  <c r="H196" i="76"/>
  <c r="G196" i="76"/>
  <c r="F196" i="76"/>
  <c r="AB195" i="76"/>
  <c r="Z195" i="76"/>
  <c r="Y195" i="76"/>
  <c r="AA195" i="76" s="1"/>
  <c r="U195" i="76"/>
  <c r="S195" i="76"/>
  <c r="R195" i="76"/>
  <c r="P195" i="76"/>
  <c r="O195" i="76"/>
  <c r="M195" i="76"/>
  <c r="L195" i="76"/>
  <c r="K195" i="76"/>
  <c r="J195" i="76"/>
  <c r="I195" i="76"/>
  <c r="H195" i="76"/>
  <c r="G195" i="76"/>
  <c r="F195" i="76"/>
  <c r="Q195" i="76" s="1"/>
  <c r="AB194" i="76"/>
  <c r="Z194" i="76"/>
  <c r="Y194" i="76"/>
  <c r="U194" i="76"/>
  <c r="S194" i="76"/>
  <c r="R194" i="76"/>
  <c r="P194" i="76"/>
  <c r="O194" i="76"/>
  <c r="M194" i="76"/>
  <c r="L194" i="76"/>
  <c r="K194" i="76"/>
  <c r="J194" i="76"/>
  <c r="I194" i="76"/>
  <c r="H194" i="76"/>
  <c r="G194" i="76"/>
  <c r="F194" i="76"/>
  <c r="AB193" i="76"/>
  <c r="Z193" i="76"/>
  <c r="Y193" i="76"/>
  <c r="AA193" i="76" s="1"/>
  <c r="U193" i="76"/>
  <c r="S193" i="76"/>
  <c r="R193" i="76"/>
  <c r="P193" i="76"/>
  <c r="O193" i="76"/>
  <c r="M193" i="76"/>
  <c r="L193" i="76"/>
  <c r="K193" i="76"/>
  <c r="J193" i="76"/>
  <c r="I193" i="76"/>
  <c r="H193" i="76"/>
  <c r="G193" i="76"/>
  <c r="F193" i="76"/>
  <c r="AB192" i="76"/>
  <c r="Z192" i="76"/>
  <c r="Y192" i="76"/>
  <c r="U192" i="76"/>
  <c r="S192" i="76"/>
  <c r="R192" i="76"/>
  <c r="P192" i="76"/>
  <c r="O192" i="76"/>
  <c r="M192" i="76"/>
  <c r="L192" i="76"/>
  <c r="K192" i="76"/>
  <c r="J192" i="76"/>
  <c r="I192" i="76"/>
  <c r="H192" i="76"/>
  <c r="G192" i="76"/>
  <c r="F192" i="76"/>
  <c r="AB191" i="76"/>
  <c r="Z191" i="76"/>
  <c r="Y191" i="76"/>
  <c r="U191" i="76"/>
  <c r="S191" i="76"/>
  <c r="R191" i="76"/>
  <c r="P191" i="76"/>
  <c r="O191" i="76"/>
  <c r="M191" i="76"/>
  <c r="L191" i="76"/>
  <c r="L202" i="76" s="1"/>
  <c r="K191" i="76"/>
  <c r="K202" i="76" s="1"/>
  <c r="J191" i="76"/>
  <c r="I191" i="76"/>
  <c r="H191" i="76"/>
  <c r="H202" i="76" s="1"/>
  <c r="G191" i="76"/>
  <c r="G202" i="76" s="1"/>
  <c r="F191" i="76"/>
  <c r="AB188" i="76"/>
  <c r="Y188" i="76"/>
  <c r="AA188" i="76" s="1"/>
  <c r="U188" i="76"/>
  <c r="S188" i="76"/>
  <c r="R188" i="76"/>
  <c r="P188" i="76"/>
  <c r="M188" i="76"/>
  <c r="L188" i="76"/>
  <c r="K188" i="76"/>
  <c r="J188" i="76"/>
  <c r="I188" i="76"/>
  <c r="AB187" i="76"/>
  <c r="Z187" i="76"/>
  <c r="Y187" i="76"/>
  <c r="U187" i="76"/>
  <c r="S187" i="76"/>
  <c r="R187" i="76"/>
  <c r="P187" i="76"/>
  <c r="M187" i="76"/>
  <c r="L187" i="76"/>
  <c r="K187" i="76"/>
  <c r="J187" i="76"/>
  <c r="I187" i="76"/>
  <c r="AB186" i="76"/>
  <c r="Z186" i="76"/>
  <c r="Y186" i="76"/>
  <c r="U186" i="76"/>
  <c r="S186" i="76"/>
  <c r="R186" i="76"/>
  <c r="P186" i="76"/>
  <c r="M186" i="76"/>
  <c r="L186" i="76"/>
  <c r="K186" i="76"/>
  <c r="J186" i="76"/>
  <c r="I186" i="76"/>
  <c r="AB185" i="76"/>
  <c r="Z185" i="76"/>
  <c r="Y185" i="76"/>
  <c r="U185" i="76"/>
  <c r="S185" i="76"/>
  <c r="R185" i="76"/>
  <c r="P185" i="76"/>
  <c r="M185" i="76"/>
  <c r="L185" i="76"/>
  <c r="K185" i="76"/>
  <c r="J185" i="76"/>
  <c r="I185" i="76"/>
  <c r="AB184" i="76"/>
  <c r="Z184" i="76"/>
  <c r="Y184" i="76"/>
  <c r="U184" i="76"/>
  <c r="S184" i="76"/>
  <c r="R184" i="76"/>
  <c r="P184" i="76"/>
  <c r="M184" i="76"/>
  <c r="L184" i="76"/>
  <c r="K184" i="76"/>
  <c r="J184" i="76"/>
  <c r="I184" i="76"/>
  <c r="AB183" i="76"/>
  <c r="Z183" i="76"/>
  <c r="Y183" i="76"/>
  <c r="U183" i="76"/>
  <c r="S183" i="76"/>
  <c r="R183" i="76"/>
  <c r="P183" i="76"/>
  <c r="M183" i="76"/>
  <c r="L183" i="76"/>
  <c r="K183" i="76"/>
  <c r="J183" i="76"/>
  <c r="I183" i="76"/>
  <c r="AB182" i="76"/>
  <c r="Z182" i="76"/>
  <c r="Y182" i="76"/>
  <c r="U182" i="76"/>
  <c r="S182" i="76"/>
  <c r="R182" i="76"/>
  <c r="P182" i="76"/>
  <c r="M182" i="76"/>
  <c r="L182" i="76"/>
  <c r="K182" i="76"/>
  <c r="J182" i="76"/>
  <c r="I182" i="76"/>
  <c r="AB181" i="76"/>
  <c r="Z181" i="76"/>
  <c r="Y181" i="76"/>
  <c r="U181" i="76"/>
  <c r="S181" i="76"/>
  <c r="R181" i="76"/>
  <c r="P181" i="76"/>
  <c r="M181" i="76"/>
  <c r="L181" i="76"/>
  <c r="K181" i="76"/>
  <c r="J181" i="76"/>
  <c r="I181" i="76"/>
  <c r="AB180" i="76"/>
  <c r="Z180" i="76"/>
  <c r="Y180" i="76"/>
  <c r="U180" i="76"/>
  <c r="S180" i="76"/>
  <c r="R180" i="76"/>
  <c r="P180" i="76"/>
  <c r="M180" i="76"/>
  <c r="L180" i="76"/>
  <c r="K180" i="76"/>
  <c r="J180" i="76"/>
  <c r="I180" i="76"/>
  <c r="AB179" i="76"/>
  <c r="Z179" i="76"/>
  <c r="Y179" i="76"/>
  <c r="U179" i="76"/>
  <c r="S179" i="76"/>
  <c r="P179" i="76"/>
  <c r="M179" i="76"/>
  <c r="L179" i="76"/>
  <c r="K179" i="76"/>
  <c r="J179" i="76"/>
  <c r="I179" i="76"/>
  <c r="AB176" i="76"/>
  <c r="Z176" i="76"/>
  <c r="Z177" i="76" s="1"/>
  <c r="Y176" i="76"/>
  <c r="U176" i="76"/>
  <c r="S176" i="76"/>
  <c r="S177" i="76" s="1"/>
  <c r="R176" i="76"/>
  <c r="P176" i="76"/>
  <c r="O176" i="76"/>
  <c r="M176" i="76"/>
  <c r="M177" i="76" s="1"/>
  <c r="L176" i="76"/>
  <c r="L177" i="76" s="1"/>
  <c r="K176" i="76"/>
  <c r="K177" i="76" s="1"/>
  <c r="J176" i="76"/>
  <c r="J177" i="76" s="1"/>
  <c r="I176" i="76"/>
  <c r="I177" i="76" s="1"/>
  <c r="H176" i="76"/>
  <c r="H177" i="76" s="1"/>
  <c r="G176" i="76"/>
  <c r="G177" i="76" s="1"/>
  <c r="F176" i="76"/>
  <c r="AB175" i="76"/>
  <c r="U174" i="76"/>
  <c r="Z168" i="76"/>
  <c r="Y168" i="76"/>
  <c r="U168" i="76"/>
  <c r="S168" i="76"/>
  <c r="R168" i="76"/>
  <c r="P168" i="76"/>
  <c r="O168" i="76"/>
  <c r="M168" i="76"/>
  <c r="L168" i="76"/>
  <c r="K168" i="76"/>
  <c r="H168" i="76"/>
  <c r="G168" i="76"/>
  <c r="F168" i="76"/>
  <c r="Z167" i="76"/>
  <c r="Y167" i="76"/>
  <c r="AA167" i="76" s="1"/>
  <c r="U167" i="76"/>
  <c r="S167" i="76"/>
  <c r="R167" i="76"/>
  <c r="P167" i="76"/>
  <c r="O167" i="76"/>
  <c r="M167" i="76"/>
  <c r="L167" i="76"/>
  <c r="K167" i="76"/>
  <c r="H167" i="76"/>
  <c r="G167" i="76"/>
  <c r="F167" i="76"/>
  <c r="Q167" i="76" s="1"/>
  <c r="Z166" i="76"/>
  <c r="Y166" i="76"/>
  <c r="U166" i="76"/>
  <c r="S166" i="76"/>
  <c r="R166" i="76"/>
  <c r="P166" i="76"/>
  <c r="O166" i="76"/>
  <c r="M166" i="76"/>
  <c r="L166" i="76"/>
  <c r="K166" i="76"/>
  <c r="H166" i="76"/>
  <c r="G166" i="76"/>
  <c r="F166" i="76"/>
  <c r="Z165" i="76"/>
  <c r="Y165" i="76"/>
  <c r="U165" i="76"/>
  <c r="S165" i="76"/>
  <c r="R165" i="76"/>
  <c r="P165" i="76"/>
  <c r="O165" i="76"/>
  <c r="M165" i="76"/>
  <c r="L165" i="76"/>
  <c r="K165" i="76"/>
  <c r="H165" i="76"/>
  <c r="G165" i="76"/>
  <c r="F165" i="76"/>
  <c r="Z164" i="76"/>
  <c r="Y164" i="76"/>
  <c r="U164" i="76"/>
  <c r="S164" i="76"/>
  <c r="R164" i="76"/>
  <c r="P164" i="76"/>
  <c r="O164" i="76"/>
  <c r="M164" i="76"/>
  <c r="L164" i="76"/>
  <c r="K164" i="76"/>
  <c r="H164" i="76"/>
  <c r="G164" i="76"/>
  <c r="F164" i="76"/>
  <c r="Z163" i="76"/>
  <c r="Y163" i="76"/>
  <c r="AA163" i="76" s="1"/>
  <c r="U163" i="76"/>
  <c r="S163" i="76"/>
  <c r="R163" i="76"/>
  <c r="P163" i="76"/>
  <c r="O163" i="76"/>
  <c r="M163" i="76"/>
  <c r="L163" i="76"/>
  <c r="K163" i="76"/>
  <c r="H163" i="76"/>
  <c r="G163" i="76"/>
  <c r="F163" i="76"/>
  <c r="Z162" i="76"/>
  <c r="Y162" i="76"/>
  <c r="U162" i="76"/>
  <c r="S162" i="76"/>
  <c r="R162" i="76"/>
  <c r="P162" i="76"/>
  <c r="O162" i="76"/>
  <c r="M162" i="76"/>
  <c r="L162" i="76"/>
  <c r="K162" i="76"/>
  <c r="H162" i="76"/>
  <c r="G162" i="76"/>
  <c r="F162" i="76"/>
  <c r="Z159" i="76"/>
  <c r="Y159" i="76"/>
  <c r="U159" i="76"/>
  <c r="S159" i="76"/>
  <c r="R159" i="76"/>
  <c r="P159" i="76"/>
  <c r="O159" i="76"/>
  <c r="M159" i="76"/>
  <c r="L159" i="76"/>
  <c r="L160" i="76" s="1"/>
  <c r="K159" i="76"/>
  <c r="K160" i="76" s="1"/>
  <c r="H159" i="76"/>
  <c r="H160" i="76" s="1"/>
  <c r="G159" i="76"/>
  <c r="G160" i="76" s="1"/>
  <c r="F159" i="76"/>
  <c r="Z158" i="76"/>
  <c r="Y158" i="76"/>
  <c r="U158" i="76"/>
  <c r="S158" i="76"/>
  <c r="R158" i="76"/>
  <c r="P158" i="76"/>
  <c r="O158" i="76"/>
  <c r="M158" i="76"/>
  <c r="Z151" i="76"/>
  <c r="Y151" i="76"/>
  <c r="U151" i="76"/>
  <c r="S151" i="76"/>
  <c r="R151" i="76"/>
  <c r="P151" i="76"/>
  <c r="O151" i="76"/>
  <c r="M151" i="76"/>
  <c r="L151" i="76"/>
  <c r="K151" i="76"/>
  <c r="H151" i="76"/>
  <c r="G151" i="76"/>
  <c r="F151" i="76"/>
  <c r="Z150" i="76"/>
  <c r="Y150" i="76"/>
  <c r="U150" i="76"/>
  <c r="S150" i="76"/>
  <c r="R150" i="76"/>
  <c r="P150" i="76"/>
  <c r="O150" i="76"/>
  <c r="M150" i="76"/>
  <c r="L150" i="76"/>
  <c r="K150" i="76"/>
  <c r="H150" i="76"/>
  <c r="G150" i="76"/>
  <c r="F150" i="76"/>
  <c r="Z149" i="76"/>
  <c r="Y149" i="76"/>
  <c r="U149" i="76"/>
  <c r="S149" i="76"/>
  <c r="R149" i="76"/>
  <c r="P149" i="76"/>
  <c r="O149" i="76"/>
  <c r="M149" i="76"/>
  <c r="L149" i="76"/>
  <c r="K149" i="76"/>
  <c r="H149" i="76"/>
  <c r="G149" i="76"/>
  <c r="F149" i="76"/>
  <c r="Z148" i="76"/>
  <c r="Y148" i="76"/>
  <c r="AA148" i="76" s="1"/>
  <c r="U148" i="76"/>
  <c r="S148" i="76"/>
  <c r="R148" i="76"/>
  <c r="P148" i="76"/>
  <c r="O148" i="76"/>
  <c r="M148" i="76"/>
  <c r="L148" i="76"/>
  <c r="K148" i="76"/>
  <c r="H148" i="76"/>
  <c r="G148" i="76"/>
  <c r="F148" i="76"/>
  <c r="Z147" i="76"/>
  <c r="Y147" i="76"/>
  <c r="U147" i="76"/>
  <c r="S147" i="76"/>
  <c r="R147" i="76"/>
  <c r="P147" i="76"/>
  <c r="O147" i="76"/>
  <c r="M147" i="76"/>
  <c r="L147" i="76"/>
  <c r="K147" i="76"/>
  <c r="H147" i="76"/>
  <c r="G147" i="76"/>
  <c r="F147" i="76"/>
  <c r="Q147" i="76" s="1"/>
  <c r="Z146" i="76"/>
  <c r="Y146" i="76"/>
  <c r="U146" i="76"/>
  <c r="S146" i="76"/>
  <c r="R146" i="76"/>
  <c r="P146" i="76"/>
  <c r="O146" i="76"/>
  <c r="M146" i="76"/>
  <c r="L146" i="76"/>
  <c r="K146" i="76"/>
  <c r="H146" i="76"/>
  <c r="G146" i="76"/>
  <c r="F146" i="76"/>
  <c r="Z145" i="76"/>
  <c r="Y145" i="76"/>
  <c r="U145" i="76"/>
  <c r="S145" i="76"/>
  <c r="R145" i="76"/>
  <c r="P145" i="76"/>
  <c r="O145" i="76"/>
  <c r="M145" i="76"/>
  <c r="L145" i="76"/>
  <c r="K145" i="76"/>
  <c r="H145" i="76"/>
  <c r="G145" i="76"/>
  <c r="F145" i="76"/>
  <c r="Z144" i="76"/>
  <c r="Y144" i="76"/>
  <c r="U144" i="76"/>
  <c r="S144" i="76"/>
  <c r="R144" i="76"/>
  <c r="P144" i="76"/>
  <c r="O144" i="76"/>
  <c r="M144" i="76"/>
  <c r="L144" i="76"/>
  <c r="K144" i="76"/>
  <c r="H144" i="76"/>
  <c r="G144" i="76"/>
  <c r="F144" i="76"/>
  <c r="Z140" i="76"/>
  <c r="Y140" i="76"/>
  <c r="U140" i="76"/>
  <c r="X140" i="76" s="1"/>
  <c r="S140" i="76"/>
  <c r="R140" i="76"/>
  <c r="P140" i="76"/>
  <c r="O140" i="76"/>
  <c r="M140" i="76"/>
  <c r="L140" i="76"/>
  <c r="K140" i="76"/>
  <c r="H140" i="76"/>
  <c r="G140" i="76"/>
  <c r="F140" i="76"/>
  <c r="Z139" i="76"/>
  <c r="Y139" i="76"/>
  <c r="U139" i="76"/>
  <c r="X139" i="76" s="1"/>
  <c r="S139" i="76"/>
  <c r="S142" i="76" s="1"/>
  <c r="R139" i="76"/>
  <c r="P139" i="76"/>
  <c r="O139" i="76"/>
  <c r="M139" i="76"/>
  <c r="L139" i="76"/>
  <c r="K139" i="76"/>
  <c r="H139" i="76"/>
  <c r="G139" i="76"/>
  <c r="G142" i="76" s="1"/>
  <c r="F139" i="76"/>
  <c r="M138" i="76"/>
  <c r="L138" i="76"/>
  <c r="Z134" i="76"/>
  <c r="Y134" i="76"/>
  <c r="S134" i="76"/>
  <c r="R134" i="76"/>
  <c r="P134" i="76"/>
  <c r="O134" i="76"/>
  <c r="M134" i="76"/>
  <c r="L134" i="76"/>
  <c r="K134" i="76"/>
  <c r="H134" i="76"/>
  <c r="G134" i="76"/>
  <c r="F134" i="76"/>
  <c r="Z133" i="76"/>
  <c r="Y133" i="76"/>
  <c r="S133" i="76"/>
  <c r="R133" i="76"/>
  <c r="P133" i="76"/>
  <c r="O133" i="76"/>
  <c r="M133" i="76"/>
  <c r="L133" i="76"/>
  <c r="K133" i="76"/>
  <c r="H133" i="76"/>
  <c r="G133" i="76"/>
  <c r="F133" i="76"/>
  <c r="Z132" i="76"/>
  <c r="Y132" i="76"/>
  <c r="S132" i="76"/>
  <c r="R132" i="76"/>
  <c r="P132" i="76"/>
  <c r="O132" i="76"/>
  <c r="M132" i="76"/>
  <c r="L132" i="76"/>
  <c r="K132" i="76"/>
  <c r="H132" i="76"/>
  <c r="G132" i="76"/>
  <c r="F132" i="76"/>
  <c r="Z131" i="76"/>
  <c r="Y131" i="76"/>
  <c r="S131" i="76"/>
  <c r="R131" i="76"/>
  <c r="P131" i="76"/>
  <c r="O131" i="76"/>
  <c r="M131" i="76"/>
  <c r="L131" i="76"/>
  <c r="K131" i="76"/>
  <c r="H131" i="76"/>
  <c r="G131" i="76"/>
  <c r="F131" i="76"/>
  <c r="Q131" i="76" s="1"/>
  <c r="Z130" i="76"/>
  <c r="Y130" i="76"/>
  <c r="S130" i="76"/>
  <c r="R130" i="76"/>
  <c r="P130" i="76"/>
  <c r="O130" i="76"/>
  <c r="M130" i="76"/>
  <c r="L130" i="76"/>
  <c r="K130" i="76"/>
  <c r="H130" i="76"/>
  <c r="G130" i="76"/>
  <c r="F130" i="76"/>
  <c r="Z129" i="76"/>
  <c r="Y129" i="76"/>
  <c r="S129" i="76"/>
  <c r="R129" i="76"/>
  <c r="P129" i="76"/>
  <c r="O129" i="76"/>
  <c r="M129" i="76"/>
  <c r="L129" i="76"/>
  <c r="K129" i="76"/>
  <c r="H129" i="76"/>
  <c r="G129" i="76"/>
  <c r="F129" i="76"/>
  <c r="Z123" i="76"/>
  <c r="Y123" i="76"/>
  <c r="U123" i="76"/>
  <c r="S123" i="76"/>
  <c r="R123" i="76"/>
  <c r="P123" i="76"/>
  <c r="O123" i="76"/>
  <c r="M123" i="76"/>
  <c r="L123" i="76"/>
  <c r="K123" i="76"/>
  <c r="J123" i="76"/>
  <c r="I123" i="76"/>
  <c r="H123" i="76"/>
  <c r="G123" i="76"/>
  <c r="F123" i="76"/>
  <c r="Z122" i="76"/>
  <c r="Y122" i="76"/>
  <c r="U122" i="76"/>
  <c r="S122" i="76"/>
  <c r="R122" i="76"/>
  <c r="P122" i="76"/>
  <c r="O122" i="76"/>
  <c r="M122" i="76"/>
  <c r="L122" i="76"/>
  <c r="K122" i="76"/>
  <c r="J122" i="76"/>
  <c r="I122" i="76"/>
  <c r="H122" i="76"/>
  <c r="G122" i="76"/>
  <c r="F122" i="76"/>
  <c r="Z121" i="76"/>
  <c r="Y121" i="76"/>
  <c r="U121" i="76"/>
  <c r="S121" i="76"/>
  <c r="R121" i="76"/>
  <c r="P121" i="76"/>
  <c r="O121" i="76"/>
  <c r="M121" i="76"/>
  <c r="L121" i="76"/>
  <c r="K121" i="76"/>
  <c r="J121" i="76"/>
  <c r="I121" i="76"/>
  <c r="H121" i="76"/>
  <c r="G121" i="76"/>
  <c r="F121" i="76"/>
  <c r="Q121" i="76" s="1"/>
  <c r="Z120" i="76"/>
  <c r="Y120" i="76"/>
  <c r="AA120" i="76" s="1"/>
  <c r="U120" i="76"/>
  <c r="S120" i="76"/>
  <c r="R120" i="76"/>
  <c r="P120" i="76"/>
  <c r="O120" i="76"/>
  <c r="M120" i="76"/>
  <c r="L120" i="76"/>
  <c r="K120" i="76"/>
  <c r="J120" i="76"/>
  <c r="I120" i="76"/>
  <c r="H120" i="76"/>
  <c r="G120" i="76"/>
  <c r="F120" i="76"/>
  <c r="Z119" i="76"/>
  <c r="Y119" i="76"/>
  <c r="U119" i="76"/>
  <c r="S119" i="76"/>
  <c r="R119" i="76"/>
  <c r="P119" i="76"/>
  <c r="O119" i="76"/>
  <c r="M119" i="76"/>
  <c r="L119" i="76"/>
  <c r="K119" i="76"/>
  <c r="J119" i="76"/>
  <c r="I119" i="76"/>
  <c r="H119" i="76"/>
  <c r="G119" i="76"/>
  <c r="F119" i="76"/>
  <c r="Z118" i="76"/>
  <c r="Y118" i="76"/>
  <c r="U118" i="76"/>
  <c r="S118" i="76"/>
  <c r="R118" i="76"/>
  <c r="P118" i="76"/>
  <c r="O118" i="76"/>
  <c r="M118" i="76"/>
  <c r="L118" i="76"/>
  <c r="K118" i="76"/>
  <c r="J118" i="76"/>
  <c r="I118" i="76"/>
  <c r="H118" i="76"/>
  <c r="G118" i="76"/>
  <c r="F118" i="76"/>
  <c r="Z117" i="76"/>
  <c r="Y117" i="76"/>
  <c r="U117" i="76"/>
  <c r="S117" i="76"/>
  <c r="R117" i="76"/>
  <c r="P117" i="76"/>
  <c r="O117" i="76"/>
  <c r="M117" i="76"/>
  <c r="L117" i="76"/>
  <c r="K117" i="76"/>
  <c r="J117" i="76"/>
  <c r="I117" i="76"/>
  <c r="H117" i="76"/>
  <c r="G117" i="76"/>
  <c r="F117" i="76"/>
  <c r="U114" i="76"/>
  <c r="S114" i="76"/>
  <c r="S115" i="76" s="1"/>
  <c r="R114" i="76"/>
  <c r="P114" i="76"/>
  <c r="O114" i="76"/>
  <c r="O115" i="76" s="1"/>
  <c r="M114" i="76"/>
  <c r="M115" i="76" s="1"/>
  <c r="L114" i="76"/>
  <c r="K114" i="76"/>
  <c r="K115" i="76" s="1"/>
  <c r="J114" i="76"/>
  <c r="J115" i="76" s="1"/>
  <c r="I114" i="76"/>
  <c r="I115" i="76" s="1"/>
  <c r="H114" i="76"/>
  <c r="H115" i="76" s="1"/>
  <c r="G114" i="76"/>
  <c r="G115" i="76" s="1"/>
  <c r="F114" i="76"/>
  <c r="Z111" i="76"/>
  <c r="Y111" i="76"/>
  <c r="U111" i="76"/>
  <c r="S111" i="76"/>
  <c r="R111" i="76"/>
  <c r="P111" i="76"/>
  <c r="O111" i="76"/>
  <c r="M111" i="76"/>
  <c r="L111" i="76"/>
  <c r="K111" i="76"/>
  <c r="J111" i="76"/>
  <c r="I111" i="76"/>
  <c r="H111" i="76"/>
  <c r="G111" i="76"/>
  <c r="F111" i="76"/>
  <c r="Z110" i="76"/>
  <c r="Y110" i="76"/>
  <c r="AA110" i="76" s="1"/>
  <c r="U110" i="76"/>
  <c r="S110" i="76"/>
  <c r="R110" i="76"/>
  <c r="P110" i="76"/>
  <c r="O110" i="76"/>
  <c r="M110" i="76"/>
  <c r="L110" i="76"/>
  <c r="K110" i="76"/>
  <c r="J110" i="76"/>
  <c r="I110" i="76"/>
  <c r="H110" i="76"/>
  <c r="G110" i="76"/>
  <c r="F110" i="76"/>
  <c r="Q110" i="76" s="1"/>
  <c r="Z109" i="76"/>
  <c r="Y109" i="76"/>
  <c r="U109" i="76"/>
  <c r="S109" i="76"/>
  <c r="R109" i="76"/>
  <c r="P109" i="76"/>
  <c r="O109" i="76"/>
  <c r="M109" i="76"/>
  <c r="L109" i="76"/>
  <c r="K109" i="76"/>
  <c r="J109" i="76"/>
  <c r="I109" i="76"/>
  <c r="H109" i="76"/>
  <c r="G109" i="76"/>
  <c r="F109" i="76"/>
  <c r="Z108" i="76"/>
  <c r="Y108" i="76"/>
  <c r="U108" i="76"/>
  <c r="S108" i="76"/>
  <c r="R108" i="76"/>
  <c r="P108" i="76"/>
  <c r="O108" i="76"/>
  <c r="M108" i="76"/>
  <c r="L108" i="76"/>
  <c r="K108" i="76"/>
  <c r="J108" i="76"/>
  <c r="I108" i="76"/>
  <c r="H108" i="76"/>
  <c r="G108" i="76"/>
  <c r="F108" i="76"/>
  <c r="Z107" i="76"/>
  <c r="Y107" i="76"/>
  <c r="U107" i="76"/>
  <c r="S107" i="76"/>
  <c r="R107" i="76"/>
  <c r="P107" i="76"/>
  <c r="O107" i="76"/>
  <c r="M107" i="76"/>
  <c r="L107" i="76"/>
  <c r="K107" i="76"/>
  <c r="J107" i="76"/>
  <c r="I107" i="76"/>
  <c r="H107" i="76"/>
  <c r="G107" i="76"/>
  <c r="F107" i="76"/>
  <c r="Z106" i="76"/>
  <c r="Y106" i="76"/>
  <c r="AA106" i="76" s="1"/>
  <c r="U106" i="76"/>
  <c r="S106" i="76"/>
  <c r="R106" i="76"/>
  <c r="P106" i="76"/>
  <c r="O106" i="76"/>
  <c r="M106" i="76"/>
  <c r="L106" i="76"/>
  <c r="K106" i="76"/>
  <c r="J106" i="76"/>
  <c r="I106" i="76"/>
  <c r="H106" i="76"/>
  <c r="G106" i="76"/>
  <c r="F106" i="76"/>
  <c r="Q106" i="76" s="1"/>
  <c r="Z105" i="76"/>
  <c r="Y105" i="76"/>
  <c r="U105" i="76"/>
  <c r="S105" i="76"/>
  <c r="R105" i="76"/>
  <c r="P105" i="76"/>
  <c r="O105" i="76"/>
  <c r="M105" i="76"/>
  <c r="L105" i="76"/>
  <c r="K105" i="76"/>
  <c r="J105" i="76"/>
  <c r="I105" i="76"/>
  <c r="H105" i="76"/>
  <c r="G105" i="76"/>
  <c r="F105" i="76"/>
  <c r="Z104" i="76"/>
  <c r="Y104" i="76"/>
  <c r="U104" i="76"/>
  <c r="S104" i="76"/>
  <c r="R104" i="76"/>
  <c r="P104" i="76"/>
  <c r="O104" i="76"/>
  <c r="M104" i="76"/>
  <c r="L104" i="76"/>
  <c r="K104" i="76"/>
  <c r="J104" i="76"/>
  <c r="I104" i="76"/>
  <c r="H104" i="76"/>
  <c r="G104" i="76"/>
  <c r="F104" i="76"/>
  <c r="Z103" i="76"/>
  <c r="Y103" i="76"/>
  <c r="U103" i="76"/>
  <c r="S103" i="76"/>
  <c r="R103" i="76"/>
  <c r="P103" i="76"/>
  <c r="O103" i="76"/>
  <c r="M103" i="76"/>
  <c r="L103" i="76"/>
  <c r="K103" i="76"/>
  <c r="J103" i="76"/>
  <c r="I103" i="76"/>
  <c r="H103" i="76"/>
  <c r="G103" i="76"/>
  <c r="F103" i="76"/>
  <c r="Z102" i="76"/>
  <c r="Y102" i="76"/>
  <c r="AA102" i="76" s="1"/>
  <c r="U102" i="76"/>
  <c r="S102" i="76"/>
  <c r="R102" i="76"/>
  <c r="P102" i="76"/>
  <c r="O102" i="76"/>
  <c r="M102" i="76"/>
  <c r="L102" i="76"/>
  <c r="K102" i="76"/>
  <c r="J102" i="76"/>
  <c r="I102" i="76"/>
  <c r="H102" i="76"/>
  <c r="G102" i="76"/>
  <c r="F102" i="76"/>
  <c r="Z101" i="76"/>
  <c r="Y101" i="76"/>
  <c r="U101" i="76"/>
  <c r="S101" i="76"/>
  <c r="R101" i="76"/>
  <c r="P101" i="76"/>
  <c r="O101" i="76"/>
  <c r="M101" i="76"/>
  <c r="L101" i="76"/>
  <c r="K101" i="76"/>
  <c r="J101" i="76"/>
  <c r="I101" i="76"/>
  <c r="H101" i="76"/>
  <c r="G101" i="76"/>
  <c r="F101" i="76"/>
  <c r="Z100" i="76"/>
  <c r="Y100" i="76"/>
  <c r="U100" i="76"/>
  <c r="S100" i="76"/>
  <c r="R100" i="76"/>
  <c r="P100" i="76"/>
  <c r="O100" i="76"/>
  <c r="M100" i="76"/>
  <c r="L100" i="76"/>
  <c r="K100" i="76"/>
  <c r="J100" i="76"/>
  <c r="I100" i="76"/>
  <c r="H100" i="76"/>
  <c r="G100" i="76"/>
  <c r="Z97" i="76"/>
  <c r="Y97" i="76"/>
  <c r="U97" i="76"/>
  <c r="S97" i="76"/>
  <c r="R97" i="76"/>
  <c r="P97" i="76"/>
  <c r="O97" i="76"/>
  <c r="M97" i="76"/>
  <c r="L97" i="76"/>
  <c r="K97" i="76"/>
  <c r="J97" i="76"/>
  <c r="I97" i="76"/>
  <c r="H97" i="76"/>
  <c r="G97" i="76"/>
  <c r="F97" i="76"/>
  <c r="Z96" i="76"/>
  <c r="Z98" i="76" s="1"/>
  <c r="Y96" i="76"/>
  <c r="U96" i="76"/>
  <c r="S96" i="76"/>
  <c r="R96" i="76"/>
  <c r="P96" i="76"/>
  <c r="O96" i="76"/>
  <c r="M96" i="76"/>
  <c r="L96" i="76"/>
  <c r="K96" i="76"/>
  <c r="J96" i="76"/>
  <c r="J98" i="76" s="1"/>
  <c r="I96" i="76"/>
  <c r="H96" i="76"/>
  <c r="G96" i="76"/>
  <c r="F96" i="76"/>
  <c r="Z93" i="76"/>
  <c r="Y93" i="76"/>
  <c r="U93" i="76"/>
  <c r="S93" i="76"/>
  <c r="R93" i="76"/>
  <c r="P93" i="76"/>
  <c r="O93" i="76"/>
  <c r="M93" i="76"/>
  <c r="L93" i="76"/>
  <c r="K93" i="76"/>
  <c r="J93" i="76"/>
  <c r="I93" i="76"/>
  <c r="H93" i="76"/>
  <c r="Z92" i="76"/>
  <c r="Y92" i="76"/>
  <c r="U92" i="76"/>
  <c r="S92" i="76"/>
  <c r="R92" i="76"/>
  <c r="P92" i="76"/>
  <c r="O92" i="76"/>
  <c r="M92" i="76"/>
  <c r="L92" i="76"/>
  <c r="K92" i="76"/>
  <c r="J92" i="76"/>
  <c r="I92" i="76"/>
  <c r="H92" i="76"/>
  <c r="Z91" i="76"/>
  <c r="Y91" i="76"/>
  <c r="U91" i="76"/>
  <c r="S91" i="76"/>
  <c r="R91" i="76"/>
  <c r="P91" i="76"/>
  <c r="O91" i="76"/>
  <c r="M91" i="76"/>
  <c r="L91" i="76"/>
  <c r="K91" i="76"/>
  <c r="J91" i="76"/>
  <c r="I91" i="76"/>
  <c r="H91" i="76"/>
  <c r="Z90" i="76"/>
  <c r="Y90" i="76"/>
  <c r="U90" i="76"/>
  <c r="S90" i="76"/>
  <c r="R90" i="76"/>
  <c r="P90" i="76"/>
  <c r="O90" i="76"/>
  <c r="M90" i="76"/>
  <c r="L90" i="76"/>
  <c r="K90" i="76"/>
  <c r="J90" i="76"/>
  <c r="I90" i="76"/>
  <c r="H90" i="76"/>
  <c r="Z89" i="76"/>
  <c r="Y89" i="76"/>
  <c r="U89" i="76"/>
  <c r="S89" i="76"/>
  <c r="R89" i="76"/>
  <c r="P89" i="76"/>
  <c r="O89" i="76"/>
  <c r="M89" i="76"/>
  <c r="L89" i="76"/>
  <c r="K89" i="76"/>
  <c r="J89" i="76"/>
  <c r="I89" i="76"/>
  <c r="H89" i="76"/>
  <c r="Z88" i="76"/>
  <c r="Y88" i="76"/>
  <c r="U88" i="76"/>
  <c r="S88" i="76"/>
  <c r="R88" i="76"/>
  <c r="P88" i="76"/>
  <c r="O88" i="76"/>
  <c r="M88" i="76"/>
  <c r="L88" i="76"/>
  <c r="K88" i="76"/>
  <c r="J88" i="76"/>
  <c r="I88" i="76"/>
  <c r="H88" i="76"/>
  <c r="Z87" i="76"/>
  <c r="Y87" i="76"/>
  <c r="U87" i="76"/>
  <c r="S87" i="76"/>
  <c r="R87" i="76"/>
  <c r="P87" i="76"/>
  <c r="O87" i="76"/>
  <c r="M87" i="76"/>
  <c r="L87" i="76"/>
  <c r="K87" i="76"/>
  <c r="J87" i="76"/>
  <c r="I87" i="76"/>
  <c r="H87" i="76"/>
  <c r="Z86" i="76"/>
  <c r="Y86" i="76"/>
  <c r="V86" i="76"/>
  <c r="U86" i="76"/>
  <c r="S86" i="76"/>
  <c r="R86" i="76"/>
  <c r="P86" i="76"/>
  <c r="O86" i="76"/>
  <c r="M86" i="76"/>
  <c r="L86" i="76"/>
  <c r="K86" i="76"/>
  <c r="J86" i="76"/>
  <c r="I86" i="76"/>
  <c r="H86" i="76"/>
  <c r="Z85" i="76"/>
  <c r="Y85" i="76"/>
  <c r="U85" i="76"/>
  <c r="S85" i="76"/>
  <c r="R85" i="76"/>
  <c r="P85" i="76"/>
  <c r="O85" i="76"/>
  <c r="M85" i="76"/>
  <c r="L85" i="76"/>
  <c r="K85" i="76"/>
  <c r="J85" i="76"/>
  <c r="I85" i="76"/>
  <c r="H85" i="76"/>
  <c r="Z52" i="76"/>
  <c r="Y52" i="76"/>
  <c r="U52" i="76"/>
  <c r="S52" i="76"/>
  <c r="R52" i="76"/>
  <c r="P52" i="76"/>
  <c r="O52" i="76"/>
  <c r="M52" i="76"/>
  <c r="L52" i="76"/>
  <c r="K52" i="76"/>
  <c r="J52" i="76"/>
  <c r="H52" i="76"/>
  <c r="G52" i="76"/>
  <c r="F52" i="76"/>
  <c r="Z51" i="76"/>
  <c r="Y51" i="76"/>
  <c r="U51" i="76"/>
  <c r="S51" i="76"/>
  <c r="R51" i="76"/>
  <c r="P51" i="76"/>
  <c r="O51" i="76"/>
  <c r="M51" i="76"/>
  <c r="L51" i="76"/>
  <c r="K51" i="76"/>
  <c r="J51" i="76"/>
  <c r="H51" i="76"/>
  <c r="G51" i="76"/>
  <c r="F51" i="76"/>
  <c r="Z50" i="76"/>
  <c r="Y50" i="76"/>
  <c r="U50" i="76"/>
  <c r="S50" i="76"/>
  <c r="R50" i="76"/>
  <c r="P50" i="76"/>
  <c r="O50" i="76"/>
  <c r="M50" i="76"/>
  <c r="L50" i="76"/>
  <c r="K50" i="76"/>
  <c r="J50" i="76"/>
  <c r="H50" i="76"/>
  <c r="G50" i="76"/>
  <c r="F50" i="76"/>
  <c r="Z49" i="76"/>
  <c r="Y49" i="76"/>
  <c r="U49" i="76"/>
  <c r="S49" i="76"/>
  <c r="S53" i="76" s="1"/>
  <c r="R49" i="76"/>
  <c r="P49" i="76"/>
  <c r="O49" i="76"/>
  <c r="M49" i="76"/>
  <c r="M53" i="76" s="1"/>
  <c r="L49" i="76"/>
  <c r="L53" i="76" s="1"/>
  <c r="K49" i="76"/>
  <c r="K53" i="76" s="1"/>
  <c r="J49" i="76"/>
  <c r="J53" i="76" s="1"/>
  <c r="H49" i="76"/>
  <c r="H53" i="76" s="1"/>
  <c r="G49" i="76"/>
  <c r="G53" i="76" s="1"/>
  <c r="F49" i="76"/>
  <c r="F53" i="76" s="1"/>
  <c r="Z48" i="76"/>
  <c r="Y48" i="76"/>
  <c r="Z47" i="76"/>
  <c r="Z53" i="76" s="1"/>
  <c r="Y47" i="76"/>
  <c r="U47" i="76"/>
  <c r="X47" i="76" s="1"/>
  <c r="U44" i="76"/>
  <c r="X44" i="76" s="1"/>
  <c r="Z28" i="76"/>
  <c r="Y28" i="76"/>
  <c r="U28" i="76"/>
  <c r="X28" i="76" s="1"/>
  <c r="R28" i="76"/>
  <c r="P28" i="76"/>
  <c r="O28" i="76"/>
  <c r="M28" i="76"/>
  <c r="Q28" i="76" s="1"/>
  <c r="Z26" i="76"/>
  <c r="Y26" i="76"/>
  <c r="U26" i="76"/>
  <c r="R26" i="76"/>
  <c r="M26" i="76"/>
  <c r="L26" i="76"/>
  <c r="L32" i="76" s="1"/>
  <c r="K26" i="76"/>
  <c r="K32" i="76" s="1"/>
  <c r="J26" i="76"/>
  <c r="J32" i="76" s="1"/>
  <c r="H26" i="76"/>
  <c r="H32" i="76" s="1"/>
  <c r="Z23" i="76"/>
  <c r="Y23" i="76"/>
  <c r="M23" i="76"/>
  <c r="L23" i="76"/>
  <c r="K23" i="76"/>
  <c r="J23" i="76"/>
  <c r="H23" i="76"/>
  <c r="G23" i="76"/>
  <c r="F23" i="76"/>
  <c r="Z8" i="76"/>
  <c r="Y8" i="76"/>
  <c r="U8" i="76"/>
  <c r="R8" i="76"/>
  <c r="T8" i="76" s="1"/>
  <c r="Z7" i="76"/>
  <c r="Y7" i="76"/>
  <c r="U7" i="76"/>
  <c r="R7" i="76"/>
  <c r="T7" i="76" s="1"/>
  <c r="Z6" i="76"/>
  <c r="Y6" i="76"/>
  <c r="U6" i="76"/>
  <c r="R6" i="76"/>
  <c r="T6" i="76" s="1"/>
  <c r="T9" i="76" s="1"/>
  <c r="P8" i="76"/>
  <c r="O8" i="76"/>
  <c r="M8" i="76"/>
  <c r="L8" i="76"/>
  <c r="K8" i="76"/>
  <c r="J8" i="76"/>
  <c r="H8" i="76"/>
  <c r="G8" i="76"/>
  <c r="P7" i="76"/>
  <c r="O7" i="76"/>
  <c r="M7" i="76"/>
  <c r="L7" i="76"/>
  <c r="K7" i="76"/>
  <c r="J7" i="76"/>
  <c r="H7" i="76"/>
  <c r="G7" i="76"/>
  <c r="P6" i="76"/>
  <c r="O6" i="76"/>
  <c r="M6" i="76"/>
  <c r="L6" i="76"/>
  <c r="K6" i="76"/>
  <c r="J6" i="76"/>
  <c r="H6" i="76"/>
  <c r="G6" i="76"/>
  <c r="Z5" i="76"/>
  <c r="Z9" i="76" s="1"/>
  <c r="Y5" i="76"/>
  <c r="U5" i="76"/>
  <c r="S9" i="76"/>
  <c r="P5" i="76"/>
  <c r="O5" i="76"/>
  <c r="M5" i="76"/>
  <c r="L5" i="76"/>
  <c r="K5" i="76"/>
  <c r="J5" i="76"/>
  <c r="H5" i="76"/>
  <c r="G5" i="76"/>
  <c r="E23" i="76"/>
  <c r="D202" i="76"/>
  <c r="D203" i="76" s="1"/>
  <c r="D169" i="76"/>
  <c r="D160" i="76"/>
  <c r="D152" i="76"/>
  <c r="D136" i="76"/>
  <c r="D124" i="76"/>
  <c r="D115" i="76"/>
  <c r="D112" i="76"/>
  <c r="D98" i="76"/>
  <c r="D94" i="76"/>
  <c r="D71" i="76"/>
  <c r="D53" i="76"/>
  <c r="D32" i="76"/>
  <c r="J80" i="76" l="1"/>
  <c r="D80" i="76"/>
  <c r="T111" i="76"/>
  <c r="T121" i="76"/>
  <c r="T107" i="76"/>
  <c r="D40" i="76"/>
  <c r="AC25" i="76"/>
  <c r="AB202" i="76"/>
  <c r="I40" i="76"/>
  <c r="O177" i="76"/>
  <c r="T147" i="76"/>
  <c r="T151" i="76"/>
  <c r="T166" i="76"/>
  <c r="T181" i="76"/>
  <c r="T134" i="76"/>
  <c r="O98" i="76"/>
  <c r="AC46" i="76"/>
  <c r="AC62" i="76"/>
  <c r="O53" i="76"/>
  <c r="O80" i="76" s="1"/>
  <c r="T28" i="76"/>
  <c r="L80" i="76"/>
  <c r="AF44" i="76"/>
  <c r="AF46" i="76"/>
  <c r="AG46" i="76" s="1"/>
  <c r="AC37" i="76"/>
  <c r="O32" i="76"/>
  <c r="X122" i="76"/>
  <c r="L115" i="76"/>
  <c r="AC64" i="76"/>
  <c r="AC66" i="76"/>
  <c r="AC61" i="76"/>
  <c r="Q164" i="76"/>
  <c r="Q196" i="76"/>
  <c r="Q200" i="76"/>
  <c r="AC58" i="76"/>
  <c r="AG58" i="76" s="1"/>
  <c r="Q104" i="76"/>
  <c r="Q108" i="76"/>
  <c r="Q119" i="76"/>
  <c r="Q133" i="76"/>
  <c r="Q145" i="76"/>
  <c r="Q149" i="76"/>
  <c r="Q165" i="76"/>
  <c r="Q193" i="76"/>
  <c r="Q197" i="76"/>
  <c r="O15" i="76"/>
  <c r="Q166" i="76"/>
  <c r="Q194" i="76"/>
  <c r="Q198" i="76"/>
  <c r="M15" i="76"/>
  <c r="Y53" i="76"/>
  <c r="Y80" i="76" s="1"/>
  <c r="Q23" i="76"/>
  <c r="D125" i="76"/>
  <c r="Q6" i="76"/>
  <c r="Q105" i="76"/>
  <c r="Q109" i="76"/>
  <c r="Q120" i="76"/>
  <c r="Q130" i="76"/>
  <c r="Q134" i="76"/>
  <c r="Q146" i="76"/>
  <c r="F9" i="76"/>
  <c r="X7" i="76"/>
  <c r="Z32" i="76"/>
  <c r="T49" i="76"/>
  <c r="T50" i="76"/>
  <c r="T51" i="76"/>
  <c r="T52" i="76"/>
  <c r="T53" i="76" s="1"/>
  <c r="I94" i="76"/>
  <c r="M94" i="76"/>
  <c r="S94" i="76"/>
  <c r="X86" i="76"/>
  <c r="Q88" i="76"/>
  <c r="T88" i="76"/>
  <c r="AA89" i="76"/>
  <c r="X90" i="76"/>
  <c r="Q92" i="76"/>
  <c r="T92" i="76"/>
  <c r="AA93" i="76"/>
  <c r="H98" i="76"/>
  <c r="F80" i="76"/>
  <c r="AA78" i="76"/>
  <c r="AC77" i="76"/>
  <c r="Q8" i="76"/>
  <c r="Q51" i="76"/>
  <c r="Q103" i="76"/>
  <c r="Q107" i="76"/>
  <c r="Q122" i="76"/>
  <c r="Q132" i="76"/>
  <c r="Q140" i="76"/>
  <c r="Q148" i="76"/>
  <c r="J9" i="76"/>
  <c r="O9" i="76"/>
  <c r="AA28" i="76"/>
  <c r="T86" i="76"/>
  <c r="AA87" i="76"/>
  <c r="T90" i="76"/>
  <c r="AA91" i="76"/>
  <c r="AA97" i="76"/>
  <c r="T101" i="76"/>
  <c r="T103" i="76"/>
  <c r="T130" i="76"/>
  <c r="AA131" i="76"/>
  <c r="K142" i="76"/>
  <c r="T140" i="76"/>
  <c r="O160" i="76"/>
  <c r="Z160" i="76"/>
  <c r="AA181" i="76"/>
  <c r="X183" i="76"/>
  <c r="T185" i="76"/>
  <c r="AA185" i="76"/>
  <c r="X187" i="76"/>
  <c r="AA197" i="76"/>
  <c r="AA199" i="76"/>
  <c r="AA201" i="76"/>
  <c r="T13" i="76"/>
  <c r="AA13" i="76"/>
  <c r="T14" i="76"/>
  <c r="AC68" i="76"/>
  <c r="AC59" i="76"/>
  <c r="AG59" i="76" s="1"/>
  <c r="J202" i="76"/>
  <c r="O202" i="76"/>
  <c r="Z202" i="76"/>
  <c r="AC75" i="76"/>
  <c r="AC74" i="76"/>
  <c r="AC69" i="76"/>
  <c r="AH39" i="76"/>
  <c r="AE40" i="76"/>
  <c r="L98" i="76"/>
  <c r="K112" i="76"/>
  <c r="X101" i="76"/>
  <c r="X103" i="76"/>
  <c r="AA104" i="76"/>
  <c r="T105" i="76"/>
  <c r="X107" i="76"/>
  <c r="AA108" i="76"/>
  <c r="T109" i="76"/>
  <c r="Q111" i="76"/>
  <c r="X111" i="76"/>
  <c r="J124" i="76"/>
  <c r="O124" i="76"/>
  <c r="Z124" i="76"/>
  <c r="AA118" i="76"/>
  <c r="T119" i="76"/>
  <c r="X121" i="76"/>
  <c r="AA122" i="76"/>
  <c r="T123" i="76"/>
  <c r="G136" i="76"/>
  <c r="M136" i="76"/>
  <c r="S136" i="76"/>
  <c r="T132" i="76"/>
  <c r="AA133" i="76"/>
  <c r="K152" i="76"/>
  <c r="T145" i="76"/>
  <c r="AA146" i="76"/>
  <c r="X147" i="76"/>
  <c r="T149" i="76"/>
  <c r="AA150" i="76"/>
  <c r="X151" i="76"/>
  <c r="AA159" i="76"/>
  <c r="H169" i="76"/>
  <c r="O169" i="76"/>
  <c r="Z169" i="76"/>
  <c r="T164" i="76"/>
  <c r="AA165" i="76"/>
  <c r="X166" i="76"/>
  <c r="Q168" i="76"/>
  <c r="T168" i="76"/>
  <c r="J189" i="76"/>
  <c r="Q181" i="76"/>
  <c r="X181" i="76"/>
  <c r="T183" i="76"/>
  <c r="AA183" i="76"/>
  <c r="Q185" i="76"/>
  <c r="X185" i="76"/>
  <c r="T187" i="76"/>
  <c r="AA187" i="76"/>
  <c r="AA192" i="76"/>
  <c r="AA194" i="76"/>
  <c r="AA196" i="76"/>
  <c r="AA198" i="76"/>
  <c r="AA200" i="76"/>
  <c r="AB9" i="76"/>
  <c r="AA12" i="76"/>
  <c r="S15" i="76"/>
  <c r="Q14" i="76"/>
  <c r="X14" i="76"/>
  <c r="AC67" i="76"/>
  <c r="AA71" i="76"/>
  <c r="AA39" i="76"/>
  <c r="AC30" i="76"/>
  <c r="X23" i="76"/>
  <c r="Q118" i="76"/>
  <c r="E124" i="76"/>
  <c r="M80" i="76"/>
  <c r="G80" i="76"/>
  <c r="S80" i="76"/>
  <c r="H80" i="76"/>
  <c r="Q49" i="76"/>
  <c r="E53" i="76"/>
  <c r="E80" i="76" s="1"/>
  <c r="Q97" i="76"/>
  <c r="E98" i="76"/>
  <c r="E152" i="76"/>
  <c r="Q150" i="76"/>
  <c r="Y9" i="76"/>
  <c r="AA5" i="76"/>
  <c r="J39" i="76"/>
  <c r="Q36" i="76"/>
  <c r="AC36" i="76" s="1"/>
  <c r="K80" i="76"/>
  <c r="Z80" i="76"/>
  <c r="T96" i="76"/>
  <c r="R98" i="76"/>
  <c r="E9" i="76"/>
  <c r="Q7" i="76"/>
  <c r="Q50" i="76"/>
  <c r="Q102" i="76"/>
  <c r="Q139" i="76"/>
  <c r="E142" i="76"/>
  <c r="Q163" i="76"/>
  <c r="E169" i="76"/>
  <c r="H9" i="76"/>
  <c r="M9" i="76"/>
  <c r="U9" i="76"/>
  <c r="X5" i="76"/>
  <c r="AA6" i="76"/>
  <c r="AA8" i="76"/>
  <c r="R32" i="76"/>
  <c r="T26" i="76"/>
  <c r="T32" i="76" s="1"/>
  <c r="AA48" i="76"/>
  <c r="AA49" i="76"/>
  <c r="AA50" i="76"/>
  <c r="AA51" i="76"/>
  <c r="AA52" i="76"/>
  <c r="J94" i="76"/>
  <c r="O94" i="76"/>
  <c r="X85" i="76"/>
  <c r="U94" i="76"/>
  <c r="Z94" i="76"/>
  <c r="Q87" i="76"/>
  <c r="T87" i="76"/>
  <c r="AA88" i="76"/>
  <c r="X89" i="76"/>
  <c r="Q91" i="76"/>
  <c r="T91" i="76"/>
  <c r="AA92" i="76"/>
  <c r="X93" i="76"/>
  <c r="I98" i="76"/>
  <c r="M98" i="76"/>
  <c r="S98" i="76"/>
  <c r="AA96" i="76"/>
  <c r="AA98" i="76" s="1"/>
  <c r="Y98" i="76"/>
  <c r="T97" i="76"/>
  <c r="H112" i="76"/>
  <c r="L112" i="76"/>
  <c r="T100" i="76"/>
  <c r="R112" i="76"/>
  <c r="X104" i="76"/>
  <c r="AA105" i="76"/>
  <c r="T106" i="76"/>
  <c r="X108" i="76"/>
  <c r="AA109" i="76"/>
  <c r="T110" i="76"/>
  <c r="F115" i="76"/>
  <c r="Q114" i="76"/>
  <c r="X114" i="76"/>
  <c r="X115" i="76" s="1"/>
  <c r="U115" i="76"/>
  <c r="G124" i="76"/>
  <c r="K124" i="76"/>
  <c r="P124" i="76"/>
  <c r="X118" i="76"/>
  <c r="AA119" i="76"/>
  <c r="T120" i="76"/>
  <c r="AA123" i="76"/>
  <c r="H136" i="76"/>
  <c r="O136" i="76"/>
  <c r="U136" i="76"/>
  <c r="Z136" i="76"/>
  <c r="T131" i="76"/>
  <c r="AA132" i="76"/>
  <c r="L142" i="76"/>
  <c r="Q138" i="76"/>
  <c r="H142" i="76"/>
  <c r="O142" i="76"/>
  <c r="X142" i="76"/>
  <c r="U142" i="76"/>
  <c r="Z142" i="76"/>
  <c r="F152" i="76"/>
  <c r="Q144" i="76"/>
  <c r="L152" i="76"/>
  <c r="T144" i="76"/>
  <c r="R152" i="76"/>
  <c r="AA145" i="76"/>
  <c r="X146" i="76"/>
  <c r="T148" i="76"/>
  <c r="AA149" i="76"/>
  <c r="X150" i="76"/>
  <c r="M160" i="76"/>
  <c r="Q158" i="76"/>
  <c r="S160" i="76"/>
  <c r="AA158" i="76"/>
  <c r="Y160" i="76"/>
  <c r="X159" i="76"/>
  <c r="K169" i="76"/>
  <c r="P169" i="76"/>
  <c r="T163" i="76"/>
  <c r="AA164" i="76"/>
  <c r="X165" i="76"/>
  <c r="T167" i="76"/>
  <c r="AA168" i="76"/>
  <c r="Q176" i="76"/>
  <c r="F177" i="76"/>
  <c r="X176" i="76"/>
  <c r="K189" i="76"/>
  <c r="K203" i="76" s="1"/>
  <c r="S189" i="76"/>
  <c r="T179" i="76"/>
  <c r="Z189" i="76"/>
  <c r="T180" i="76"/>
  <c r="R189" i="76"/>
  <c r="AA180" i="76"/>
  <c r="Q182" i="76"/>
  <c r="X182" i="76"/>
  <c r="T184" i="76"/>
  <c r="AA184" i="76"/>
  <c r="Q186" i="76"/>
  <c r="X186" i="76"/>
  <c r="T188" i="76"/>
  <c r="H203" i="76"/>
  <c r="T191" i="76"/>
  <c r="R202" i="76"/>
  <c r="X192" i="76"/>
  <c r="T193" i="76"/>
  <c r="X194" i="76"/>
  <c r="T195" i="76"/>
  <c r="X196" i="76"/>
  <c r="T197" i="76"/>
  <c r="X198" i="76"/>
  <c r="T199" i="76"/>
  <c r="X200" i="76"/>
  <c r="T201" i="76"/>
  <c r="Q19" i="76"/>
  <c r="AA11" i="76"/>
  <c r="AB124" i="76"/>
  <c r="Q11" i="76"/>
  <c r="AC27" i="76"/>
  <c r="AC63" i="76"/>
  <c r="AC57" i="76"/>
  <c r="T39" i="76"/>
  <c r="AC70" i="76"/>
  <c r="AC38" i="76"/>
  <c r="AC29" i="76"/>
  <c r="Q192" i="76"/>
  <c r="E202" i="76"/>
  <c r="E203" i="76" s="1"/>
  <c r="X8" i="76"/>
  <c r="U32" i="76"/>
  <c r="X26" i="76"/>
  <c r="X32" i="76" s="1"/>
  <c r="X49" i="76"/>
  <c r="X51" i="76"/>
  <c r="X52" i="76"/>
  <c r="K94" i="76"/>
  <c r="X92" i="76"/>
  <c r="F98" i="76"/>
  <c r="Q96" i="76"/>
  <c r="X96" i="76"/>
  <c r="U98" i="76"/>
  <c r="I112" i="76"/>
  <c r="M112" i="76"/>
  <c r="S112" i="76"/>
  <c r="AA100" i="76"/>
  <c r="Y112" i="76"/>
  <c r="X105" i="76"/>
  <c r="X109" i="76"/>
  <c r="P115" i="76"/>
  <c r="H124" i="76"/>
  <c r="L124" i="76"/>
  <c r="T117" i="76"/>
  <c r="R124" i="76"/>
  <c r="X119" i="76"/>
  <c r="Q123" i="76"/>
  <c r="X123" i="76"/>
  <c r="K136" i="76"/>
  <c r="P136" i="76"/>
  <c r="M142" i="76"/>
  <c r="P142" i="76"/>
  <c r="G152" i="76"/>
  <c r="M152" i="76"/>
  <c r="S152" i="76"/>
  <c r="AA144" i="76"/>
  <c r="Y152" i="76"/>
  <c r="X145" i="76"/>
  <c r="X149" i="76"/>
  <c r="Q151" i="76"/>
  <c r="X158" i="76"/>
  <c r="X160" i="76" s="1"/>
  <c r="U160" i="76"/>
  <c r="F169" i="76"/>
  <c r="Q162" i="76"/>
  <c r="L169" i="76"/>
  <c r="T162" i="76"/>
  <c r="R169" i="76"/>
  <c r="X164" i="76"/>
  <c r="X168" i="76"/>
  <c r="P177" i="76"/>
  <c r="L189" i="76"/>
  <c r="L203" i="76" s="1"/>
  <c r="X179" i="76"/>
  <c r="U189" i="76"/>
  <c r="AB189" i="76"/>
  <c r="Q183" i="76"/>
  <c r="Q187" i="76"/>
  <c r="I202" i="76"/>
  <c r="M202" i="76"/>
  <c r="S202" i="76"/>
  <c r="AA191" i="76"/>
  <c r="Y202" i="76"/>
  <c r="E32" i="76"/>
  <c r="X11" i="76"/>
  <c r="Q12" i="76"/>
  <c r="Q13" i="76"/>
  <c r="X78" i="76"/>
  <c r="U53" i="76"/>
  <c r="U80" i="76" s="1"/>
  <c r="AC43" i="76"/>
  <c r="AC45" i="76"/>
  <c r="AG45" i="76" s="1"/>
  <c r="X6" i="76"/>
  <c r="X50" i="76"/>
  <c r="P94" i="76"/>
  <c r="Q86" i="76"/>
  <c r="X88" i="76"/>
  <c r="Q90" i="76"/>
  <c r="Q52" i="76"/>
  <c r="Q129" i="76"/>
  <c r="E136" i="76"/>
  <c r="AA7" i="76"/>
  <c r="AA26" i="76"/>
  <c r="AA47" i="76"/>
  <c r="H94" i="76"/>
  <c r="Q85" i="76"/>
  <c r="L94" i="76"/>
  <c r="T85" i="76"/>
  <c r="R94" i="76"/>
  <c r="AA86" i="76"/>
  <c r="AF86" i="76" s="1"/>
  <c r="X87" i="76"/>
  <c r="Q89" i="76"/>
  <c r="T89" i="76"/>
  <c r="AA90" i="76"/>
  <c r="X91" i="76"/>
  <c r="Q93" i="76"/>
  <c r="T93" i="76"/>
  <c r="G98" i="76"/>
  <c r="K98" i="76"/>
  <c r="P98" i="76"/>
  <c r="X97" i="76"/>
  <c r="J112" i="76"/>
  <c r="O112" i="76"/>
  <c r="X100" i="76"/>
  <c r="U112" i="76"/>
  <c r="Z112" i="76"/>
  <c r="AA101" i="76"/>
  <c r="T102" i="76"/>
  <c r="AA103" i="76"/>
  <c r="T104" i="76"/>
  <c r="X106" i="76"/>
  <c r="AA107" i="76"/>
  <c r="T108" i="76"/>
  <c r="X110" i="76"/>
  <c r="AA111" i="76"/>
  <c r="T114" i="76"/>
  <c r="T115" i="76" s="1"/>
  <c r="R115" i="76"/>
  <c r="I124" i="76"/>
  <c r="M124" i="76"/>
  <c r="S124" i="76"/>
  <c r="AA117" i="76"/>
  <c r="Y124" i="76"/>
  <c r="T118" i="76"/>
  <c r="X120" i="76"/>
  <c r="AA121" i="76"/>
  <c r="T122" i="76"/>
  <c r="F136" i="76"/>
  <c r="L136" i="76"/>
  <c r="T129" i="76"/>
  <c r="R136" i="76"/>
  <c r="AA130" i="76"/>
  <c r="T133" i="76"/>
  <c r="AA134" i="76"/>
  <c r="F142" i="76"/>
  <c r="T139" i="76"/>
  <c r="T142" i="76" s="1"/>
  <c r="R142" i="76"/>
  <c r="AA140" i="76"/>
  <c r="H152" i="76"/>
  <c r="O152" i="76"/>
  <c r="X144" i="76"/>
  <c r="U152" i="76"/>
  <c r="Z152" i="76"/>
  <c r="T146" i="76"/>
  <c r="AA147" i="76"/>
  <c r="X148" i="76"/>
  <c r="T150" i="76"/>
  <c r="AA151" i="76"/>
  <c r="P160" i="76"/>
  <c r="Q159" i="76"/>
  <c r="F160" i="76"/>
  <c r="T159" i="76"/>
  <c r="G169" i="76"/>
  <c r="M169" i="76"/>
  <c r="S169" i="76"/>
  <c r="AA162" i="76"/>
  <c r="Y169" i="76"/>
  <c r="X163" i="76"/>
  <c r="T165" i="76"/>
  <c r="AA166" i="76"/>
  <c r="X167" i="76"/>
  <c r="X174" i="76"/>
  <c r="U177" i="76"/>
  <c r="T176" i="76"/>
  <c r="T177" i="76" s="1"/>
  <c r="R177" i="76"/>
  <c r="I189" i="76"/>
  <c r="Q179" i="76"/>
  <c r="M189" i="76"/>
  <c r="Q180" i="76"/>
  <c r="X180" i="76"/>
  <c r="T182" i="76"/>
  <c r="AA182" i="76"/>
  <c r="Q184" i="76"/>
  <c r="X184" i="76"/>
  <c r="T186" i="76"/>
  <c r="AA186" i="76"/>
  <c r="Q188" i="76"/>
  <c r="X188" i="76"/>
  <c r="F202" i="76"/>
  <c r="Q191" i="76"/>
  <c r="X191" i="76"/>
  <c r="U202" i="76"/>
  <c r="T192" i="76"/>
  <c r="X193" i="76"/>
  <c r="T194" i="76"/>
  <c r="X195" i="76"/>
  <c r="T196" i="76"/>
  <c r="X197" i="76"/>
  <c r="T198" i="76"/>
  <c r="X199" i="76"/>
  <c r="T200" i="76"/>
  <c r="Q201" i="76"/>
  <c r="X201" i="76"/>
  <c r="AB112" i="76"/>
  <c r="AB152" i="76"/>
  <c r="AB170" i="76" s="1"/>
  <c r="X12" i="76"/>
  <c r="X13" i="76"/>
  <c r="AA14" i="76"/>
  <c r="AC60" i="76"/>
  <c r="R53" i="76"/>
  <c r="AC22" i="76"/>
  <c r="AC76" i="76"/>
  <c r="AC73" i="76"/>
  <c r="Q78" i="76"/>
  <c r="X71" i="76"/>
  <c r="X39" i="76"/>
  <c r="AC21" i="76"/>
  <c r="R80" i="76"/>
  <c r="T78" i="76"/>
  <c r="AC65" i="76"/>
  <c r="AC56" i="76"/>
  <c r="AC44" i="76"/>
  <c r="AA32" i="76"/>
  <c r="AC18" i="76"/>
  <c r="AC35" i="76"/>
  <c r="AA85" i="76"/>
  <c r="Y94" i="76"/>
  <c r="G112" i="76"/>
  <c r="Q100" i="76"/>
  <c r="P112" i="76"/>
  <c r="Q101" i="76"/>
  <c r="F112" i="76"/>
  <c r="F124" i="76"/>
  <c r="Q117" i="76"/>
  <c r="X117" i="76"/>
  <c r="U124" i="76"/>
  <c r="AA129" i="76"/>
  <c r="Y136" i="76"/>
  <c r="AA139" i="76"/>
  <c r="Y142" i="76"/>
  <c r="P152" i="76"/>
  <c r="T158" i="76"/>
  <c r="T160" i="76" s="1"/>
  <c r="R160" i="76"/>
  <c r="X162" i="76"/>
  <c r="U169" i="76"/>
  <c r="AB177" i="76"/>
  <c r="AC175" i="76"/>
  <c r="AA176" i="76"/>
  <c r="AA177" i="76" s="1"/>
  <c r="Y177" i="76"/>
  <c r="P189" i="76"/>
  <c r="AA179" i="76"/>
  <c r="Y189" i="76"/>
  <c r="G203" i="76"/>
  <c r="P202" i="76"/>
  <c r="Q5" i="76"/>
  <c r="L15" i="76"/>
  <c r="Y32" i="76"/>
  <c r="AC55" i="76"/>
  <c r="Q71" i="76"/>
  <c r="T71" i="76"/>
  <c r="AC31" i="76"/>
  <c r="P53" i="76"/>
  <c r="P80" i="76" s="1"/>
  <c r="J15" i="76"/>
  <c r="S32" i="76"/>
  <c r="G9" i="76"/>
  <c r="K9" i="76"/>
  <c r="K40" i="76" s="1"/>
  <c r="P9" i="76"/>
  <c r="R15" i="76"/>
  <c r="L9" i="76"/>
  <c r="R9" i="76"/>
  <c r="M32" i="76"/>
  <c r="Z15" i="76"/>
  <c r="Y15" i="76"/>
  <c r="U15" i="76"/>
  <c r="G15" i="76"/>
  <c r="H15" i="76"/>
  <c r="F15" i="76"/>
  <c r="E15" i="76"/>
  <c r="D170" i="76"/>
  <c r="AC28" i="76" l="1"/>
  <c r="O203" i="76"/>
  <c r="P203" i="76"/>
  <c r="AC131" i="76"/>
  <c r="AC8" i="76"/>
  <c r="J203" i="76"/>
  <c r="AC183" i="76"/>
  <c r="AC147" i="76"/>
  <c r="J125" i="76"/>
  <c r="F203" i="76"/>
  <c r="AC145" i="76"/>
  <c r="Z170" i="76"/>
  <c r="AC197" i="76"/>
  <c r="AC184" i="76"/>
  <c r="AC168" i="76"/>
  <c r="AC47" i="76"/>
  <c r="AC201" i="76"/>
  <c r="AC193" i="76"/>
  <c r="AC188" i="76"/>
  <c r="AC180" i="76"/>
  <c r="AC133" i="76"/>
  <c r="Z203" i="76"/>
  <c r="H170" i="76"/>
  <c r="U203" i="76"/>
  <c r="M170" i="76"/>
  <c r="AC140" i="76"/>
  <c r="AC121" i="76"/>
  <c r="AA202" i="76"/>
  <c r="AC181" i="76"/>
  <c r="AC159" i="76"/>
  <c r="AC132" i="76"/>
  <c r="S170" i="76"/>
  <c r="AC164" i="76"/>
  <c r="M40" i="76"/>
  <c r="J40" i="76"/>
  <c r="AC146" i="76"/>
  <c r="AC111" i="76"/>
  <c r="Z125" i="76"/>
  <c r="AC107" i="76"/>
  <c r="AC109" i="76"/>
  <c r="F40" i="76"/>
  <c r="AC93" i="76"/>
  <c r="H40" i="76"/>
  <c r="S40" i="76"/>
  <c r="AC48" i="76"/>
  <c r="G40" i="76"/>
  <c r="E40" i="76"/>
  <c r="U40" i="76"/>
  <c r="AG44" i="76"/>
  <c r="AC14" i="76"/>
  <c r="AC5" i="76"/>
  <c r="O40" i="76"/>
  <c r="AC119" i="76"/>
  <c r="AA169" i="76"/>
  <c r="AC88" i="76"/>
  <c r="AC149" i="76"/>
  <c r="AC130" i="76"/>
  <c r="AC122" i="76"/>
  <c r="I125" i="76"/>
  <c r="AC51" i="76"/>
  <c r="AC6" i="76"/>
  <c r="AC200" i="76"/>
  <c r="AC196" i="76"/>
  <c r="AC166" i="76"/>
  <c r="G170" i="76"/>
  <c r="AC134" i="76"/>
  <c r="AA53" i="76"/>
  <c r="AA80" i="76" s="1"/>
  <c r="AC187" i="76"/>
  <c r="AA160" i="76"/>
  <c r="AC101" i="76"/>
  <c r="T169" i="76"/>
  <c r="AC108" i="76"/>
  <c r="AC104" i="76"/>
  <c r="AC52" i="76"/>
  <c r="S203" i="76"/>
  <c r="Q39" i="76"/>
  <c r="AA189" i="76"/>
  <c r="Z40" i="76"/>
  <c r="U170" i="76"/>
  <c r="U125" i="76"/>
  <c r="AC198" i="76"/>
  <c r="AC194" i="76"/>
  <c r="AC103" i="76"/>
  <c r="AC105" i="76"/>
  <c r="AC199" i="76"/>
  <c r="T189" i="76"/>
  <c r="Y125" i="76"/>
  <c r="AB203" i="76"/>
  <c r="L125" i="76"/>
  <c r="X53" i="76"/>
  <c r="X80" i="76" s="1"/>
  <c r="AC148" i="76"/>
  <c r="O170" i="76"/>
  <c r="AC118" i="76"/>
  <c r="AC120" i="76"/>
  <c r="AC49" i="76"/>
  <c r="AC185" i="76"/>
  <c r="T15" i="76"/>
  <c r="T40" i="76" s="1"/>
  <c r="AC165" i="76"/>
  <c r="AC13" i="76"/>
  <c r="AC192" i="76"/>
  <c r="AC195" i="76"/>
  <c r="AC167" i="76"/>
  <c r="AC110" i="76"/>
  <c r="AC106" i="76"/>
  <c r="AC92" i="76"/>
  <c r="O125" i="76"/>
  <c r="AC71" i="76"/>
  <c r="X202" i="76"/>
  <c r="AC186" i="76"/>
  <c r="X169" i="76"/>
  <c r="G125" i="76"/>
  <c r="X9" i="76"/>
  <c r="AC163" i="76"/>
  <c r="Y40" i="76"/>
  <c r="L40" i="76"/>
  <c r="Q189" i="76"/>
  <c r="AA142" i="76"/>
  <c r="AC117" i="76"/>
  <c r="Q124" i="76"/>
  <c r="AC179" i="76"/>
  <c r="Y170" i="76"/>
  <c r="X152" i="76"/>
  <c r="AA124" i="76"/>
  <c r="T94" i="76"/>
  <c r="Q169" i="76"/>
  <c r="AC86" i="76"/>
  <c r="AG86" i="76" s="1"/>
  <c r="AC12" i="76"/>
  <c r="M203" i="76"/>
  <c r="AC162" i="76"/>
  <c r="AC123" i="76"/>
  <c r="H125" i="76"/>
  <c r="Q15" i="76"/>
  <c r="AC19" i="76"/>
  <c r="AC182" i="76"/>
  <c r="P125" i="76"/>
  <c r="AC150" i="76"/>
  <c r="Q9" i="76"/>
  <c r="AC100" i="76"/>
  <c r="Q112" i="76"/>
  <c r="L170" i="76"/>
  <c r="AA152" i="76"/>
  <c r="AC96" i="76"/>
  <c r="Q98" i="76"/>
  <c r="AC176" i="76"/>
  <c r="Q177" i="76"/>
  <c r="P170" i="76"/>
  <c r="AC144" i="76"/>
  <c r="Q152" i="76"/>
  <c r="AC138" i="76"/>
  <c r="Q142" i="76"/>
  <c r="X124" i="76"/>
  <c r="F125" i="76"/>
  <c r="T80" i="76"/>
  <c r="X177" i="76"/>
  <c r="AC174" i="76"/>
  <c r="S125" i="76"/>
  <c r="AC129" i="76"/>
  <c r="Q136" i="76"/>
  <c r="X15" i="76"/>
  <c r="Y203" i="76"/>
  <c r="I203" i="76"/>
  <c r="X189" i="76"/>
  <c r="R170" i="76"/>
  <c r="F170" i="76"/>
  <c r="AC151" i="76"/>
  <c r="R125" i="76"/>
  <c r="AA112" i="76"/>
  <c r="R203" i="76"/>
  <c r="K170" i="76"/>
  <c r="T152" i="76"/>
  <c r="T112" i="76"/>
  <c r="AC91" i="76"/>
  <c r="AC50" i="76"/>
  <c r="AC97" i="76"/>
  <c r="AA136" i="76"/>
  <c r="AA94" i="76"/>
  <c r="AC23" i="76"/>
  <c r="AC78" i="76"/>
  <c r="AC191" i="76"/>
  <c r="T136" i="76"/>
  <c r="M125" i="76"/>
  <c r="AC89" i="76"/>
  <c r="AC85" i="76"/>
  <c r="Q94" i="76"/>
  <c r="AC90" i="76"/>
  <c r="Q53" i="76"/>
  <c r="Q80" i="76" s="1"/>
  <c r="T124" i="76"/>
  <c r="X98" i="76"/>
  <c r="AA15" i="76"/>
  <c r="T202" i="76"/>
  <c r="AC158" i="76"/>
  <c r="Q160" i="76"/>
  <c r="K125" i="76"/>
  <c r="AC114" i="76"/>
  <c r="Q115" i="76"/>
  <c r="AC87" i="76"/>
  <c r="X94" i="76"/>
  <c r="E170" i="76"/>
  <c r="AC139" i="76"/>
  <c r="AC7" i="76"/>
  <c r="T98" i="76"/>
  <c r="AA9" i="76"/>
  <c r="Q202" i="76"/>
  <c r="E125" i="76"/>
  <c r="R40" i="76"/>
  <c r="X45" i="2"/>
  <c r="V75" i="76"/>
  <c r="AF75" i="76" s="1"/>
  <c r="AG75" i="76" s="1"/>
  <c r="T203" i="76" l="1"/>
  <c r="AA203" i="76"/>
  <c r="Q203" i="76"/>
  <c r="W63" i="76"/>
  <c r="AI63" i="76" s="1"/>
  <c r="AJ63" i="76" s="1"/>
  <c r="V63" i="76"/>
  <c r="AF63" i="76" s="1"/>
  <c r="AG63" i="76" s="1"/>
  <c r="W75" i="76"/>
  <c r="AI75" i="76" s="1"/>
  <c r="AJ75" i="76" s="1"/>
  <c r="AE45" i="2"/>
  <c r="AL102" i="76" s="1"/>
  <c r="AA170" i="76"/>
  <c r="T170" i="76"/>
  <c r="X40" i="76"/>
  <c r="Y204" i="76"/>
  <c r="AC53" i="76"/>
  <c r="AC80" i="76" s="1"/>
  <c r="AC115" i="76"/>
  <c r="AC177" i="76"/>
  <c r="AC152" i="76"/>
  <c r="AC98" i="76"/>
  <c r="AC9" i="76"/>
  <c r="AC136" i="76"/>
  <c r="AC169" i="76"/>
  <c r="AC124" i="76"/>
  <c r="AA40" i="76"/>
  <c r="T125" i="76"/>
  <c r="AC142" i="76"/>
  <c r="X203" i="76"/>
  <c r="AC202" i="76"/>
  <c r="AC160" i="76"/>
  <c r="Q170" i="76"/>
  <c r="AC189" i="76"/>
  <c r="AA125" i="76"/>
  <c r="Q125" i="76"/>
  <c r="X170" i="76"/>
  <c r="Y45" i="2"/>
  <c r="W102" i="76" s="1"/>
  <c r="V102" i="76"/>
  <c r="AF102" i="76" s="1"/>
  <c r="O62" i="71"/>
  <c r="R40" i="2"/>
  <c r="AL63" i="76" l="1"/>
  <c r="AI102" i="76"/>
  <c r="AJ102" i="76" s="1"/>
  <c r="X102" i="76"/>
  <c r="AC203" i="76"/>
  <c r="AC170" i="76"/>
  <c r="AC102" i="76" l="1"/>
  <c r="X112" i="76"/>
  <c r="X125" i="76" s="1"/>
  <c r="AG102" i="76" l="1"/>
  <c r="AC112" i="76"/>
  <c r="P42" i="1"/>
  <c r="N42" i="1"/>
  <c r="V145" i="76"/>
  <c r="AF145" i="76" s="1"/>
  <c r="AG145" i="76" s="1"/>
  <c r="P62" i="71"/>
  <c r="S66" i="2"/>
  <c r="R66" i="2"/>
  <c r="Q66" i="2"/>
  <c r="J36" i="76" l="1"/>
  <c r="M44" i="1"/>
  <c r="L44" i="1"/>
  <c r="N44" i="1"/>
  <c r="O44" i="1"/>
  <c r="P44" i="1"/>
  <c r="X52" i="4"/>
  <c r="AD52" i="4" s="1"/>
  <c r="Y52" i="4" l="1"/>
  <c r="V36" i="76"/>
  <c r="AF36" i="76" s="1"/>
  <c r="AG36" i="76" s="1"/>
  <c r="W36" i="76" l="1"/>
  <c r="AI36" i="76" s="1"/>
  <c r="AJ36" i="76" s="1"/>
  <c r="G54" i="71"/>
  <c r="AA54" i="71" l="1"/>
  <c r="W12" i="76"/>
  <c r="AI12" i="76" s="1"/>
  <c r="AJ12" i="76" s="1"/>
  <c r="V12" i="76"/>
  <c r="AF12" i="76" s="1"/>
  <c r="AG12" i="76" s="1"/>
  <c r="V54" i="71"/>
  <c r="W167" i="76" s="1"/>
  <c r="AI167" i="76" s="1"/>
  <c r="AJ167" i="76" s="1"/>
  <c r="V167" i="76"/>
  <c r="AF167" i="76" s="1"/>
  <c r="AG167" i="76" s="1"/>
  <c r="AL167" i="76" l="1"/>
  <c r="W69" i="76"/>
  <c r="AI69" i="76" s="1"/>
  <c r="AJ69" i="76" s="1"/>
  <c r="V69" i="76"/>
  <c r="AF69" i="76" s="1"/>
  <c r="AG69" i="76" s="1"/>
  <c r="AL69" i="76"/>
  <c r="G16" i="1"/>
  <c r="G17" i="1" s="1"/>
  <c r="P37" i="4"/>
  <c r="P59" i="4" s="1"/>
  <c r="AD16" i="1" l="1"/>
  <c r="AD17" i="1" s="1"/>
  <c r="V197" i="76"/>
  <c r="AF197" i="76" s="1"/>
  <c r="AG197" i="76" s="1"/>
  <c r="W175" i="76"/>
  <c r="AI175" i="76" s="1"/>
  <c r="AJ175" i="76" s="1"/>
  <c r="V175" i="76"/>
  <c r="AF175" i="76" s="1"/>
  <c r="AG175" i="76" s="1"/>
  <c r="W199" i="76"/>
  <c r="AI199" i="76" s="1"/>
  <c r="AJ199" i="76" s="1"/>
  <c r="V199" i="76"/>
  <c r="AF199" i="76" s="1"/>
  <c r="AG199" i="76" s="1"/>
  <c r="W16" i="1"/>
  <c r="V176" i="76"/>
  <c r="W198" i="76"/>
  <c r="AI198" i="76" s="1"/>
  <c r="AJ198" i="76" s="1"/>
  <c r="V198" i="76"/>
  <c r="AF198" i="76" s="1"/>
  <c r="AG198" i="76" s="1"/>
  <c r="W176" i="76" l="1"/>
  <c r="W17" i="1"/>
  <c r="W197" i="76"/>
  <c r="AI197" i="76" s="1"/>
  <c r="AJ197" i="76" s="1"/>
  <c r="AI176" i="76"/>
  <c r="AJ176" i="76" s="1"/>
  <c r="W188" i="76"/>
  <c r="AI188" i="76" s="1"/>
  <c r="AJ188" i="76" s="1"/>
  <c r="V188" i="76"/>
  <c r="AF188" i="76" s="1"/>
  <c r="AG188" i="76" s="1"/>
  <c r="AF176" i="76"/>
  <c r="AG176" i="76" s="1"/>
  <c r="W37" i="76" l="1"/>
  <c r="AI37" i="76" s="1"/>
  <c r="AJ37" i="76" s="1"/>
  <c r="V37" i="76"/>
  <c r="AF37" i="76" s="1"/>
  <c r="AG37" i="76" s="1"/>
  <c r="AC37" i="4"/>
  <c r="AC59" i="4" s="1"/>
  <c r="AB37" i="4"/>
  <c r="AB59" i="4" s="1"/>
  <c r="AA37" i="4"/>
  <c r="AA59" i="4" s="1"/>
  <c r="Z37" i="4"/>
  <c r="Z59" i="4" s="1"/>
  <c r="W37" i="4"/>
  <c r="W59" i="4" s="1"/>
  <c r="V37" i="4"/>
  <c r="V59" i="4" s="1"/>
  <c r="U37" i="4"/>
  <c r="U59" i="4" s="1"/>
  <c r="T37" i="4"/>
  <c r="T59" i="4" s="1"/>
  <c r="M37" i="4"/>
  <c r="M59" i="4" s="1"/>
  <c r="L37" i="4"/>
  <c r="L59" i="4" s="1"/>
  <c r="X36" i="4"/>
  <c r="X33" i="4"/>
  <c r="AD33" i="4" s="1"/>
  <c r="U52" i="71"/>
  <c r="G52" i="71"/>
  <c r="AD36" i="4" l="1"/>
  <c r="AD37" i="4" s="1"/>
  <c r="AA52" i="71"/>
  <c r="AL165" i="76" s="1"/>
  <c r="Y36" i="4"/>
  <c r="W18" i="76" s="1"/>
  <c r="AI18" i="76" s="1"/>
  <c r="AJ18" i="76" s="1"/>
  <c r="V18" i="76"/>
  <c r="AF18" i="76" s="1"/>
  <c r="AG18" i="76" s="1"/>
  <c r="V52" i="71"/>
  <c r="W165" i="76" s="1"/>
  <c r="AI165" i="76" s="1"/>
  <c r="AJ165" i="76" s="1"/>
  <c r="V165" i="76"/>
  <c r="AF165" i="76" s="1"/>
  <c r="AG165" i="76" s="1"/>
  <c r="V17" i="76"/>
  <c r="Y33" i="4"/>
  <c r="W17" i="76" s="1"/>
  <c r="X37" i="4"/>
  <c r="H37" i="4"/>
  <c r="H59" i="4" s="1"/>
  <c r="Y37" i="4" l="1"/>
  <c r="W19" i="76"/>
  <c r="AI17" i="76"/>
  <c r="AJ17" i="76" s="1"/>
  <c r="V19" i="76"/>
  <c r="AF17" i="76"/>
  <c r="AG17" i="76" s="1"/>
  <c r="W150" i="76" l="1"/>
  <c r="AI150" i="76" s="1"/>
  <c r="AJ150" i="76" s="1"/>
  <c r="V150" i="76"/>
  <c r="AF150" i="76" s="1"/>
  <c r="AG150" i="76" s="1"/>
  <c r="X17" i="2"/>
  <c r="AE17" i="2" s="1"/>
  <c r="Y17" i="2" l="1"/>
  <c r="W92" i="76" s="1"/>
  <c r="AI92" i="76" s="1"/>
  <c r="AJ92" i="76" s="1"/>
  <c r="V92" i="76"/>
  <c r="AF92" i="76" s="1"/>
  <c r="AG92" i="76" s="1"/>
  <c r="AL76" i="76" l="1"/>
  <c r="W76" i="76"/>
  <c r="AI76" i="76" s="1"/>
  <c r="AJ76" i="76" s="1"/>
  <c r="V76" i="76"/>
  <c r="AF76" i="76" s="1"/>
  <c r="AG76" i="76" s="1"/>
  <c r="G51" i="71" l="1"/>
  <c r="AL75" i="76"/>
  <c r="V68" i="76"/>
  <c r="AF68" i="76" s="1"/>
  <c r="AG68" i="76" s="1"/>
  <c r="V48" i="76"/>
  <c r="AF48" i="76" s="1"/>
  <c r="AG48" i="76" s="1"/>
  <c r="V47" i="76"/>
  <c r="AF47" i="76" s="1"/>
  <c r="AG47" i="76" s="1"/>
  <c r="AL46" i="76"/>
  <c r="AA51" i="71" l="1"/>
  <c r="AL163" i="76"/>
  <c r="AL47" i="76"/>
  <c r="W163" i="76"/>
  <c r="AI163" i="76" s="1"/>
  <c r="AJ163" i="76" s="1"/>
  <c r="V163" i="76"/>
  <c r="AF163" i="76" s="1"/>
  <c r="AG163" i="76" s="1"/>
  <c r="W7" i="76"/>
  <c r="AI7" i="76" s="1"/>
  <c r="AJ7" i="76" s="1"/>
  <c r="V7" i="76"/>
  <c r="AF7" i="76" s="1"/>
  <c r="AG7" i="76" s="1"/>
  <c r="V51" i="71"/>
  <c r="V164" i="76"/>
  <c r="AF164" i="76" s="1"/>
  <c r="AG164" i="76" s="1"/>
  <c r="AL117" i="76"/>
  <c r="AL68" i="76"/>
  <c r="W117" i="76"/>
  <c r="V117" i="76"/>
  <c r="W48" i="76"/>
  <c r="AI48" i="76" s="1"/>
  <c r="AJ48" i="76" s="1"/>
  <c r="W47" i="76"/>
  <c r="AI47" i="76" s="1"/>
  <c r="AJ47" i="76" s="1"/>
  <c r="W68" i="76"/>
  <c r="AI68" i="76" s="1"/>
  <c r="AJ68" i="76" s="1"/>
  <c r="W164" i="76" l="1"/>
  <c r="AI164" i="76" s="1"/>
  <c r="AJ164" i="76" s="1"/>
  <c r="AL164" i="76"/>
  <c r="AL48" i="76"/>
  <c r="AF117" i="76"/>
  <c r="AG117" i="76" s="1"/>
  <c r="AI117" i="76"/>
  <c r="AJ117" i="76" s="1"/>
  <c r="T66" i="2"/>
  <c r="N62" i="71" l="1"/>
  <c r="W45" i="76" l="1"/>
  <c r="AI45" i="76" s="1"/>
  <c r="AJ45" i="76" s="1"/>
  <c r="Z40" i="2" l="1"/>
  <c r="Z66" i="2" s="1"/>
  <c r="W40" i="2"/>
  <c r="W66" i="2" s="1"/>
  <c r="V40" i="2"/>
  <c r="V66" i="2" s="1"/>
  <c r="U40" i="2"/>
  <c r="U66" i="2" s="1"/>
  <c r="P40" i="2"/>
  <c r="P66" i="2" s="1"/>
  <c r="O40" i="2"/>
  <c r="O66" i="2" s="1"/>
  <c r="T45" i="71"/>
  <c r="T62" i="71" s="1"/>
  <c r="W73" i="76" l="1"/>
  <c r="V73" i="76"/>
  <c r="W77" i="76"/>
  <c r="AI77" i="76" s="1"/>
  <c r="AJ77" i="76" s="1"/>
  <c r="V77" i="76"/>
  <c r="AF77" i="76" s="1"/>
  <c r="AG77" i="76" s="1"/>
  <c r="W74" i="76"/>
  <c r="AI74" i="76" s="1"/>
  <c r="AJ74" i="76" s="1"/>
  <c r="V74" i="76"/>
  <c r="AF74" i="76" s="1"/>
  <c r="AG74" i="76" s="1"/>
  <c r="V114" i="76"/>
  <c r="X49" i="2"/>
  <c r="X46" i="2"/>
  <c r="X44" i="2"/>
  <c r="X42" i="2"/>
  <c r="AE42" i="2" s="1"/>
  <c r="X39" i="2"/>
  <c r="V96" i="76"/>
  <c r="X32" i="2"/>
  <c r="X16" i="2"/>
  <c r="AE16" i="2" s="1"/>
  <c r="X30" i="2"/>
  <c r="X15" i="2"/>
  <c r="AE15" i="2" s="1"/>
  <c r="X26" i="2"/>
  <c r="AE26" i="2" s="1"/>
  <c r="X21" i="2"/>
  <c r="AE21" i="2" s="1"/>
  <c r="Y20" i="2"/>
  <c r="W86" i="76" s="1"/>
  <c r="AI86" i="76" s="1"/>
  <c r="AJ86" i="76" s="1"/>
  <c r="X13" i="2"/>
  <c r="AE13" i="2" s="1"/>
  <c r="V83" i="76"/>
  <c r="X34" i="2" l="1"/>
  <c r="X56" i="2"/>
  <c r="V115" i="76"/>
  <c r="AF114" i="76"/>
  <c r="AG114" i="76" s="1"/>
  <c r="Y32" i="2"/>
  <c r="W93" i="76" s="1"/>
  <c r="AI93" i="76" s="1"/>
  <c r="AJ93" i="76" s="1"/>
  <c r="V93" i="76"/>
  <c r="AF93" i="76" s="1"/>
  <c r="AG93" i="76" s="1"/>
  <c r="Y21" i="2"/>
  <c r="W87" i="76" s="1"/>
  <c r="AI87" i="76" s="1"/>
  <c r="AJ87" i="76" s="1"/>
  <c r="V87" i="76"/>
  <c r="AF87" i="76" s="1"/>
  <c r="AG87" i="76" s="1"/>
  <c r="Y53" i="2"/>
  <c r="W110" i="76" s="1"/>
  <c r="AI110" i="76" s="1"/>
  <c r="AJ110" i="76" s="1"/>
  <c r="V110" i="76"/>
  <c r="AF110" i="76" s="1"/>
  <c r="AG110" i="76" s="1"/>
  <c r="Y43" i="2"/>
  <c r="W103" i="76" s="1"/>
  <c r="AI103" i="76" s="1"/>
  <c r="AJ103" i="76" s="1"/>
  <c r="V103" i="76"/>
  <c r="AF103" i="76" s="1"/>
  <c r="AG103" i="76" s="1"/>
  <c r="W111" i="76"/>
  <c r="AI111" i="76" s="1"/>
  <c r="AJ111" i="76" s="1"/>
  <c r="V111" i="76"/>
  <c r="AF111" i="76" s="1"/>
  <c r="AG111" i="76" s="1"/>
  <c r="Y13" i="2"/>
  <c r="W84" i="76" s="1"/>
  <c r="AI84" i="76" s="1"/>
  <c r="AJ84" i="76" s="1"/>
  <c r="V84" i="76"/>
  <c r="V100" i="76"/>
  <c r="V109" i="76"/>
  <c r="AF109" i="76" s="1"/>
  <c r="AG109" i="76" s="1"/>
  <c r="AE50" i="2"/>
  <c r="AL109" i="76" s="1"/>
  <c r="W123" i="76"/>
  <c r="AI123" i="76" s="1"/>
  <c r="AJ123" i="76" s="1"/>
  <c r="V123" i="76"/>
  <c r="AF123" i="76" s="1"/>
  <c r="AG123" i="76" s="1"/>
  <c r="Y26" i="2"/>
  <c r="W88" i="76" s="1"/>
  <c r="AI88" i="76" s="1"/>
  <c r="AJ88" i="76" s="1"/>
  <c r="V88" i="76"/>
  <c r="AF88" i="76" s="1"/>
  <c r="AG88" i="76" s="1"/>
  <c r="Y42" i="2"/>
  <c r="V101" i="76"/>
  <c r="AF101" i="76" s="1"/>
  <c r="AG101" i="76" s="1"/>
  <c r="Y15" i="2"/>
  <c r="W89" i="76" s="1"/>
  <c r="AI89" i="76" s="1"/>
  <c r="AJ89" i="76" s="1"/>
  <c r="V89" i="76"/>
  <c r="AF89" i="76" s="1"/>
  <c r="AG89" i="76" s="1"/>
  <c r="Y30" i="2"/>
  <c r="W90" i="76" s="1"/>
  <c r="AI90" i="76" s="1"/>
  <c r="AJ90" i="76" s="1"/>
  <c r="V90" i="76"/>
  <c r="AF90" i="76" s="1"/>
  <c r="AG90" i="76" s="1"/>
  <c r="Y44" i="2"/>
  <c r="W104" i="76" s="1"/>
  <c r="AI104" i="76" s="1"/>
  <c r="AJ104" i="76" s="1"/>
  <c r="V104" i="76"/>
  <c r="AF104" i="76" s="1"/>
  <c r="AG104" i="76" s="1"/>
  <c r="Y65" i="2"/>
  <c r="V118" i="76"/>
  <c r="Y16" i="2"/>
  <c r="W91" i="76" s="1"/>
  <c r="AI91" i="76" s="1"/>
  <c r="AJ91" i="76" s="1"/>
  <c r="V91" i="76"/>
  <c r="AF91" i="76" s="1"/>
  <c r="AG91" i="76" s="1"/>
  <c r="W105" i="76"/>
  <c r="AI105" i="76" s="1"/>
  <c r="AJ105" i="76" s="1"/>
  <c r="V105" i="76"/>
  <c r="AF105" i="76" s="1"/>
  <c r="AG105" i="76" s="1"/>
  <c r="W119" i="76"/>
  <c r="AI119" i="76" s="1"/>
  <c r="AJ119" i="76" s="1"/>
  <c r="V119" i="76"/>
  <c r="AF119" i="76" s="1"/>
  <c r="AG119" i="76" s="1"/>
  <c r="W106" i="76"/>
  <c r="AI106" i="76" s="1"/>
  <c r="AJ106" i="76" s="1"/>
  <c r="V106" i="76"/>
  <c r="AF106" i="76" s="1"/>
  <c r="AG106" i="76" s="1"/>
  <c r="W120" i="76"/>
  <c r="AI120" i="76" s="1"/>
  <c r="AJ120" i="76" s="1"/>
  <c r="V120" i="76"/>
  <c r="AF120" i="76" s="1"/>
  <c r="AG120" i="76" s="1"/>
  <c r="W85" i="76"/>
  <c r="AI85" i="76" s="1"/>
  <c r="AJ85" i="76" s="1"/>
  <c r="V85" i="76"/>
  <c r="AF85" i="76" s="1"/>
  <c r="AG85" i="76" s="1"/>
  <c r="AF96" i="76"/>
  <c r="AG96" i="76" s="1"/>
  <c r="Y46" i="2"/>
  <c r="W107" i="76" s="1"/>
  <c r="AI107" i="76" s="1"/>
  <c r="AJ107" i="76" s="1"/>
  <c r="V107" i="76"/>
  <c r="AF107" i="76" s="1"/>
  <c r="AG107" i="76" s="1"/>
  <c r="W121" i="76"/>
  <c r="AI121" i="76" s="1"/>
  <c r="AJ121" i="76" s="1"/>
  <c r="V121" i="76"/>
  <c r="AF121" i="76" s="1"/>
  <c r="AG121" i="76" s="1"/>
  <c r="V78" i="76"/>
  <c r="AF73" i="76"/>
  <c r="AG73" i="76" s="1"/>
  <c r="Y39" i="2"/>
  <c r="W97" i="76" s="1"/>
  <c r="AI97" i="76" s="1"/>
  <c r="AJ97" i="76" s="1"/>
  <c r="V97" i="76"/>
  <c r="AF97" i="76" s="1"/>
  <c r="AG97" i="76" s="1"/>
  <c r="Y49" i="2"/>
  <c r="W108" i="76" s="1"/>
  <c r="AI108" i="76" s="1"/>
  <c r="AJ108" i="76" s="1"/>
  <c r="V108" i="76"/>
  <c r="AF108" i="76" s="1"/>
  <c r="AG108" i="76" s="1"/>
  <c r="W122" i="76"/>
  <c r="AI122" i="76" s="1"/>
  <c r="AJ122" i="76" s="1"/>
  <c r="V122" i="76"/>
  <c r="AF122" i="76" s="1"/>
  <c r="AG122" i="76" s="1"/>
  <c r="AI73" i="76"/>
  <c r="AJ73" i="76" s="1"/>
  <c r="W78" i="76"/>
  <c r="Y12" i="2"/>
  <c r="Y50" i="2"/>
  <c r="W109" i="76" s="1"/>
  <c r="AI109" i="76" s="1"/>
  <c r="AJ109" i="76" s="1"/>
  <c r="X40" i="2"/>
  <c r="U42" i="1"/>
  <c r="U44" i="1" s="1"/>
  <c r="V32" i="1"/>
  <c r="V40" i="1"/>
  <c r="V29" i="1"/>
  <c r="V194" i="76" s="1"/>
  <c r="AF194" i="76" s="1"/>
  <c r="AG194" i="76" s="1"/>
  <c r="V37" i="1"/>
  <c r="V28" i="1"/>
  <c r="V36" i="1"/>
  <c r="V187" i="76"/>
  <c r="AF187" i="76" s="1"/>
  <c r="AG187" i="76" s="1"/>
  <c r="V185" i="76"/>
  <c r="AF185" i="76" s="1"/>
  <c r="AG185" i="76" s="1"/>
  <c r="S45" i="71"/>
  <c r="R45" i="71"/>
  <c r="U55" i="71"/>
  <c r="U53" i="71"/>
  <c r="U44" i="71"/>
  <c r="U43" i="71"/>
  <c r="V154" i="76" s="1"/>
  <c r="U39" i="71"/>
  <c r="U38" i="71"/>
  <c r="U37" i="71"/>
  <c r="U36" i="71"/>
  <c r="U35" i="71"/>
  <c r="W145" i="76"/>
  <c r="AI145" i="76" s="1"/>
  <c r="AJ145" i="76" s="1"/>
  <c r="U34" i="71"/>
  <c r="U28" i="71"/>
  <c r="U25" i="71"/>
  <c r="U19" i="71"/>
  <c r="U18" i="71"/>
  <c r="U17" i="71"/>
  <c r="U15" i="71"/>
  <c r="U14" i="71"/>
  <c r="U13" i="71"/>
  <c r="X45" i="71"/>
  <c r="W45" i="71"/>
  <c r="T42" i="1"/>
  <c r="S42" i="1"/>
  <c r="Y44" i="1"/>
  <c r="V70" i="76"/>
  <c r="AF70" i="76" s="1"/>
  <c r="AG70" i="76" s="1"/>
  <c r="V67" i="76"/>
  <c r="AF67" i="76" s="1"/>
  <c r="AG67" i="76" s="1"/>
  <c r="V66" i="76"/>
  <c r="AF66" i="76" s="1"/>
  <c r="AG66" i="76" s="1"/>
  <c r="V65" i="76"/>
  <c r="AF65" i="76" s="1"/>
  <c r="AG65" i="76" s="1"/>
  <c r="V62" i="76"/>
  <c r="AF62" i="76" s="1"/>
  <c r="AG62" i="76" s="1"/>
  <c r="V56" i="76"/>
  <c r="AF56" i="76" s="1"/>
  <c r="AG56" i="76" s="1"/>
  <c r="V43" i="76"/>
  <c r="AF43" i="76" s="1"/>
  <c r="AG43" i="76" s="1"/>
  <c r="X55" i="4"/>
  <c r="X58" i="4" s="1"/>
  <c r="X47" i="4"/>
  <c r="X46" i="4"/>
  <c r="AD46" i="4" s="1"/>
  <c r="X45" i="4"/>
  <c r="AD45" i="4" s="1"/>
  <c r="X40" i="4"/>
  <c r="X41" i="4" s="1"/>
  <c r="X29" i="4"/>
  <c r="X27" i="4"/>
  <c r="V5" i="76"/>
  <c r="AB42" i="1"/>
  <c r="R42" i="1"/>
  <c r="K42" i="1"/>
  <c r="G32" i="1"/>
  <c r="AC42" i="1"/>
  <c r="AC44" i="1" s="1"/>
  <c r="G40" i="1"/>
  <c r="G29" i="1"/>
  <c r="G37" i="1"/>
  <c r="G28" i="1"/>
  <c r="G36" i="1"/>
  <c r="G55" i="71"/>
  <c r="G53" i="71"/>
  <c r="Z45" i="71"/>
  <c r="Y45" i="71"/>
  <c r="Q45" i="71"/>
  <c r="J45" i="71"/>
  <c r="H45" i="71"/>
  <c r="H62" i="71" s="1"/>
  <c r="G44" i="71"/>
  <c r="G43" i="71"/>
  <c r="G39" i="71"/>
  <c r="G38" i="71"/>
  <c r="G37" i="71"/>
  <c r="G36" i="71"/>
  <c r="G35" i="71"/>
  <c r="G34" i="71"/>
  <c r="G28" i="71"/>
  <c r="G25" i="71"/>
  <c r="G19" i="71"/>
  <c r="G18" i="71"/>
  <c r="G15" i="71"/>
  <c r="G14" i="71"/>
  <c r="G13" i="71"/>
  <c r="AL122" i="76"/>
  <c r="AL119" i="76"/>
  <c r="AL114" i="76"/>
  <c r="AE53" i="2"/>
  <c r="AL110" i="76" s="1"/>
  <c r="AE46" i="2"/>
  <c r="AL107" i="76" s="1"/>
  <c r="AE44" i="2"/>
  <c r="AL104" i="76" s="1"/>
  <c r="AE43" i="2"/>
  <c r="AL103" i="76" s="1"/>
  <c r="AD40" i="2"/>
  <c r="N40" i="2"/>
  <c r="N66" i="2" s="1"/>
  <c r="M40" i="2"/>
  <c r="M66" i="2" s="1"/>
  <c r="L40" i="2"/>
  <c r="L66" i="2" s="1"/>
  <c r="I40" i="2"/>
  <c r="I66" i="2" s="1"/>
  <c r="H40" i="2"/>
  <c r="H66" i="2" s="1"/>
  <c r="AE39" i="2"/>
  <c r="AL97" i="76" s="1"/>
  <c r="AL96" i="76"/>
  <c r="AC66" i="2"/>
  <c r="AE32" i="2"/>
  <c r="AL93" i="76" s="1"/>
  <c r="AE30" i="2"/>
  <c r="AL87" i="76"/>
  <c r="AL85" i="76"/>
  <c r="AL70" i="76"/>
  <c r="AL67" i="76"/>
  <c r="AL62" i="76"/>
  <c r="AL59" i="76"/>
  <c r="AL49" i="76"/>
  <c r="AL45" i="76"/>
  <c r="AA28" i="71" l="1"/>
  <c r="AA55" i="71"/>
  <c r="U61" i="71"/>
  <c r="G61" i="71"/>
  <c r="V34" i="1"/>
  <c r="G34" i="1"/>
  <c r="AD27" i="4"/>
  <c r="G41" i="71"/>
  <c r="G23" i="71"/>
  <c r="G32" i="71"/>
  <c r="U41" i="71"/>
  <c r="U23" i="71"/>
  <c r="U32" i="71"/>
  <c r="X49" i="4"/>
  <c r="AD55" i="4"/>
  <c r="AD58" i="4" s="1"/>
  <c r="AD40" i="1"/>
  <c r="AD32" i="1"/>
  <c r="AA25" i="71"/>
  <c r="V42" i="1"/>
  <c r="Y34" i="2"/>
  <c r="AL90" i="76"/>
  <c r="AD36" i="1"/>
  <c r="W101" i="76"/>
  <c r="AI101" i="76" s="1"/>
  <c r="AJ101" i="76" s="1"/>
  <c r="Y56" i="2"/>
  <c r="G56" i="2"/>
  <c r="AD29" i="1"/>
  <c r="AE49" i="2"/>
  <c r="AL108" i="76" s="1"/>
  <c r="AA38" i="71"/>
  <c r="AL149" i="76" s="1"/>
  <c r="AA44" i="71"/>
  <c r="AL155" i="76" s="1"/>
  <c r="V181" i="76"/>
  <c r="AF181" i="76" s="1"/>
  <c r="AG181" i="76" s="1"/>
  <c r="AD47" i="4"/>
  <c r="AA13" i="71"/>
  <c r="AL128" i="76" s="1"/>
  <c r="AA15" i="71"/>
  <c r="V192" i="76"/>
  <c r="AF192" i="76" s="1"/>
  <c r="AG192" i="76" s="1"/>
  <c r="AA53" i="71"/>
  <c r="AA37" i="71"/>
  <c r="AL148" i="76" s="1"/>
  <c r="AA43" i="71"/>
  <c r="AE60" i="2"/>
  <c r="AE62" i="2"/>
  <c r="AL121" i="76" s="1"/>
  <c r="AA17" i="71"/>
  <c r="AL162" i="76"/>
  <c r="AL145" i="76"/>
  <c r="AA14" i="71"/>
  <c r="AA18" i="71"/>
  <c r="AL133" i="76" s="1"/>
  <c r="AD37" i="1"/>
  <c r="V179" i="76"/>
  <c r="AF179" i="76" s="1"/>
  <c r="AG179" i="76" s="1"/>
  <c r="AD29" i="4"/>
  <c r="AD28" i="1"/>
  <c r="AL106" i="76"/>
  <c r="AL77" i="76"/>
  <c r="W62" i="71"/>
  <c r="AA36" i="71"/>
  <c r="AL147" i="76" s="1"/>
  <c r="AL139" i="76"/>
  <c r="AL74" i="76"/>
  <c r="AL57" i="76"/>
  <c r="AL51" i="76"/>
  <c r="AL55" i="76"/>
  <c r="AD66" i="2"/>
  <c r="V55" i="76"/>
  <c r="AF55" i="76" s="1"/>
  <c r="AG55" i="76" s="1"/>
  <c r="X66" i="2"/>
  <c r="AL44" i="76"/>
  <c r="AL56" i="76"/>
  <c r="AD40" i="4"/>
  <c r="AD41" i="4" s="1"/>
  <c r="W118" i="76"/>
  <c r="W124" i="76" s="1"/>
  <c r="AL58" i="76"/>
  <c r="AL61" i="76"/>
  <c r="AL65" i="76"/>
  <c r="AA35" i="71"/>
  <c r="AL146" i="76" s="1"/>
  <c r="AL50" i="76"/>
  <c r="AL132" i="76"/>
  <c r="AL140" i="76"/>
  <c r="AA39" i="71"/>
  <c r="AL151" i="76" s="1"/>
  <c r="AA34" i="71"/>
  <c r="AL52" i="76"/>
  <c r="AL135" i="76"/>
  <c r="V98" i="76"/>
  <c r="V94" i="76"/>
  <c r="AL123" i="76"/>
  <c r="V8" i="76"/>
  <c r="AF8" i="76" s="1"/>
  <c r="AG8" i="76" s="1"/>
  <c r="Y45" i="4"/>
  <c r="V28" i="76"/>
  <c r="AF28" i="76" s="1"/>
  <c r="AG28" i="76" s="1"/>
  <c r="W49" i="76"/>
  <c r="V49" i="76"/>
  <c r="W61" i="76"/>
  <c r="AI61" i="76" s="1"/>
  <c r="AJ61" i="76" s="1"/>
  <c r="V61" i="76"/>
  <c r="AF61" i="76" s="1"/>
  <c r="AG61" i="76" s="1"/>
  <c r="W135" i="76"/>
  <c r="AI135" i="76" s="1"/>
  <c r="AJ135" i="76" s="1"/>
  <c r="V135" i="76"/>
  <c r="AF135" i="76" s="1"/>
  <c r="AG135" i="76" s="1"/>
  <c r="V36" i="71"/>
  <c r="W147" i="76" s="1"/>
  <c r="AI147" i="76" s="1"/>
  <c r="AJ147" i="76" s="1"/>
  <c r="V147" i="76"/>
  <c r="AF147" i="76" s="1"/>
  <c r="AG147" i="76" s="1"/>
  <c r="V162" i="76"/>
  <c r="W174" i="76"/>
  <c r="AI174" i="76" s="1"/>
  <c r="AJ174" i="76" s="1"/>
  <c r="V174" i="76"/>
  <c r="AF174" i="76" s="1"/>
  <c r="AG174" i="76" s="1"/>
  <c r="W186" i="76"/>
  <c r="AI186" i="76" s="1"/>
  <c r="AJ186" i="76" s="1"/>
  <c r="V186" i="76"/>
  <c r="AF186" i="76" s="1"/>
  <c r="AG186" i="76" s="1"/>
  <c r="W40" i="1"/>
  <c r="W200" i="76" s="1"/>
  <c r="AI200" i="76" s="1"/>
  <c r="AJ200" i="76" s="1"/>
  <c r="V200" i="76"/>
  <c r="AF200" i="76" s="1"/>
  <c r="AG200" i="76" s="1"/>
  <c r="W114" i="76"/>
  <c r="W100" i="76"/>
  <c r="Y27" i="4"/>
  <c r="V11" i="76"/>
  <c r="Y46" i="4"/>
  <c r="W29" i="76" s="1"/>
  <c r="AI29" i="76" s="1"/>
  <c r="AJ29" i="76" s="1"/>
  <c r="V29" i="76"/>
  <c r="AF29" i="76" s="1"/>
  <c r="AG29" i="76" s="1"/>
  <c r="W50" i="76"/>
  <c r="AI50" i="76" s="1"/>
  <c r="AJ50" i="76" s="1"/>
  <c r="V50" i="76"/>
  <c r="AF50" i="76" s="1"/>
  <c r="AG50" i="76" s="1"/>
  <c r="V13" i="71"/>
  <c r="V128" i="76"/>
  <c r="V25" i="71"/>
  <c r="V138" i="76"/>
  <c r="V37" i="71"/>
  <c r="W148" i="76" s="1"/>
  <c r="AI148" i="76" s="1"/>
  <c r="AJ148" i="76" s="1"/>
  <c r="V148" i="76"/>
  <c r="AF148" i="76" s="1"/>
  <c r="AG148" i="76" s="1"/>
  <c r="V53" i="71"/>
  <c r="V166" i="76"/>
  <c r="AF166" i="76" s="1"/>
  <c r="AG166" i="76" s="1"/>
  <c r="W32" i="1"/>
  <c r="W201" i="76" s="1"/>
  <c r="AI201" i="76" s="1"/>
  <c r="AJ201" i="76" s="1"/>
  <c r="V201" i="76"/>
  <c r="AF201" i="76" s="1"/>
  <c r="AG201" i="76" s="1"/>
  <c r="W6" i="76"/>
  <c r="AI6" i="76" s="1"/>
  <c r="AJ6" i="76" s="1"/>
  <c r="V6" i="76"/>
  <c r="AF6" i="76" s="1"/>
  <c r="AG6" i="76" s="1"/>
  <c r="Y29" i="4"/>
  <c r="W14" i="76" s="1"/>
  <c r="AI14" i="76" s="1"/>
  <c r="AJ14" i="76" s="1"/>
  <c r="V14" i="76"/>
  <c r="AF14" i="76" s="1"/>
  <c r="AG14" i="76" s="1"/>
  <c r="V30" i="76"/>
  <c r="AF30" i="76" s="1"/>
  <c r="AG30" i="76" s="1"/>
  <c r="W51" i="76"/>
  <c r="AI51" i="76" s="1"/>
  <c r="AJ51" i="76" s="1"/>
  <c r="V51" i="76"/>
  <c r="AF51" i="76" s="1"/>
  <c r="AG51" i="76" s="1"/>
  <c r="W64" i="76"/>
  <c r="AI64" i="76" s="1"/>
  <c r="AJ64" i="76" s="1"/>
  <c r="V64" i="76"/>
  <c r="AF64" i="76" s="1"/>
  <c r="AG64" i="76" s="1"/>
  <c r="V14" i="71"/>
  <c r="W129" i="76" s="1"/>
  <c r="AI129" i="76" s="1"/>
  <c r="AJ129" i="76" s="1"/>
  <c r="V129" i="76"/>
  <c r="AF129" i="76" s="1"/>
  <c r="AG129" i="76" s="1"/>
  <c r="W139" i="76"/>
  <c r="AI139" i="76" s="1"/>
  <c r="AJ139" i="76" s="1"/>
  <c r="V139" i="76"/>
  <c r="AF139" i="76" s="1"/>
  <c r="AG139" i="76" s="1"/>
  <c r="V38" i="71"/>
  <c r="W149" i="76" s="1"/>
  <c r="AI149" i="76" s="1"/>
  <c r="AJ149" i="76" s="1"/>
  <c r="V149" i="76"/>
  <c r="AF149" i="76" s="1"/>
  <c r="AG149" i="76" s="1"/>
  <c r="V55" i="71"/>
  <c r="W168" i="76" s="1"/>
  <c r="AI168" i="76" s="1"/>
  <c r="AJ168" i="76" s="1"/>
  <c r="V168" i="76"/>
  <c r="AF168" i="76" s="1"/>
  <c r="AG168" i="76" s="1"/>
  <c r="W180" i="76"/>
  <c r="AI180" i="76" s="1"/>
  <c r="AJ180" i="76" s="1"/>
  <c r="V180" i="76"/>
  <c r="AF180" i="76" s="1"/>
  <c r="AG180" i="76" s="1"/>
  <c r="W36" i="1"/>
  <c r="W191" i="76" s="1"/>
  <c r="V191" i="76"/>
  <c r="W196" i="76"/>
  <c r="AI196" i="76" s="1"/>
  <c r="AJ196" i="76" s="1"/>
  <c r="V196" i="76"/>
  <c r="AF196" i="76" s="1"/>
  <c r="AG196" i="76" s="1"/>
  <c r="AL150" i="76"/>
  <c r="W21" i="76"/>
  <c r="AI21" i="76" s="1"/>
  <c r="AJ21" i="76" s="1"/>
  <c r="V21" i="76"/>
  <c r="AF21" i="76" s="1"/>
  <c r="AG21" i="76" s="1"/>
  <c r="Y47" i="4"/>
  <c r="W31" i="76" s="1"/>
  <c r="AI31" i="76" s="1"/>
  <c r="AJ31" i="76" s="1"/>
  <c r="V31" i="76"/>
  <c r="AF31" i="76" s="1"/>
  <c r="AG31" i="76" s="1"/>
  <c r="W52" i="76"/>
  <c r="AI52" i="76" s="1"/>
  <c r="AJ52" i="76" s="1"/>
  <c r="V52" i="76"/>
  <c r="AF52" i="76" s="1"/>
  <c r="AG52" i="76" s="1"/>
  <c r="V15" i="71"/>
  <c r="W130" i="76" s="1"/>
  <c r="AI130" i="76" s="1"/>
  <c r="AJ130" i="76" s="1"/>
  <c r="V130" i="76"/>
  <c r="AF130" i="76" s="1"/>
  <c r="AG130" i="76" s="1"/>
  <c r="W140" i="76"/>
  <c r="AI140" i="76" s="1"/>
  <c r="AJ140" i="76" s="1"/>
  <c r="V140" i="76"/>
  <c r="AF140" i="76" s="1"/>
  <c r="AG140" i="76" s="1"/>
  <c r="V39" i="71"/>
  <c r="W151" i="76" s="1"/>
  <c r="AI151" i="76" s="1"/>
  <c r="AJ151" i="76" s="1"/>
  <c r="V151" i="76"/>
  <c r="AF151" i="76" s="1"/>
  <c r="AG151" i="76" s="1"/>
  <c r="W159" i="76"/>
  <c r="AI159" i="76" s="1"/>
  <c r="AJ159" i="76" s="1"/>
  <c r="V159" i="76"/>
  <c r="AF159" i="76" s="1"/>
  <c r="AG159" i="76" s="1"/>
  <c r="AL88" i="76"/>
  <c r="Y40" i="4"/>
  <c r="V22" i="76"/>
  <c r="AF22" i="76" s="1"/>
  <c r="AG22" i="76" s="1"/>
  <c r="W34" i="76"/>
  <c r="V34" i="76"/>
  <c r="V17" i="71"/>
  <c r="V131" i="76"/>
  <c r="AF131" i="76" s="1"/>
  <c r="AG131" i="76" s="1"/>
  <c r="V28" i="71"/>
  <c r="W141" i="76" s="1"/>
  <c r="AI141" i="76" s="1"/>
  <c r="AJ141" i="76" s="1"/>
  <c r="V141" i="76"/>
  <c r="AF141" i="76" s="1"/>
  <c r="AG141" i="76" s="1"/>
  <c r="AF154" i="76"/>
  <c r="AG154" i="76" s="1"/>
  <c r="W182" i="76"/>
  <c r="AI182" i="76" s="1"/>
  <c r="AJ182" i="76" s="1"/>
  <c r="V182" i="76"/>
  <c r="AF182" i="76" s="1"/>
  <c r="AG182" i="76" s="1"/>
  <c r="W37" i="1"/>
  <c r="V193" i="76"/>
  <c r="AF193" i="76" s="1"/>
  <c r="AG193" i="76" s="1"/>
  <c r="Y40" i="2"/>
  <c r="W96" i="76"/>
  <c r="W60" i="76"/>
  <c r="AI60" i="76" s="1"/>
  <c r="AJ60" i="76" s="1"/>
  <c r="V60" i="76"/>
  <c r="AF60" i="76" s="1"/>
  <c r="AG60" i="76" s="1"/>
  <c r="V19" i="71"/>
  <c r="W134" i="76" s="1"/>
  <c r="AI134" i="76" s="1"/>
  <c r="AJ134" i="76" s="1"/>
  <c r="V134" i="76"/>
  <c r="AF134" i="76" s="1"/>
  <c r="AG134" i="76" s="1"/>
  <c r="AA19" i="71"/>
  <c r="V25" i="76"/>
  <c r="AF25" i="76" s="1"/>
  <c r="AG25" i="76" s="1"/>
  <c r="W35" i="76"/>
  <c r="AI35" i="76" s="1"/>
  <c r="AJ35" i="76" s="1"/>
  <c r="V35" i="76"/>
  <c r="AF35" i="76" s="1"/>
  <c r="AG35" i="76" s="1"/>
  <c r="W132" i="76"/>
  <c r="AI132" i="76" s="1"/>
  <c r="AJ132" i="76" s="1"/>
  <c r="V132" i="76"/>
  <c r="AF132" i="76" s="1"/>
  <c r="AG132" i="76" s="1"/>
  <c r="V34" i="71"/>
  <c r="V144" i="76"/>
  <c r="V44" i="71"/>
  <c r="W155" i="76" s="1"/>
  <c r="AI155" i="76" s="1"/>
  <c r="AJ155" i="76" s="1"/>
  <c r="V155" i="76"/>
  <c r="AF155" i="76" s="1"/>
  <c r="AG155" i="76" s="1"/>
  <c r="W183" i="76"/>
  <c r="AI183" i="76" s="1"/>
  <c r="AJ183" i="76" s="1"/>
  <c r="V183" i="76"/>
  <c r="AF183" i="76" s="1"/>
  <c r="AG183" i="76" s="1"/>
  <c r="W27" i="76"/>
  <c r="AI27" i="76" s="1"/>
  <c r="AJ27" i="76" s="1"/>
  <c r="V27" i="76"/>
  <c r="AF27" i="76" s="1"/>
  <c r="AG27" i="76" s="1"/>
  <c r="V35" i="71"/>
  <c r="W146" i="76" s="1"/>
  <c r="AI146" i="76" s="1"/>
  <c r="AJ146" i="76" s="1"/>
  <c r="V146" i="76"/>
  <c r="AF146" i="76" s="1"/>
  <c r="AG146" i="76" s="1"/>
  <c r="W173" i="76"/>
  <c r="V173" i="76"/>
  <c r="W83" i="76"/>
  <c r="AL60" i="76"/>
  <c r="AL159" i="76"/>
  <c r="AF5" i="76"/>
  <c r="AG5" i="76" s="1"/>
  <c r="W26" i="76"/>
  <c r="V26" i="76"/>
  <c r="V38" i="76"/>
  <c r="AF38" i="76" s="1"/>
  <c r="AG38" i="76" s="1"/>
  <c r="W57" i="76"/>
  <c r="AI57" i="76" s="1"/>
  <c r="AJ57" i="76" s="1"/>
  <c r="V57" i="76"/>
  <c r="AF57" i="76" s="1"/>
  <c r="AG57" i="76" s="1"/>
  <c r="V18" i="71"/>
  <c r="W133" i="76" s="1"/>
  <c r="AI133" i="76" s="1"/>
  <c r="AJ133" i="76" s="1"/>
  <c r="V133" i="76"/>
  <c r="AF133" i="76" s="1"/>
  <c r="AG133" i="76" s="1"/>
  <c r="V158" i="76"/>
  <c r="W184" i="76"/>
  <c r="AI184" i="76" s="1"/>
  <c r="AJ184" i="76" s="1"/>
  <c r="V184" i="76"/>
  <c r="AF184" i="76" s="1"/>
  <c r="AG184" i="76" s="1"/>
  <c r="W195" i="76"/>
  <c r="AI195" i="76" s="1"/>
  <c r="AJ195" i="76" s="1"/>
  <c r="V195" i="76"/>
  <c r="AF195" i="76" s="1"/>
  <c r="AG195" i="76" s="1"/>
  <c r="AF118" i="76"/>
  <c r="AG118" i="76" s="1"/>
  <c r="V124" i="76"/>
  <c r="AF100" i="76"/>
  <c r="AG100" i="76" s="1"/>
  <c r="V112" i="76"/>
  <c r="AL105" i="76"/>
  <c r="AL64" i="76"/>
  <c r="K62" i="71"/>
  <c r="Q62" i="71"/>
  <c r="X62" i="71"/>
  <c r="Y62" i="71"/>
  <c r="Z62" i="71"/>
  <c r="J62" i="71"/>
  <c r="I44" i="1"/>
  <c r="J44" i="1"/>
  <c r="R62" i="71"/>
  <c r="L62" i="71"/>
  <c r="K44" i="1"/>
  <c r="S62" i="71"/>
  <c r="M62" i="71"/>
  <c r="W5" i="76"/>
  <c r="Y55" i="4"/>
  <c r="Y58" i="4" s="1"/>
  <c r="W8" i="76"/>
  <c r="AI8" i="76" s="1"/>
  <c r="AJ8" i="76" s="1"/>
  <c r="U45" i="71"/>
  <c r="W70" i="76"/>
  <c r="AI70" i="76" s="1"/>
  <c r="AJ70" i="76" s="1"/>
  <c r="W67" i="76"/>
  <c r="AI67" i="76" s="1"/>
  <c r="AJ67" i="76" s="1"/>
  <c r="W66" i="76"/>
  <c r="AI66" i="76" s="1"/>
  <c r="AJ66" i="76" s="1"/>
  <c r="G45" i="71"/>
  <c r="X44" i="1"/>
  <c r="W28" i="1"/>
  <c r="W29" i="1"/>
  <c r="W194" i="76" s="1"/>
  <c r="AI194" i="76" s="1"/>
  <c r="AJ194" i="76" s="1"/>
  <c r="W187" i="76"/>
  <c r="AI187" i="76" s="1"/>
  <c r="AJ187" i="76" s="1"/>
  <c r="W181" i="76"/>
  <c r="AI181" i="76" s="1"/>
  <c r="AJ181" i="76" s="1"/>
  <c r="W185" i="76"/>
  <c r="AI185" i="76" s="1"/>
  <c r="AJ185" i="76" s="1"/>
  <c r="V43" i="71"/>
  <c r="S44" i="1"/>
  <c r="T44" i="1"/>
  <c r="W56" i="76"/>
  <c r="AI56" i="76" s="1"/>
  <c r="AJ56" i="76" s="1"/>
  <c r="W62" i="76"/>
  <c r="AI62" i="76" s="1"/>
  <c r="AJ62" i="76" s="1"/>
  <c r="W65" i="76"/>
  <c r="AI65" i="76" s="1"/>
  <c r="AJ65" i="76" s="1"/>
  <c r="AA44" i="1"/>
  <c r="R44" i="1"/>
  <c r="AB44" i="1"/>
  <c r="G42" i="1"/>
  <c r="G40" i="2"/>
  <c r="AE40" i="2"/>
  <c r="AA23" i="71" l="1"/>
  <c r="AD34" i="1"/>
  <c r="W34" i="1"/>
  <c r="W22" i="76"/>
  <c r="AI22" i="76" s="1"/>
  <c r="AJ22" i="76" s="1"/>
  <c r="Y41" i="4"/>
  <c r="V61" i="71"/>
  <c r="AA61" i="71"/>
  <c r="AD42" i="1"/>
  <c r="AL144" i="76"/>
  <c r="AA41" i="71"/>
  <c r="W144" i="76"/>
  <c r="W152" i="76" s="1"/>
  <c r="V41" i="71"/>
  <c r="U62" i="71"/>
  <c r="W131" i="76"/>
  <c r="AI131" i="76" s="1"/>
  <c r="AJ131" i="76" s="1"/>
  <c r="V23" i="71"/>
  <c r="AL131" i="76"/>
  <c r="W11" i="76"/>
  <c r="W15" i="76" s="1"/>
  <c r="AA32" i="71"/>
  <c r="W179" i="76"/>
  <c r="AI179" i="76" s="1"/>
  <c r="AJ179" i="76" s="1"/>
  <c r="W166" i="76"/>
  <c r="AI166" i="76" s="1"/>
  <c r="AJ166" i="76" s="1"/>
  <c r="AL168" i="76"/>
  <c r="AD49" i="4"/>
  <c r="W30" i="76"/>
  <c r="AI30" i="76" s="1"/>
  <c r="AJ30" i="76" s="1"/>
  <c r="Y49" i="4"/>
  <c r="AL120" i="76"/>
  <c r="AE65" i="2"/>
  <c r="AL138" i="76"/>
  <c r="W138" i="76"/>
  <c r="W142" i="76" s="1"/>
  <c r="V32" i="71"/>
  <c r="AL141" i="76"/>
  <c r="G62" i="71"/>
  <c r="W28" i="76"/>
  <c r="AI28" i="76" s="1"/>
  <c r="AJ28" i="76" s="1"/>
  <c r="AL101" i="76"/>
  <c r="AE56" i="2"/>
  <c r="AL129" i="76"/>
  <c r="W192" i="76"/>
  <c r="AI192" i="76" s="1"/>
  <c r="AJ192" i="76" s="1"/>
  <c r="W162" i="76"/>
  <c r="W169" i="76" s="1"/>
  <c r="AL166" i="76"/>
  <c r="AL134" i="76"/>
  <c r="W158" i="76"/>
  <c r="AI158" i="76" s="1"/>
  <c r="AJ158" i="76" s="1"/>
  <c r="AL158" i="76"/>
  <c r="W128" i="76"/>
  <c r="AI128" i="76" s="1"/>
  <c r="AJ128" i="76" s="1"/>
  <c r="AL100" i="76"/>
  <c r="AL130" i="76"/>
  <c r="W193" i="76"/>
  <c r="AI193" i="76" s="1"/>
  <c r="AJ193" i="76" s="1"/>
  <c r="W42" i="1"/>
  <c r="AL73" i="76"/>
  <c r="AL43" i="76"/>
  <c r="W55" i="76"/>
  <c r="AI55" i="76" s="1"/>
  <c r="AJ55" i="76" s="1"/>
  <c r="Y66" i="2"/>
  <c r="G66" i="2"/>
  <c r="AA45" i="71"/>
  <c r="AL154" i="76"/>
  <c r="AL66" i="76"/>
  <c r="AI118" i="76"/>
  <c r="AJ118" i="76" s="1"/>
  <c r="AL118" i="76"/>
  <c r="V23" i="76"/>
  <c r="V9" i="76"/>
  <c r="W25" i="76"/>
  <c r="AI25" i="76" s="1"/>
  <c r="AJ25" i="76" s="1"/>
  <c r="V71" i="76"/>
  <c r="V156" i="76"/>
  <c r="V125" i="76"/>
  <c r="AI83" i="76"/>
  <c r="AJ83" i="76" s="1"/>
  <c r="W94" i="76"/>
  <c r="V39" i="76"/>
  <c r="V160" i="76"/>
  <c r="AF158" i="76"/>
  <c r="AG158" i="76" s="1"/>
  <c r="V32" i="76"/>
  <c r="AF26" i="76"/>
  <c r="AI34" i="76"/>
  <c r="AJ34" i="76" s="1"/>
  <c r="AF173" i="76"/>
  <c r="AG173" i="76" s="1"/>
  <c r="V177" i="76"/>
  <c r="AI96" i="76"/>
  <c r="AJ96" i="76" s="1"/>
  <c r="W98" i="76"/>
  <c r="AI5" i="76"/>
  <c r="AJ5" i="76" s="1"/>
  <c r="W9" i="76"/>
  <c r="W43" i="76"/>
  <c r="AI43" i="76" s="1"/>
  <c r="AJ43" i="76" s="1"/>
  <c r="W38" i="76"/>
  <c r="AI38" i="76" s="1"/>
  <c r="AJ38" i="76" s="1"/>
  <c r="AI173" i="76"/>
  <c r="AJ173" i="76" s="1"/>
  <c r="W177" i="76"/>
  <c r="V202" i="76"/>
  <c r="AF191" i="76"/>
  <c r="AG191" i="76" s="1"/>
  <c r="AF138" i="76"/>
  <c r="AG138" i="76" s="1"/>
  <c r="V142" i="76"/>
  <c r="V15" i="76"/>
  <c r="AI100" i="76"/>
  <c r="AJ100" i="76" s="1"/>
  <c r="W112" i="76"/>
  <c r="V45" i="71"/>
  <c r="W154" i="76"/>
  <c r="V152" i="76"/>
  <c r="AF144" i="76"/>
  <c r="AG144" i="76" s="1"/>
  <c r="AI191" i="76"/>
  <c r="AJ191" i="76" s="1"/>
  <c r="V189" i="76"/>
  <c r="AI49" i="76"/>
  <c r="AJ49" i="76" s="1"/>
  <c r="AF128" i="76"/>
  <c r="AG128" i="76" s="1"/>
  <c r="AM128" i="76" s="1"/>
  <c r="V136" i="76"/>
  <c r="W115" i="76"/>
  <c r="AI114" i="76"/>
  <c r="AJ114" i="76" s="1"/>
  <c r="V169" i="76"/>
  <c r="AF162" i="76"/>
  <c r="AG162" i="76" s="1"/>
  <c r="V53" i="76"/>
  <c r="AF49" i="76"/>
  <c r="AG49" i="76" s="1"/>
  <c r="W23" i="76"/>
  <c r="G44" i="1"/>
  <c r="V44" i="1"/>
  <c r="AI144" i="76" l="1"/>
  <c r="AJ144" i="76" s="1"/>
  <c r="AI11" i="76"/>
  <c r="AJ11" i="76" s="1"/>
  <c r="W189" i="76"/>
  <c r="AI138" i="76"/>
  <c r="AJ138" i="76" s="1"/>
  <c r="AD44" i="1"/>
  <c r="AA62" i="71"/>
  <c r="W53" i="76"/>
  <c r="AI162" i="76"/>
  <c r="AJ162" i="76" s="1"/>
  <c r="W136" i="76"/>
  <c r="W160" i="76"/>
  <c r="W202" i="76"/>
  <c r="W203" i="76" s="1"/>
  <c r="W71" i="76"/>
  <c r="W80" i="76" s="1"/>
  <c r="W32" i="76"/>
  <c r="V80" i="76"/>
  <c r="V40" i="76"/>
  <c r="V62" i="71"/>
  <c r="W39" i="76"/>
  <c r="V170" i="76"/>
  <c r="W156" i="76"/>
  <c r="AI154" i="76"/>
  <c r="AJ154" i="76" s="1"/>
  <c r="V203" i="76"/>
  <c r="W125" i="76"/>
  <c r="W44" i="1"/>
  <c r="W170" i="76" l="1"/>
  <c r="W40" i="76"/>
  <c r="C6" i="75"/>
  <c r="AL46" i="78"/>
  <c r="C7" i="75"/>
  <c r="AL47" i="78"/>
  <c r="C4" i="75"/>
  <c r="AL34" i="78"/>
  <c r="AI39" i="76"/>
  <c r="AJ39" i="76" s="1"/>
  <c r="P26" i="76"/>
  <c r="P32" i="76" l="1"/>
  <c r="P40" i="76" s="1"/>
  <c r="AI26" i="76"/>
  <c r="AJ26" i="76" s="1"/>
  <c r="Q26" i="76"/>
  <c r="AC26" i="76" l="1"/>
  <c r="AG26" i="76" s="1"/>
  <c r="Q32" i="76"/>
  <c r="Q40" i="76" s="1"/>
  <c r="AE21" i="61" l="1"/>
  <c r="AD21" i="61"/>
  <c r="AC21" i="61"/>
  <c r="AB21" i="61"/>
  <c r="AA21" i="61"/>
  <c r="Z21" i="61"/>
  <c r="Y21" i="61"/>
  <c r="X21" i="61"/>
  <c r="W21" i="61"/>
  <c r="V21" i="61"/>
  <c r="U21" i="61"/>
  <c r="T21" i="61"/>
  <c r="Q21" i="61"/>
  <c r="P21" i="61"/>
  <c r="O21" i="61"/>
  <c r="N21" i="61"/>
  <c r="M21" i="61"/>
  <c r="L21" i="61"/>
  <c r="K21" i="61"/>
  <c r="J21" i="61"/>
  <c r="I21" i="61"/>
  <c r="G14" i="61"/>
  <c r="R14" i="61" s="1"/>
  <c r="S14" i="61" s="1"/>
  <c r="G13" i="61"/>
  <c r="R13" i="61" s="1"/>
  <c r="R21" i="61" l="1"/>
  <c r="H13" i="61"/>
  <c r="S13" i="61"/>
  <c r="S21" i="61" s="1"/>
  <c r="H14" i="61"/>
  <c r="AF14" i="61" s="1"/>
  <c r="H15" i="60"/>
  <c r="AC15" i="60" s="1"/>
  <c r="H14" i="60"/>
  <c r="AC14" i="60" s="1"/>
  <c r="H13" i="60"/>
  <c r="AC13" i="60" s="1"/>
  <c r="H12" i="60"/>
  <c r="AC12" i="60" s="1"/>
  <c r="H15" i="59"/>
  <c r="H12" i="59"/>
  <c r="H13" i="59"/>
  <c r="H27" i="60" l="1"/>
  <c r="AF13" i="61"/>
  <c r="AF21" i="61" s="1"/>
  <c r="H21" i="61"/>
  <c r="AC27" i="60"/>
  <c r="AC15" i="59"/>
  <c r="AC13" i="59"/>
  <c r="H29" i="59"/>
  <c r="AC12" i="59" l="1"/>
  <c r="AC29" i="59" s="1"/>
  <c r="AB67" i="15" l="1"/>
  <c r="AA67" i="15"/>
  <c r="Z67" i="15"/>
  <c r="Y67" i="15"/>
  <c r="X67" i="15"/>
  <c r="W67" i="15"/>
  <c r="V67" i="15"/>
  <c r="U67" i="15"/>
  <c r="T67" i="15"/>
  <c r="S67" i="15"/>
  <c r="R67" i="15"/>
  <c r="P67" i="15"/>
  <c r="Q65" i="15"/>
  <c r="G65" i="15"/>
  <c r="G15" i="54"/>
  <c r="H15" i="54" s="1"/>
  <c r="G13" i="54"/>
  <c r="H13" i="54" s="1"/>
  <c r="H14" i="56"/>
  <c r="H13" i="56"/>
  <c r="H40" i="43"/>
  <c r="H39" i="43"/>
  <c r="H38" i="43"/>
  <c r="H37" i="43"/>
  <c r="H35" i="43"/>
  <c r="H34" i="43"/>
  <c r="H32" i="43"/>
  <c r="H31" i="43"/>
  <c r="H30" i="43"/>
  <c r="H28" i="43"/>
  <c r="H26" i="43"/>
  <c r="H25" i="43"/>
  <c r="H24" i="43"/>
  <c r="H22" i="43"/>
  <c r="H20" i="43"/>
  <c r="H19" i="43"/>
  <c r="H16" i="43"/>
  <c r="H15" i="43"/>
  <c r="H14" i="43"/>
  <c r="H12" i="43"/>
  <c r="H65" i="15" l="1"/>
  <c r="H15" i="58"/>
  <c r="AC15" i="58" s="1"/>
  <c r="H14" i="58"/>
  <c r="AC14" i="58" s="1"/>
  <c r="H13" i="58"/>
  <c r="AC13" i="58" s="1"/>
  <c r="H12" i="58"/>
  <c r="H16" i="40"/>
  <c r="H15" i="40"/>
  <c r="H14" i="40"/>
  <c r="H13" i="40"/>
  <c r="H12" i="40"/>
  <c r="H16" i="57"/>
  <c r="AC16" i="57" s="1"/>
  <c r="H15" i="57"/>
  <c r="AC15" i="57" s="1"/>
  <c r="H14" i="57"/>
  <c r="AC14" i="57" s="1"/>
  <c r="H13" i="57"/>
  <c r="AC13" i="57" s="1"/>
  <c r="H12" i="57"/>
  <c r="AC12" i="57" s="1"/>
  <c r="I27" i="55"/>
  <c r="H18" i="55"/>
  <c r="AC18" i="55" s="1"/>
  <c r="H17" i="55"/>
  <c r="AC17" i="55" s="1"/>
  <c r="H16" i="55"/>
  <c r="AC16" i="55" s="1"/>
  <c r="H15" i="55"/>
  <c r="AC15" i="55" s="1"/>
  <c r="H14" i="55"/>
  <c r="AC14" i="55" s="1"/>
  <c r="H13" i="55"/>
  <c r="AC13" i="55" s="1"/>
  <c r="H12" i="55"/>
  <c r="AC12" i="55" s="1"/>
  <c r="H28" i="40" l="1"/>
  <c r="AC65" i="15"/>
  <c r="H29" i="58"/>
  <c r="AC12" i="58"/>
  <c r="AC29" i="58" s="1"/>
  <c r="H27" i="55"/>
  <c r="Q39" i="15" l="1"/>
  <c r="G39" i="15"/>
  <c r="AC16" i="43"/>
  <c r="AB63" i="15"/>
  <c r="AA63" i="15"/>
  <c r="Z63" i="15"/>
  <c r="Y63" i="15"/>
  <c r="X63" i="15"/>
  <c r="W63" i="15"/>
  <c r="V63" i="15"/>
  <c r="U63" i="15"/>
  <c r="T63" i="15"/>
  <c r="S63" i="15"/>
  <c r="R63" i="15"/>
  <c r="P63" i="15"/>
  <c r="O63" i="15"/>
  <c r="N63" i="15"/>
  <c r="M63" i="15"/>
  <c r="L63" i="15"/>
  <c r="K63" i="15"/>
  <c r="J63" i="15"/>
  <c r="I63" i="15"/>
  <c r="AB60" i="15"/>
  <c r="AA60" i="15"/>
  <c r="Z60" i="15"/>
  <c r="S60" i="15"/>
  <c r="R60" i="15"/>
  <c r="P60" i="15"/>
  <c r="N60" i="15"/>
  <c r="Q59" i="15"/>
  <c r="Q60" i="15" s="1"/>
  <c r="Q15" i="15"/>
  <c r="G15" i="15"/>
  <c r="H30" i="57"/>
  <c r="H15" i="44"/>
  <c r="AC15" i="44" s="1"/>
  <c r="H14" i="44"/>
  <c r="AC14" i="44" s="1"/>
  <c r="H13" i="44"/>
  <c r="AC13" i="44" s="1"/>
  <c r="H12" i="44"/>
  <c r="AC12" i="44" s="1"/>
  <c r="AB25" i="56"/>
  <c r="P25" i="56"/>
  <c r="Q14" i="56"/>
  <c r="R14" i="56"/>
  <c r="Q13" i="56"/>
  <c r="S13" i="56"/>
  <c r="H13" i="53"/>
  <c r="H12" i="53"/>
  <c r="Q25" i="56" l="1"/>
  <c r="H15" i="15"/>
  <c r="AC15" i="15" s="1"/>
  <c r="H39" i="15"/>
  <c r="AC39" i="15" s="1"/>
  <c r="AC30" i="57"/>
  <c r="S14" i="56"/>
  <c r="S25" i="56" s="1"/>
  <c r="R13" i="56"/>
  <c r="AC14" i="56"/>
  <c r="AC27" i="55"/>
  <c r="G59" i="15"/>
  <c r="H59" i="15" s="1"/>
  <c r="H41" i="42"/>
  <c r="H40" i="42"/>
  <c r="H39" i="42"/>
  <c r="AC39" i="42" s="1"/>
  <c r="H38" i="42"/>
  <c r="AC38" i="42" s="1"/>
  <c r="H36" i="42"/>
  <c r="AC36" i="42" s="1"/>
  <c r="H35" i="42"/>
  <c r="AC35" i="42" s="1"/>
  <c r="H33" i="42"/>
  <c r="AC33" i="42" s="1"/>
  <c r="H31" i="42"/>
  <c r="AC31" i="42" s="1"/>
  <c r="H30" i="42"/>
  <c r="AC30" i="42" s="1"/>
  <c r="H29" i="42"/>
  <c r="AC29" i="42" s="1"/>
  <c r="H27" i="42"/>
  <c r="AC27" i="42" s="1"/>
  <c r="H25" i="42"/>
  <c r="AC25" i="42" s="1"/>
  <c r="H24" i="42"/>
  <c r="AC24" i="42" s="1"/>
  <c r="H23" i="42"/>
  <c r="AC23" i="42" s="1"/>
  <c r="H21" i="42"/>
  <c r="H19" i="42"/>
  <c r="AC19" i="42" s="1"/>
  <c r="H18" i="42"/>
  <c r="H16" i="42"/>
  <c r="AC16" i="42" s="1"/>
  <c r="H15" i="42"/>
  <c r="H14" i="42"/>
  <c r="H12" i="42"/>
  <c r="AC15" i="40"/>
  <c r="AC13" i="40"/>
  <c r="I43" i="42"/>
  <c r="AC14" i="40"/>
  <c r="AC12" i="40"/>
  <c r="AC40" i="43"/>
  <c r="AC39" i="43"/>
  <c r="AC38" i="43"/>
  <c r="AC37" i="43"/>
  <c r="AC35" i="43"/>
  <c r="AC34" i="43"/>
  <c r="P24" i="54"/>
  <c r="Q15" i="54"/>
  <c r="Q13" i="54"/>
  <c r="Y25" i="53"/>
  <c r="X25" i="53"/>
  <c r="W25" i="53"/>
  <c r="V25" i="53"/>
  <c r="U25" i="53"/>
  <c r="T25" i="53"/>
  <c r="S25" i="53"/>
  <c r="R25" i="53"/>
  <c r="K25" i="53"/>
  <c r="J25" i="53"/>
  <c r="I25" i="53"/>
  <c r="H25" i="53"/>
  <c r="X23" i="51"/>
  <c r="W23" i="51"/>
  <c r="V23" i="51"/>
  <c r="U23" i="51"/>
  <c r="T23" i="51"/>
  <c r="S23" i="51"/>
  <c r="M23" i="51"/>
  <c r="L23" i="51"/>
  <c r="K23" i="51"/>
  <c r="J23" i="51"/>
  <c r="AC59" i="15" l="1"/>
  <c r="AC60" i="15" s="1"/>
  <c r="H60" i="15"/>
  <c r="Q24" i="54"/>
  <c r="H25" i="56"/>
  <c r="AC13" i="56"/>
  <c r="R25" i="56"/>
  <c r="AC15" i="54"/>
  <c r="AC16" i="40"/>
  <c r="AC28" i="40" s="1"/>
  <c r="AC41" i="42"/>
  <c r="AC40" i="42"/>
  <c r="AC21" i="42"/>
  <c r="AC18" i="42"/>
  <c r="I60" i="41"/>
  <c r="AC25" i="56" l="1"/>
  <c r="S24" i="54"/>
  <c r="R24" i="54"/>
  <c r="AC13" i="54"/>
  <c r="AC24" i="54" s="1"/>
  <c r="H24" i="54"/>
  <c r="W22" i="41" l="1"/>
  <c r="W72" i="41" s="1"/>
  <c r="V22" i="41"/>
  <c r="V72" i="41" s="1"/>
  <c r="Q22" i="41"/>
  <c r="Q72" i="41" s="1"/>
  <c r="P22" i="41"/>
  <c r="P72" i="41" s="1"/>
  <c r="AC46" i="41"/>
  <c r="G59" i="41"/>
  <c r="H59" i="41" s="1"/>
  <c r="G58" i="41"/>
  <c r="R58" i="41" s="1"/>
  <c r="S58" i="41" s="1"/>
  <c r="G48" i="41"/>
  <c r="P13" i="53"/>
  <c r="Q13" i="53" s="1"/>
  <c r="P12" i="53"/>
  <c r="H14" i="51"/>
  <c r="I14" i="51" s="1"/>
  <c r="H13" i="51"/>
  <c r="I13" i="51" s="1"/>
  <c r="H12" i="51"/>
  <c r="I12" i="51" s="1"/>
  <c r="Q12" i="53" l="1"/>
  <c r="Q25" i="53" s="1"/>
  <c r="P25" i="53"/>
  <c r="Q13" i="51"/>
  <c r="R13" i="51" s="1"/>
  <c r="I23" i="51"/>
  <c r="R48" i="41"/>
  <c r="H48" i="41"/>
  <c r="H58" i="41"/>
  <c r="AF58" i="41" s="1"/>
  <c r="R59" i="41"/>
  <c r="S59" i="41" s="1"/>
  <c r="Q12" i="51"/>
  <c r="Q14" i="51"/>
  <c r="R14" i="51" s="1"/>
  <c r="H36" i="44"/>
  <c r="G27" i="47"/>
  <c r="AA15" i="47"/>
  <c r="AA14" i="47"/>
  <c r="AA13" i="47"/>
  <c r="I27" i="47"/>
  <c r="G74" i="45"/>
  <c r="G67" i="45"/>
  <c r="G63" i="45"/>
  <c r="G58" i="45"/>
  <c r="G54" i="45"/>
  <c r="G47" i="45"/>
  <c r="G43" i="45"/>
  <c r="G39" i="45"/>
  <c r="G33" i="45"/>
  <c r="G26" i="45"/>
  <c r="G16" i="45"/>
  <c r="J47" i="45"/>
  <c r="J76" i="45" s="1"/>
  <c r="I47" i="45"/>
  <c r="I76" i="45" s="1"/>
  <c r="H47" i="45"/>
  <c r="H76" i="45" s="1"/>
  <c r="AB45" i="45"/>
  <c r="G76" i="45" l="1"/>
  <c r="R12" i="51"/>
  <c r="R23" i="51" s="1"/>
  <c r="Q23" i="51"/>
  <c r="AF48" i="41"/>
  <c r="S48" i="41"/>
  <c r="AF13" i="51"/>
  <c r="AF59" i="41"/>
  <c r="AE12" i="53"/>
  <c r="AE13" i="53"/>
  <c r="AF14" i="51"/>
  <c r="AF12" i="51"/>
  <c r="AA27" i="47"/>
  <c r="AE25" i="53" l="1"/>
  <c r="AF23" i="51"/>
  <c r="AB73" i="45"/>
  <c r="AB72" i="45"/>
  <c r="AB69" i="45"/>
  <c r="AB66" i="45"/>
  <c r="AB65" i="45"/>
  <c r="AB62" i="45"/>
  <c r="AB61" i="45"/>
  <c r="AB60" i="45"/>
  <c r="AB57" i="45"/>
  <c r="AB56" i="45"/>
  <c r="AB53" i="45"/>
  <c r="AB52" i="45"/>
  <c r="AB49" i="45"/>
  <c r="AB46" i="45"/>
  <c r="AB47" i="45" s="1"/>
  <c r="AB42" i="45"/>
  <c r="AB41" i="45"/>
  <c r="AB38" i="45"/>
  <c r="AB37" i="45"/>
  <c r="AB36" i="45"/>
  <c r="AB35" i="45"/>
  <c r="AB32" i="45"/>
  <c r="AB31" i="45"/>
  <c r="AB30" i="45"/>
  <c r="AB29" i="45"/>
  <c r="AB28" i="45"/>
  <c r="AB25" i="45"/>
  <c r="AB24" i="45"/>
  <c r="AB21" i="45"/>
  <c r="AB18" i="45"/>
  <c r="AB15" i="45"/>
  <c r="AB14" i="45"/>
  <c r="AB13" i="45"/>
  <c r="AB12" i="45"/>
  <c r="AB39" i="45" l="1"/>
  <c r="AB43" i="45"/>
  <c r="AB54" i="45"/>
  <c r="AB58" i="45"/>
  <c r="AB63" i="45"/>
  <c r="AB74" i="45"/>
  <c r="AB16" i="45"/>
  <c r="AB26" i="45"/>
  <c r="AB33" i="45"/>
  <c r="AB67" i="45"/>
  <c r="AE64" i="41"/>
  <c r="AD64" i="41"/>
  <c r="AC64" i="41"/>
  <c r="AB64" i="41"/>
  <c r="AA64" i="41"/>
  <c r="Z64" i="41"/>
  <c r="Y64" i="41"/>
  <c r="X64" i="41"/>
  <c r="U64" i="41"/>
  <c r="T64" i="41"/>
  <c r="AE60" i="41"/>
  <c r="AD60" i="41"/>
  <c r="AC60" i="41"/>
  <c r="AB60" i="41"/>
  <c r="AA60" i="41"/>
  <c r="Z60" i="41"/>
  <c r="Y60" i="41"/>
  <c r="X60" i="41"/>
  <c r="U60" i="41"/>
  <c r="T60" i="41"/>
  <c r="AE55" i="41"/>
  <c r="AD55" i="41"/>
  <c r="AC55" i="41"/>
  <c r="AB55" i="41"/>
  <c r="AA55" i="41"/>
  <c r="Z55" i="41"/>
  <c r="Y55" i="41"/>
  <c r="X55" i="41"/>
  <c r="U55" i="41"/>
  <c r="T55" i="41"/>
  <c r="AE51" i="41"/>
  <c r="AD51" i="41"/>
  <c r="AC51" i="41"/>
  <c r="AB51" i="41"/>
  <c r="AA51" i="41"/>
  <c r="Z51" i="41"/>
  <c r="Y51" i="41"/>
  <c r="X51" i="41"/>
  <c r="U51" i="41"/>
  <c r="T51" i="41"/>
  <c r="O51" i="41"/>
  <c r="AE46" i="41"/>
  <c r="AD46" i="41"/>
  <c r="AB46" i="41"/>
  <c r="AA46" i="41"/>
  <c r="Z46" i="41"/>
  <c r="Y46" i="41"/>
  <c r="X46" i="41"/>
  <c r="U46" i="41"/>
  <c r="T46" i="41"/>
  <c r="O46" i="41"/>
  <c r="N46" i="41"/>
  <c r="AE43" i="41"/>
  <c r="AD43" i="41"/>
  <c r="AC43" i="41"/>
  <c r="AB43" i="41"/>
  <c r="AA43" i="41"/>
  <c r="Z43" i="41"/>
  <c r="Y43" i="41"/>
  <c r="X43" i="41"/>
  <c r="U43" i="41"/>
  <c r="T43" i="41"/>
  <c r="O43" i="41"/>
  <c r="N43" i="41"/>
  <c r="M43" i="41"/>
  <c r="L43" i="41"/>
  <c r="K43" i="41"/>
  <c r="J43" i="41"/>
  <c r="I43" i="41"/>
  <c r="AE39" i="41"/>
  <c r="AD39" i="41"/>
  <c r="AC39" i="41"/>
  <c r="AB39" i="41"/>
  <c r="AA39" i="41"/>
  <c r="Z39" i="41"/>
  <c r="Y39" i="41"/>
  <c r="X39" i="41"/>
  <c r="U39" i="41"/>
  <c r="T39" i="41"/>
  <c r="O39" i="41"/>
  <c r="N39" i="41"/>
  <c r="M39" i="41"/>
  <c r="L39" i="41"/>
  <c r="K39" i="41"/>
  <c r="J39" i="41"/>
  <c r="I39" i="41"/>
  <c r="AE33" i="41"/>
  <c r="AD33" i="41"/>
  <c r="AC33" i="41"/>
  <c r="AB33" i="41"/>
  <c r="AA33" i="41"/>
  <c r="Z33" i="41"/>
  <c r="Y33" i="41"/>
  <c r="X33" i="41"/>
  <c r="U33" i="41"/>
  <c r="T33" i="41"/>
  <c r="O33" i="41"/>
  <c r="N33" i="41"/>
  <c r="M33" i="41"/>
  <c r="L33" i="41"/>
  <c r="K33" i="41"/>
  <c r="J33" i="41"/>
  <c r="I33" i="41"/>
  <c r="AE26" i="41"/>
  <c r="AD26" i="41"/>
  <c r="AC26" i="41"/>
  <c r="AB26" i="41"/>
  <c r="AA26" i="41"/>
  <c r="Z26" i="41"/>
  <c r="Y26" i="41"/>
  <c r="X26" i="41"/>
  <c r="U26" i="41"/>
  <c r="T26" i="41"/>
  <c r="O26" i="41"/>
  <c r="N26" i="41"/>
  <c r="M26" i="41"/>
  <c r="L26" i="41"/>
  <c r="K26" i="41"/>
  <c r="J26" i="41"/>
  <c r="I26" i="41"/>
  <c r="AE22" i="41"/>
  <c r="AD22" i="41"/>
  <c r="AC22" i="41"/>
  <c r="AB22" i="41"/>
  <c r="AA22" i="41"/>
  <c r="Z22" i="41"/>
  <c r="Y22" i="41"/>
  <c r="X22" i="41"/>
  <c r="U22" i="41"/>
  <c r="T22" i="41"/>
  <c r="O22" i="41"/>
  <c r="N22" i="41"/>
  <c r="M22" i="41"/>
  <c r="L22" i="41"/>
  <c r="K22" i="41"/>
  <c r="J22" i="41"/>
  <c r="I22" i="41"/>
  <c r="AE19" i="41"/>
  <c r="AD19" i="41"/>
  <c r="AC19" i="41"/>
  <c r="AB19" i="41"/>
  <c r="AA19" i="41"/>
  <c r="Z19" i="41"/>
  <c r="Y19" i="41"/>
  <c r="X19" i="41"/>
  <c r="U19" i="41"/>
  <c r="T19" i="41"/>
  <c r="O19" i="41"/>
  <c r="N19" i="41"/>
  <c r="M19" i="41"/>
  <c r="L19" i="41"/>
  <c r="K19" i="41"/>
  <c r="J19" i="41"/>
  <c r="I19" i="41"/>
  <c r="AE16" i="41"/>
  <c r="AD16" i="41"/>
  <c r="AC16" i="41"/>
  <c r="AB16" i="41"/>
  <c r="AA16" i="41"/>
  <c r="Z16" i="41"/>
  <c r="Y16" i="41"/>
  <c r="X16" i="41"/>
  <c r="U16" i="41"/>
  <c r="T16" i="41"/>
  <c r="O16" i="41"/>
  <c r="N16" i="41"/>
  <c r="M16" i="41"/>
  <c r="L16" i="41"/>
  <c r="K16" i="41"/>
  <c r="J16" i="41"/>
  <c r="I16" i="41"/>
  <c r="AE71" i="41"/>
  <c r="AD71" i="41"/>
  <c r="AC71" i="41"/>
  <c r="AB71" i="41"/>
  <c r="AA71" i="41"/>
  <c r="Z71" i="41"/>
  <c r="Y71" i="41"/>
  <c r="X71" i="41"/>
  <c r="U71" i="41"/>
  <c r="T71" i="41"/>
  <c r="O71" i="41"/>
  <c r="N71" i="41"/>
  <c r="M71" i="41"/>
  <c r="L71" i="41"/>
  <c r="K71" i="41"/>
  <c r="J71" i="41"/>
  <c r="I71" i="41"/>
  <c r="O64" i="41"/>
  <c r="N64" i="41"/>
  <c r="M64" i="41"/>
  <c r="L64" i="41"/>
  <c r="K64" i="41"/>
  <c r="J64" i="41"/>
  <c r="I64" i="41"/>
  <c r="G63" i="41"/>
  <c r="O60" i="41"/>
  <c r="M60" i="41"/>
  <c r="L60" i="41"/>
  <c r="K60" i="41"/>
  <c r="J60" i="41"/>
  <c r="G31" i="41"/>
  <c r="O67" i="15"/>
  <c r="N67" i="15"/>
  <c r="M67" i="15"/>
  <c r="L67" i="15"/>
  <c r="K67" i="15"/>
  <c r="J67" i="15"/>
  <c r="I67" i="15"/>
  <c r="Q66" i="15"/>
  <c r="Q67" i="15" s="1"/>
  <c r="G66" i="15"/>
  <c r="H66" i="15" s="1"/>
  <c r="H67" i="15" s="1"/>
  <c r="Q62" i="15"/>
  <c r="Q63" i="15" s="1"/>
  <c r="G62" i="15"/>
  <c r="H62" i="15" s="1"/>
  <c r="H63" i="15" s="1"/>
  <c r="AB57" i="15"/>
  <c r="AA57" i="15"/>
  <c r="Z57" i="15"/>
  <c r="Y57" i="15"/>
  <c r="X57" i="15"/>
  <c r="W57" i="15"/>
  <c r="V57" i="15"/>
  <c r="U57" i="15"/>
  <c r="T57" i="15"/>
  <c r="P57" i="15"/>
  <c r="O57" i="15"/>
  <c r="N57" i="15"/>
  <c r="M57" i="15"/>
  <c r="L57" i="15"/>
  <c r="K57" i="15"/>
  <c r="J57" i="15"/>
  <c r="I57" i="15"/>
  <c r="Q56" i="15"/>
  <c r="G56" i="15"/>
  <c r="H56" i="15" s="1"/>
  <c r="Q55" i="15"/>
  <c r="G55" i="15"/>
  <c r="H55" i="15" s="1"/>
  <c r="AB53" i="15"/>
  <c r="AA53" i="15"/>
  <c r="Z53" i="15"/>
  <c r="Y53" i="15"/>
  <c r="X53" i="15"/>
  <c r="W53" i="15"/>
  <c r="V53" i="15"/>
  <c r="U53" i="15"/>
  <c r="T53" i="15"/>
  <c r="P53" i="15"/>
  <c r="O53" i="15"/>
  <c r="N53" i="15"/>
  <c r="M53" i="15"/>
  <c r="L53" i="15"/>
  <c r="K53" i="15"/>
  <c r="J53" i="15"/>
  <c r="I53" i="15"/>
  <c r="Q52" i="15"/>
  <c r="G52" i="15"/>
  <c r="H52" i="15" s="1"/>
  <c r="Q51" i="15"/>
  <c r="G51" i="15"/>
  <c r="H51" i="15" s="1"/>
  <c r="AB49" i="15"/>
  <c r="Z49" i="15"/>
  <c r="X49" i="15"/>
  <c r="V49" i="15"/>
  <c r="U49" i="15"/>
  <c r="P49" i="15"/>
  <c r="O49" i="15"/>
  <c r="N49" i="15"/>
  <c r="M49" i="15"/>
  <c r="L49" i="15"/>
  <c r="K49" i="15"/>
  <c r="J49" i="15"/>
  <c r="Q48" i="15"/>
  <c r="Q49" i="15" s="1"/>
  <c r="G48" i="15"/>
  <c r="H48" i="15" s="1"/>
  <c r="Q53" i="15" l="1"/>
  <c r="AB76" i="45"/>
  <c r="T72" i="41"/>
  <c r="X72" i="41"/>
  <c r="R63" i="41"/>
  <c r="S63" i="41" s="1"/>
  <c r="H63" i="41"/>
  <c r="U72" i="41"/>
  <c r="AE72" i="41"/>
  <c r="R31" i="41"/>
  <c r="S31" i="41" s="1"/>
  <c r="H31" i="41"/>
  <c r="AC56" i="15"/>
  <c r="AC62" i="15"/>
  <c r="AC63" i="15" s="1"/>
  <c r="Q57" i="15"/>
  <c r="S49" i="15"/>
  <c r="R49" i="15"/>
  <c r="AC66" i="15"/>
  <c r="AC67" i="15" s="1"/>
  <c r="H49" i="15"/>
  <c r="AC55" i="15"/>
  <c r="H57" i="15"/>
  <c r="AF63" i="41" l="1"/>
  <c r="AC48" i="15"/>
  <c r="AC49" i="15" s="1"/>
  <c r="S57" i="15"/>
  <c r="R53" i="15"/>
  <c r="AF31" i="41"/>
  <c r="AC57" i="15"/>
  <c r="R57" i="15"/>
  <c r="S53" i="15"/>
  <c r="AC52" i="15"/>
  <c r="AC51" i="15"/>
  <c r="H53" i="15"/>
  <c r="AC53" i="15" l="1"/>
  <c r="AB74" i="15" l="1"/>
  <c r="AA74" i="15"/>
  <c r="Z74" i="15"/>
  <c r="Y74" i="15"/>
  <c r="X74" i="15"/>
  <c r="W74" i="15"/>
  <c r="V74" i="15"/>
  <c r="U74" i="15"/>
  <c r="T74" i="15"/>
  <c r="P74" i="15"/>
  <c r="O74" i="15"/>
  <c r="N74" i="15"/>
  <c r="M74" i="15"/>
  <c r="L74" i="15"/>
  <c r="K74" i="15"/>
  <c r="J74" i="15"/>
  <c r="I74" i="15"/>
  <c r="Q32" i="15"/>
  <c r="G32" i="15"/>
  <c r="H32" i="15" s="1"/>
  <c r="AB20" i="15"/>
  <c r="AA20" i="15"/>
  <c r="Z20" i="15"/>
  <c r="Y20" i="15"/>
  <c r="X20" i="15"/>
  <c r="W20" i="15"/>
  <c r="V20" i="15"/>
  <c r="U20" i="15"/>
  <c r="T20" i="15"/>
  <c r="P20" i="15"/>
  <c r="O20" i="15"/>
  <c r="N20" i="15"/>
  <c r="M20" i="15"/>
  <c r="L20" i="15"/>
  <c r="K20" i="15"/>
  <c r="J20" i="15"/>
  <c r="I20" i="15"/>
  <c r="AB41" i="15"/>
  <c r="AA41" i="15"/>
  <c r="Z41" i="15"/>
  <c r="Y41" i="15"/>
  <c r="X41" i="15"/>
  <c r="W41" i="15"/>
  <c r="V41" i="15"/>
  <c r="U41" i="15"/>
  <c r="T41" i="15"/>
  <c r="P41" i="15"/>
  <c r="O41" i="15"/>
  <c r="N41" i="15"/>
  <c r="M41" i="15"/>
  <c r="L41" i="15"/>
  <c r="K41" i="15"/>
  <c r="J41" i="15"/>
  <c r="I41" i="15"/>
  <c r="G12" i="41"/>
  <c r="AB34" i="15"/>
  <c r="AA34" i="15"/>
  <c r="Z34" i="15"/>
  <c r="Y34" i="15"/>
  <c r="X34" i="15"/>
  <c r="W34" i="15"/>
  <c r="V34" i="15"/>
  <c r="U34" i="15"/>
  <c r="T34" i="15"/>
  <c r="P34" i="15"/>
  <c r="O34" i="15"/>
  <c r="N34" i="15"/>
  <c r="M34" i="15"/>
  <c r="L34" i="15"/>
  <c r="K34" i="15"/>
  <c r="J34" i="15"/>
  <c r="I34" i="15"/>
  <c r="AB27" i="15"/>
  <c r="AA27" i="15"/>
  <c r="Z27" i="15"/>
  <c r="Y27" i="15"/>
  <c r="X27" i="15"/>
  <c r="W27" i="15"/>
  <c r="V27" i="15"/>
  <c r="U27" i="15"/>
  <c r="T27" i="15"/>
  <c r="P27" i="15"/>
  <c r="O27" i="15"/>
  <c r="N27" i="15"/>
  <c r="M27" i="15"/>
  <c r="L27" i="15"/>
  <c r="K27" i="15"/>
  <c r="J27" i="15"/>
  <c r="I27" i="15"/>
  <c r="AB17" i="15"/>
  <c r="AA17" i="15"/>
  <c r="Z17" i="15"/>
  <c r="Y17" i="15"/>
  <c r="X17" i="15"/>
  <c r="W17" i="15"/>
  <c r="V17" i="15"/>
  <c r="U17" i="15"/>
  <c r="T17" i="15"/>
  <c r="P17" i="15"/>
  <c r="O17" i="15"/>
  <c r="N17" i="15"/>
  <c r="M17" i="15"/>
  <c r="L17" i="15"/>
  <c r="K17" i="15"/>
  <c r="J17" i="15"/>
  <c r="I17" i="15"/>
  <c r="G72" i="15"/>
  <c r="H72" i="15" s="1"/>
  <c r="G69" i="15"/>
  <c r="H69" i="15" s="1"/>
  <c r="G73" i="15"/>
  <c r="H73" i="15" s="1"/>
  <c r="G44" i="15"/>
  <c r="H44" i="15" s="1"/>
  <c r="G43" i="15"/>
  <c r="H43" i="15" s="1"/>
  <c r="G38" i="15"/>
  <c r="H38" i="15" s="1"/>
  <c r="G37" i="15"/>
  <c r="H37" i="15" s="1"/>
  <c r="G36" i="15"/>
  <c r="H36" i="15" s="1"/>
  <c r="G31" i="15"/>
  <c r="H31" i="15" s="1"/>
  <c r="G30" i="15"/>
  <c r="H30" i="15" s="1"/>
  <c r="G29" i="15"/>
  <c r="H29" i="15" s="1"/>
  <c r="G25" i="15"/>
  <c r="H25" i="15" s="1"/>
  <c r="G22" i="15"/>
  <c r="H22" i="15" s="1"/>
  <c r="G40" i="15"/>
  <c r="H40" i="15" s="1"/>
  <c r="G19" i="15"/>
  <c r="H19" i="15" s="1"/>
  <c r="G33" i="15"/>
  <c r="H33" i="15" s="1"/>
  <c r="G26" i="15"/>
  <c r="H26" i="15" s="1"/>
  <c r="G16" i="15"/>
  <c r="H16" i="15" s="1"/>
  <c r="G14" i="15"/>
  <c r="H14" i="15" s="1"/>
  <c r="G13" i="15"/>
  <c r="H13" i="15" s="1"/>
  <c r="G12" i="15"/>
  <c r="H12" i="15" s="1"/>
  <c r="AC32" i="43"/>
  <c r="AC31" i="43"/>
  <c r="AC30" i="43"/>
  <c r="AC28" i="43"/>
  <c r="AC26" i="43"/>
  <c r="AC25" i="43"/>
  <c r="AC24" i="43"/>
  <c r="AC22" i="43"/>
  <c r="AC20" i="43"/>
  <c r="AC19" i="43"/>
  <c r="AC15" i="43"/>
  <c r="AC14" i="43"/>
  <c r="R12" i="41" l="1"/>
  <c r="H12" i="41"/>
  <c r="AC12" i="43"/>
  <c r="AC36" i="44"/>
  <c r="H41" i="43" l="1"/>
  <c r="AC41" i="43"/>
  <c r="AC32" i="15"/>
  <c r="R74" i="15"/>
  <c r="S74" i="15"/>
  <c r="AC15" i="42"/>
  <c r="AC14" i="42" l="1"/>
  <c r="H43" i="42"/>
  <c r="AC12" i="42"/>
  <c r="AC43" i="42" l="1"/>
  <c r="G69" i="41"/>
  <c r="G66" i="41"/>
  <c r="G70" i="41"/>
  <c r="G62" i="41"/>
  <c r="G54" i="41"/>
  <c r="G53" i="41"/>
  <c r="G50" i="41"/>
  <c r="G49" i="41"/>
  <c r="G45" i="41"/>
  <c r="G57" i="41"/>
  <c r="H57" i="41" s="1"/>
  <c r="H60" i="41" s="1"/>
  <c r="G42" i="41"/>
  <c r="G41" i="41"/>
  <c r="G37" i="41"/>
  <c r="G36" i="41"/>
  <c r="G35" i="41"/>
  <c r="G30" i="41"/>
  <c r="G29" i="41"/>
  <c r="G28" i="41"/>
  <c r="G24" i="41"/>
  <c r="G21" i="41"/>
  <c r="G38" i="41"/>
  <c r="G18" i="41"/>
  <c r="G32" i="41"/>
  <c r="G25" i="41"/>
  <c r="G15" i="41"/>
  <c r="G14" i="41"/>
  <c r="G13" i="41"/>
  <c r="R50" i="41" l="1"/>
  <c r="H50" i="41"/>
  <c r="R54" i="41"/>
  <c r="H54" i="41"/>
  <c r="R70" i="41"/>
  <c r="H70" i="41"/>
  <c r="R69" i="41"/>
  <c r="H69" i="41"/>
  <c r="R49" i="41"/>
  <c r="R51" i="41" s="1"/>
  <c r="H49" i="41"/>
  <c r="H51" i="41" s="1"/>
  <c r="R53" i="41"/>
  <c r="R55" i="41" s="1"/>
  <c r="H53" i="41"/>
  <c r="R62" i="41"/>
  <c r="R64" i="41" s="1"/>
  <c r="H62" i="41"/>
  <c r="R66" i="41"/>
  <c r="H66" i="41"/>
  <c r="R13" i="41"/>
  <c r="H13" i="41"/>
  <c r="R32" i="41"/>
  <c r="H32" i="41"/>
  <c r="R38" i="41"/>
  <c r="H38" i="41"/>
  <c r="R24" i="41"/>
  <c r="H24" i="41"/>
  <c r="R29" i="41"/>
  <c r="H29" i="41"/>
  <c r="R35" i="41"/>
  <c r="H35" i="41"/>
  <c r="R37" i="41"/>
  <c r="H37" i="41"/>
  <c r="R42" i="41"/>
  <c r="H42" i="41"/>
  <c r="R45" i="41"/>
  <c r="R46" i="41" s="1"/>
  <c r="H45" i="41"/>
  <c r="R15" i="41"/>
  <c r="H15" i="41"/>
  <c r="R14" i="41"/>
  <c r="H14" i="41"/>
  <c r="R25" i="41"/>
  <c r="H25" i="41"/>
  <c r="R18" i="41"/>
  <c r="R19" i="41" s="1"/>
  <c r="H18" i="41"/>
  <c r="R21" i="41"/>
  <c r="R22" i="41" s="1"/>
  <c r="H21" i="41"/>
  <c r="H28" i="41"/>
  <c r="R30" i="41"/>
  <c r="H30" i="41"/>
  <c r="R36" i="41"/>
  <c r="H36" i="41"/>
  <c r="R41" i="41"/>
  <c r="H41" i="41"/>
  <c r="R57" i="41"/>
  <c r="R60" i="41" s="1"/>
  <c r="N60" i="41"/>
  <c r="R26" i="41" l="1"/>
  <c r="R71" i="41"/>
  <c r="R16" i="41"/>
  <c r="R43" i="41"/>
  <c r="R39" i="41"/>
  <c r="AF62" i="41"/>
  <c r="AF21" i="41"/>
  <c r="AF57" i="41"/>
  <c r="AF60" i="41" s="1"/>
  <c r="R33" i="41"/>
  <c r="H27" i="15"/>
  <c r="H64" i="41" l="1"/>
  <c r="H19" i="41"/>
  <c r="H74" i="15"/>
  <c r="H20" i="15"/>
  <c r="H71" i="41" l="1"/>
  <c r="H33" i="41" l="1"/>
  <c r="H26" i="41"/>
  <c r="S30" i="41" l="1"/>
  <c r="H16" i="41" l="1"/>
  <c r="Q73" i="15"/>
  <c r="H41" i="15" l="1"/>
  <c r="H34" i="15"/>
  <c r="AC73" i="15"/>
  <c r="H17" i="15" l="1"/>
  <c r="H39" i="41" l="1"/>
  <c r="S37" i="41"/>
  <c r="AF37" i="41"/>
  <c r="Q38" i="15" l="1"/>
  <c r="AC33" i="15"/>
  <c r="Q33" i="15"/>
  <c r="N51" i="41"/>
  <c r="M51" i="41"/>
  <c r="L51" i="41"/>
  <c r="K51" i="41"/>
  <c r="J51" i="41"/>
  <c r="I51" i="41"/>
  <c r="S50" i="41"/>
  <c r="S32" i="41"/>
  <c r="S33" i="41" s="1"/>
  <c r="S25" i="41"/>
  <c r="S24" i="41" l="1"/>
  <c r="S26" i="41" s="1"/>
  <c r="S21" i="41"/>
  <c r="S22" i="41" s="1"/>
  <c r="AC38" i="15"/>
  <c r="AF32" i="41"/>
  <c r="AF25" i="41"/>
  <c r="AF24" i="41"/>
  <c r="AF22" i="41"/>
  <c r="AF50" i="41"/>
  <c r="H22" i="41"/>
  <c r="H23" i="15"/>
  <c r="Q25" i="15"/>
  <c r="I23" i="15"/>
  <c r="J23" i="15"/>
  <c r="K23" i="15"/>
  <c r="L23" i="15"/>
  <c r="M23" i="15"/>
  <c r="N23" i="15"/>
  <c r="O23" i="15"/>
  <c r="T23" i="15"/>
  <c r="U23" i="15"/>
  <c r="V23" i="15"/>
  <c r="W23" i="15"/>
  <c r="X23" i="15"/>
  <c r="Y23" i="15"/>
  <c r="Z23" i="15"/>
  <c r="AA23" i="15"/>
  <c r="AB23" i="15"/>
  <c r="P23" i="15"/>
  <c r="S23" i="15"/>
  <c r="R23" i="15"/>
  <c r="Q22" i="15"/>
  <c r="Q23" i="15" s="1"/>
  <c r="Q26" i="15"/>
  <c r="AF26" i="41" l="1"/>
  <c r="Q27" i="15"/>
  <c r="R27" i="15"/>
  <c r="S27" i="15"/>
  <c r="S35" i="41"/>
  <c r="AC26" i="15"/>
  <c r="AC22" i="15"/>
  <c r="AC23" i="15" s="1"/>
  <c r="AC25" i="15"/>
  <c r="AF35" i="41"/>
  <c r="Q72" i="15"/>
  <c r="Q74" i="15" s="1"/>
  <c r="AC27" i="15" l="1"/>
  <c r="AC37" i="15"/>
  <c r="Q37" i="15"/>
  <c r="Q36" i="15"/>
  <c r="AC36" i="15" l="1"/>
  <c r="S69" i="41"/>
  <c r="AC30" i="15" l="1"/>
  <c r="Q29" i="15"/>
  <c r="Q34" i="15" s="1"/>
  <c r="R34" i="15" l="1"/>
  <c r="S34" i="15"/>
  <c r="AC29" i="15"/>
  <c r="AF29" i="41"/>
  <c r="AF28" i="41"/>
  <c r="H55" i="41" l="1"/>
  <c r="H43" i="41"/>
  <c r="AF64" i="41"/>
  <c r="S62" i="41" l="1"/>
  <c r="S64" i="41" s="1"/>
  <c r="S70" i="41"/>
  <c r="S71" i="41" s="1"/>
  <c r="H45" i="15" l="1"/>
  <c r="AB70" i="15" l="1"/>
  <c r="AA70" i="15"/>
  <c r="Z70" i="15"/>
  <c r="Y70" i="15"/>
  <c r="X70" i="15"/>
  <c r="W70" i="15"/>
  <c r="V70" i="15"/>
  <c r="U70" i="15"/>
  <c r="T70" i="15"/>
  <c r="P70" i="15"/>
  <c r="O70" i="15"/>
  <c r="N70" i="15"/>
  <c r="M70" i="15"/>
  <c r="L70" i="15"/>
  <c r="K70" i="15"/>
  <c r="J70" i="15"/>
  <c r="I70" i="15"/>
  <c r="Q69" i="15"/>
  <c r="R70" i="15" l="1"/>
  <c r="H70" i="15"/>
  <c r="H75" i="15" s="1"/>
  <c r="S70" i="15"/>
  <c r="AC72" i="15"/>
  <c r="AC74" i="15" s="1"/>
  <c r="AC69" i="15"/>
  <c r="AC70" i="15" s="1"/>
  <c r="AB45" i="15"/>
  <c r="AB75" i="15" s="1"/>
  <c r="AA45" i="15"/>
  <c r="AA75" i="15" s="1"/>
  <c r="Z45" i="15"/>
  <c r="Z75" i="15" s="1"/>
  <c r="Y45" i="15"/>
  <c r="Y75" i="15" s="1"/>
  <c r="X45" i="15"/>
  <c r="X75" i="15" s="1"/>
  <c r="W45" i="15"/>
  <c r="W75" i="15" s="1"/>
  <c r="V45" i="15"/>
  <c r="V75" i="15" s="1"/>
  <c r="U45" i="15"/>
  <c r="U75" i="15" s="1"/>
  <c r="T45" i="15"/>
  <c r="T75" i="15" s="1"/>
  <c r="P45" i="15"/>
  <c r="P75" i="15" s="1"/>
  <c r="O45" i="15"/>
  <c r="O75" i="15" s="1"/>
  <c r="N45" i="15"/>
  <c r="N75" i="15" s="1"/>
  <c r="M45" i="15"/>
  <c r="M75" i="15" s="1"/>
  <c r="L45" i="15"/>
  <c r="L75" i="15" s="1"/>
  <c r="K45" i="15"/>
  <c r="K75" i="15" s="1"/>
  <c r="J45" i="15"/>
  <c r="J75" i="15" s="1"/>
  <c r="I45" i="15"/>
  <c r="I75" i="15" s="1"/>
  <c r="Q44" i="15"/>
  <c r="AC43" i="15"/>
  <c r="Q43" i="15"/>
  <c r="Q70" i="15" l="1"/>
  <c r="AC31" i="15"/>
  <c r="AC34" i="15" s="1"/>
  <c r="Q45" i="15"/>
  <c r="S45" i="15"/>
  <c r="AC44" i="15"/>
  <c r="AC45" i="15" s="1"/>
  <c r="R45" i="15"/>
  <c r="S41" i="15"/>
  <c r="R41" i="15"/>
  <c r="Q40" i="15"/>
  <c r="Q41" i="15" s="1"/>
  <c r="S20" i="15"/>
  <c r="R20" i="15"/>
  <c r="Q19" i="15"/>
  <c r="Q20" i="15" s="1"/>
  <c r="AC40" i="15" l="1"/>
  <c r="AC41" i="15" s="1"/>
  <c r="AC19" i="15"/>
  <c r="AC20" i="15" s="1"/>
  <c r="Q16" i="15" l="1"/>
  <c r="Q14" i="15"/>
  <c r="Q13" i="15"/>
  <c r="Q12" i="15"/>
  <c r="AD67" i="41"/>
  <c r="AD72" i="41" s="1"/>
  <c r="AC67" i="41"/>
  <c r="AC72" i="41" s="1"/>
  <c r="AB67" i="41"/>
  <c r="AB72" i="41" s="1"/>
  <c r="AA67" i="41"/>
  <c r="AA72" i="41" s="1"/>
  <c r="Z67" i="41"/>
  <c r="Z72" i="41" s="1"/>
  <c r="Y67" i="41"/>
  <c r="Y72" i="41" s="1"/>
  <c r="O67" i="41"/>
  <c r="N67" i="41"/>
  <c r="L67" i="41"/>
  <c r="K67" i="41"/>
  <c r="J67" i="41"/>
  <c r="I67" i="41"/>
  <c r="H67" i="41"/>
  <c r="AF70" i="41"/>
  <c r="O55" i="41"/>
  <c r="N55" i="41"/>
  <c r="M55" i="41"/>
  <c r="L55" i="41"/>
  <c r="K55" i="41"/>
  <c r="J55" i="41"/>
  <c r="I55" i="41"/>
  <c r="M46" i="41"/>
  <c r="L46" i="41"/>
  <c r="K46" i="41"/>
  <c r="J46" i="41"/>
  <c r="I46" i="41"/>
  <c r="H46" i="41"/>
  <c r="H72" i="41" l="1"/>
  <c r="M72" i="41"/>
  <c r="J72" i="41"/>
  <c r="L72" i="41"/>
  <c r="O72" i="41"/>
  <c r="I72" i="41"/>
  <c r="K72" i="41"/>
  <c r="N72" i="41"/>
  <c r="S17" i="15"/>
  <c r="S75" i="15" s="1"/>
  <c r="Q17" i="15"/>
  <c r="Q75" i="15" s="1"/>
  <c r="R17" i="15"/>
  <c r="R75" i="15" s="1"/>
  <c r="AC12" i="15"/>
  <c r="S53" i="41"/>
  <c r="AF45" i="41"/>
  <c r="AF46" i="41" s="1"/>
  <c r="AF49" i="41"/>
  <c r="AF51" i="41" s="1"/>
  <c r="AF42" i="41"/>
  <c r="AF53" i="41"/>
  <c r="AF36" i="41"/>
  <c r="AF30" i="41"/>
  <c r="AF33" i="41" s="1"/>
  <c r="R67" i="41"/>
  <c r="R72" i="41" s="1"/>
  <c r="S57" i="41"/>
  <c r="S60" i="41" s="1"/>
  <c r="AF54" i="41"/>
  <c r="S36" i="41"/>
  <c r="AC14" i="15"/>
  <c r="AC13" i="15"/>
  <c r="S54" i="41"/>
  <c r="S42" i="41"/>
  <c r="AC16" i="15"/>
  <c r="S45" i="41"/>
  <c r="S46" i="41" s="1"/>
  <c r="AF66" i="41"/>
  <c r="AF69" i="41"/>
  <c r="AF71" i="41" s="1"/>
  <c r="S66" i="41"/>
  <c r="S49" i="41"/>
  <c r="S51" i="41" s="1"/>
  <c r="AF41" i="41"/>
  <c r="AF43" i="41" l="1"/>
  <c r="AF55" i="41"/>
  <c r="S55" i="41"/>
  <c r="AC17" i="15"/>
  <c r="AC75" i="15" s="1"/>
  <c r="AF14" i="41"/>
  <c r="S67" i="41"/>
  <c r="AF13" i="41"/>
  <c r="AF38" i="41"/>
  <c r="AF39" i="41" s="1"/>
  <c r="AF18" i="41"/>
  <c r="AF19" i="41" s="1"/>
  <c r="AF15" i="41"/>
  <c r="S15" i="41"/>
  <c r="S18" i="41"/>
  <c r="S19" i="41" s="1"/>
  <c r="S13" i="41"/>
  <c r="AF67" i="41"/>
  <c r="S14" i="41"/>
  <c r="S38" i="41"/>
  <c r="S39" i="41" s="1"/>
  <c r="S41" i="41"/>
  <c r="S43" i="41" s="1"/>
  <c r="AF12" i="41" l="1"/>
  <c r="AF16" i="41" s="1"/>
  <c r="AF72" i="41" s="1"/>
  <c r="S12" i="41"/>
  <c r="S16" i="41" s="1"/>
  <c r="S72" i="41" s="1"/>
  <c r="AL111" i="76" l="1"/>
  <c r="AE18" i="2" l="1"/>
  <c r="AL91" i="76"/>
  <c r="AD45" i="85"/>
  <c r="AL92" i="76"/>
  <c r="AL86" i="76"/>
  <c r="AL89" i="76"/>
  <c r="AE34" i="2" l="1"/>
  <c r="AE66" i="2" s="1"/>
  <c r="AB34" i="76"/>
  <c r="AF34" i="76" s="1"/>
  <c r="AG34" i="76" s="1"/>
  <c r="AB83" i="76"/>
  <c r="S53" i="85"/>
  <c r="S55" i="85" s="1"/>
  <c r="AD47" i="85"/>
  <c r="AD53" i="85" s="1"/>
  <c r="AB11" i="76"/>
  <c r="AB39" i="76" l="1"/>
  <c r="AC34" i="76"/>
  <c r="AC39" i="76" s="1"/>
  <c r="AF39" i="76" s="1"/>
  <c r="AG39" i="76" s="1"/>
  <c r="AC83" i="76"/>
  <c r="AC94" i="76" s="1"/>
  <c r="AC125" i="76" s="1"/>
  <c r="AF83" i="76"/>
  <c r="AG83" i="76" s="1"/>
  <c r="AB15" i="76"/>
  <c r="AC11" i="76"/>
  <c r="AC15" i="76" s="1"/>
  <c r="AF11" i="76"/>
  <c r="AG11" i="76" s="1"/>
  <c r="AB84" i="76"/>
  <c r="AL83" i="76"/>
  <c r="AB40" i="76" l="1"/>
  <c r="AL84" i="76"/>
  <c r="AC40" i="76"/>
  <c r="AB94" i="76"/>
  <c r="AB125" i="76" s="1"/>
  <c r="AC84" i="76"/>
  <c r="AF84" i="76"/>
  <c r="AG84" i="76" s="1"/>
  <c r="C5" i="75" l="1"/>
  <c r="AL45" i="78"/>
  <c r="X28" i="4"/>
  <c r="X31" i="4" s="1"/>
  <c r="X15" i="4"/>
  <c r="X19" i="4" s="1"/>
  <c r="X59" i="4" l="1"/>
  <c r="AD28" i="4"/>
  <c r="AD31" i="4" s="1"/>
  <c r="Y15" i="4"/>
  <c r="Y19" i="4" s="1"/>
  <c r="Y28" i="4"/>
  <c r="Y31" i="4" s="1"/>
  <c r="V13" i="76"/>
  <c r="AF13" i="76" s="1"/>
  <c r="AG13" i="76" s="1"/>
  <c r="AD15" i="4"/>
  <c r="AD19" i="4" s="1"/>
  <c r="AD59" i="4" l="1"/>
  <c r="Y59" i="4"/>
  <c r="W13" i="76"/>
  <c r="AI13" i="76" s="1"/>
  <c r="AJ13" i="76" s="1"/>
  <c r="AD18" i="85" l="1"/>
  <c r="AD26" i="85" s="1"/>
  <c r="AD55" i="85" s="1"/>
  <c r="AA26" i="85"/>
  <c r="AA55" i="85" s="1"/>
  <c r="C3" i="75" l="1"/>
  <c r="C8" i="75" s="1"/>
  <c r="AL35" i="78"/>
  <c r="AL49" i="7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F12" authorId="0" shapeId="0" xr:uid="{00000000-0006-0000-0A00-000001000000}">
      <text>
        <r>
          <rPr>
            <b/>
            <sz val="9"/>
            <color indexed="81"/>
            <rFont val="Tahoma"/>
            <family val="2"/>
          </rPr>
          <t>acer:</t>
        </r>
        <r>
          <rPr>
            <sz val="9"/>
            <color indexed="81"/>
            <rFont val="Tahoma"/>
            <family val="2"/>
          </rPr>
          <t xml:space="preserve">
ok - updated</t>
        </r>
      </text>
    </comment>
    <comment ref="Q12" authorId="0" shapeId="0" xr:uid="{00000000-0006-0000-0A00-000002000000}">
      <text>
        <r>
          <rPr>
            <b/>
            <sz val="9"/>
            <color indexed="81"/>
            <rFont val="Tahoma"/>
            <family val="2"/>
          </rPr>
          <t>acer:</t>
        </r>
        <r>
          <rPr>
            <sz val="9"/>
            <color indexed="81"/>
            <rFont val="Tahoma"/>
            <family val="2"/>
          </rPr>
          <t xml:space="preserve">
with formula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G12" authorId="0" shapeId="0" xr:uid="{00000000-0006-0000-1000-000001000000}">
      <text>
        <r>
          <rPr>
            <b/>
            <sz val="9"/>
            <color indexed="81"/>
            <rFont val="Tahoma"/>
            <family val="2"/>
          </rPr>
          <t>acer:</t>
        </r>
        <r>
          <rPr>
            <sz val="9"/>
            <color indexed="81"/>
            <rFont val="Tahoma"/>
            <family val="2"/>
          </rPr>
          <t xml:space="preserve">
ok - updated</t>
        </r>
      </text>
    </comment>
    <comment ref="R12" authorId="0" shapeId="0" xr:uid="{00000000-0006-0000-1000-000002000000}">
      <text>
        <r>
          <rPr>
            <b/>
            <sz val="9"/>
            <color indexed="81"/>
            <rFont val="Tahoma"/>
            <family val="2"/>
          </rPr>
          <t>acer:</t>
        </r>
        <r>
          <rPr>
            <sz val="9"/>
            <color indexed="81"/>
            <rFont val="Tahoma"/>
            <family val="2"/>
          </rPr>
          <t xml:space="preserve">
with formula
</t>
        </r>
      </text>
    </comment>
    <comment ref="R13" authorId="0" shapeId="0" xr:uid="{00000000-0006-0000-1000-000003000000}">
      <text>
        <r>
          <rPr>
            <b/>
            <sz val="9"/>
            <color indexed="81"/>
            <rFont val="Tahoma"/>
            <family val="2"/>
          </rPr>
          <t>acer:</t>
        </r>
        <r>
          <rPr>
            <sz val="9"/>
            <color indexed="81"/>
            <rFont val="Tahoma"/>
            <family val="2"/>
          </rPr>
          <t xml:space="preserve">
with formula
</t>
        </r>
      </text>
    </comment>
    <comment ref="R14" authorId="0" shapeId="0" xr:uid="{00000000-0006-0000-1000-000004000000}">
      <text>
        <r>
          <rPr>
            <b/>
            <sz val="9"/>
            <color indexed="81"/>
            <rFont val="Tahoma"/>
            <family val="2"/>
          </rPr>
          <t>acer:</t>
        </r>
        <r>
          <rPr>
            <sz val="9"/>
            <color indexed="81"/>
            <rFont val="Tahoma"/>
            <family val="2"/>
          </rPr>
          <t xml:space="preserve">
with formula
</t>
        </r>
      </text>
    </comment>
    <comment ref="R15" authorId="0" shapeId="0" xr:uid="{00000000-0006-0000-1000-000005000000}">
      <text>
        <r>
          <rPr>
            <b/>
            <sz val="9"/>
            <color indexed="81"/>
            <rFont val="Tahoma"/>
            <family val="2"/>
          </rPr>
          <t>acer:</t>
        </r>
        <r>
          <rPr>
            <sz val="9"/>
            <color indexed="81"/>
            <rFont val="Tahoma"/>
            <family val="2"/>
          </rPr>
          <t xml:space="preserve">
with formula
</t>
        </r>
      </text>
    </comment>
    <comment ref="R16" authorId="0" shapeId="0" xr:uid="{00000000-0006-0000-1000-000006000000}">
      <text>
        <r>
          <rPr>
            <b/>
            <sz val="9"/>
            <color indexed="81"/>
            <rFont val="Tahoma"/>
            <family val="2"/>
          </rPr>
          <t>acer:</t>
        </r>
        <r>
          <rPr>
            <sz val="9"/>
            <color indexed="81"/>
            <rFont val="Tahoma"/>
            <family val="2"/>
          </rPr>
          <t xml:space="preserve">
with formula
</t>
        </r>
      </text>
    </comment>
    <comment ref="R19" authorId="0" shapeId="0" xr:uid="{00000000-0006-0000-1000-000007000000}">
      <text>
        <r>
          <rPr>
            <b/>
            <sz val="9"/>
            <color indexed="81"/>
            <rFont val="Tahoma"/>
            <family val="2"/>
          </rPr>
          <t>acer:</t>
        </r>
        <r>
          <rPr>
            <sz val="9"/>
            <color indexed="81"/>
            <rFont val="Tahoma"/>
            <family val="2"/>
          </rPr>
          <t xml:space="preserve">
with formula
</t>
        </r>
      </text>
    </comment>
    <comment ref="R22" authorId="0" shapeId="0" xr:uid="{00000000-0006-0000-1000-000008000000}">
      <text>
        <r>
          <rPr>
            <b/>
            <sz val="9"/>
            <color indexed="81"/>
            <rFont val="Tahoma"/>
            <family val="2"/>
          </rPr>
          <t>acer:</t>
        </r>
        <r>
          <rPr>
            <sz val="9"/>
            <color indexed="81"/>
            <rFont val="Tahoma"/>
            <family val="2"/>
          </rPr>
          <t xml:space="preserve">
with formula
</t>
        </r>
      </text>
    </comment>
    <comment ref="R25" authorId="0" shapeId="0" xr:uid="{00000000-0006-0000-1000-000009000000}">
      <text>
        <r>
          <rPr>
            <b/>
            <sz val="9"/>
            <color indexed="81"/>
            <rFont val="Tahoma"/>
            <family val="2"/>
          </rPr>
          <t>acer:</t>
        </r>
        <r>
          <rPr>
            <sz val="9"/>
            <color indexed="81"/>
            <rFont val="Tahoma"/>
            <family val="2"/>
          </rPr>
          <t xml:space="preserve">
with formula
</t>
        </r>
      </text>
    </comment>
    <comment ref="R26" authorId="0" shapeId="0" xr:uid="{00000000-0006-0000-1000-00000A000000}">
      <text>
        <r>
          <rPr>
            <b/>
            <sz val="9"/>
            <color indexed="81"/>
            <rFont val="Tahoma"/>
            <family val="2"/>
          </rPr>
          <t>acer:</t>
        </r>
        <r>
          <rPr>
            <sz val="9"/>
            <color indexed="81"/>
            <rFont val="Tahoma"/>
            <family val="2"/>
          </rPr>
          <t xml:space="preserve">
with formula
</t>
        </r>
      </text>
    </comment>
    <comment ref="R29" authorId="0" shapeId="0" xr:uid="{00000000-0006-0000-1000-00000B000000}">
      <text>
        <r>
          <rPr>
            <b/>
            <sz val="9"/>
            <color indexed="81"/>
            <rFont val="Tahoma"/>
            <family val="2"/>
          </rPr>
          <t>acer:</t>
        </r>
        <r>
          <rPr>
            <sz val="9"/>
            <color indexed="81"/>
            <rFont val="Tahoma"/>
            <family val="2"/>
          </rPr>
          <t xml:space="preserve">
with formula
</t>
        </r>
      </text>
    </comment>
    <comment ref="R30" authorId="0" shapeId="0" xr:uid="{00000000-0006-0000-1000-00000C000000}">
      <text>
        <r>
          <rPr>
            <b/>
            <sz val="9"/>
            <color indexed="81"/>
            <rFont val="Tahoma"/>
            <family val="2"/>
          </rPr>
          <t>acer:</t>
        </r>
        <r>
          <rPr>
            <sz val="9"/>
            <color indexed="81"/>
            <rFont val="Tahoma"/>
            <family val="2"/>
          </rPr>
          <t xml:space="preserve">
with formula
</t>
        </r>
      </text>
    </comment>
    <comment ref="R31" authorId="0" shapeId="0" xr:uid="{00000000-0006-0000-1000-00000D000000}">
      <text>
        <r>
          <rPr>
            <b/>
            <sz val="9"/>
            <color indexed="81"/>
            <rFont val="Tahoma"/>
            <family val="2"/>
          </rPr>
          <t>acer:</t>
        </r>
        <r>
          <rPr>
            <sz val="9"/>
            <color indexed="81"/>
            <rFont val="Tahoma"/>
            <family val="2"/>
          </rPr>
          <t xml:space="preserve">
with formula
</t>
        </r>
      </text>
    </comment>
    <comment ref="R32" authorId="0" shapeId="0" xr:uid="{00000000-0006-0000-1000-00000E000000}">
      <text>
        <r>
          <rPr>
            <b/>
            <sz val="9"/>
            <color indexed="81"/>
            <rFont val="Tahoma"/>
            <family val="2"/>
          </rPr>
          <t>acer:</t>
        </r>
        <r>
          <rPr>
            <sz val="9"/>
            <color indexed="81"/>
            <rFont val="Tahoma"/>
            <family val="2"/>
          </rPr>
          <t xml:space="preserve">
with formula
</t>
        </r>
      </text>
    </comment>
    <comment ref="R33" authorId="0" shapeId="0" xr:uid="{00000000-0006-0000-1000-00000F000000}">
      <text>
        <r>
          <rPr>
            <b/>
            <sz val="9"/>
            <color indexed="81"/>
            <rFont val="Tahoma"/>
            <family val="2"/>
          </rPr>
          <t>acer:</t>
        </r>
        <r>
          <rPr>
            <sz val="9"/>
            <color indexed="81"/>
            <rFont val="Tahoma"/>
            <family val="2"/>
          </rPr>
          <t xml:space="preserve">
with formula
</t>
        </r>
      </text>
    </comment>
    <comment ref="R36" authorId="0" shapeId="0" xr:uid="{00000000-0006-0000-1000-000010000000}">
      <text>
        <r>
          <rPr>
            <b/>
            <sz val="9"/>
            <color indexed="81"/>
            <rFont val="Tahoma"/>
            <family val="2"/>
          </rPr>
          <t>acer:</t>
        </r>
        <r>
          <rPr>
            <sz val="9"/>
            <color indexed="81"/>
            <rFont val="Tahoma"/>
            <family val="2"/>
          </rPr>
          <t xml:space="preserve">
with formula
</t>
        </r>
      </text>
    </comment>
    <comment ref="R37" authorId="0" shapeId="0" xr:uid="{00000000-0006-0000-1000-000011000000}">
      <text>
        <r>
          <rPr>
            <b/>
            <sz val="9"/>
            <color indexed="81"/>
            <rFont val="Tahoma"/>
            <family val="2"/>
          </rPr>
          <t>acer:</t>
        </r>
        <r>
          <rPr>
            <sz val="9"/>
            <color indexed="81"/>
            <rFont val="Tahoma"/>
            <family val="2"/>
          </rPr>
          <t xml:space="preserve">
with formula
</t>
        </r>
      </text>
    </comment>
    <comment ref="R38" authorId="0" shapeId="0" xr:uid="{00000000-0006-0000-1000-000012000000}">
      <text>
        <r>
          <rPr>
            <b/>
            <sz val="9"/>
            <color indexed="81"/>
            <rFont val="Tahoma"/>
            <family val="2"/>
          </rPr>
          <t>acer:</t>
        </r>
        <r>
          <rPr>
            <sz val="9"/>
            <color indexed="81"/>
            <rFont val="Tahoma"/>
            <family val="2"/>
          </rPr>
          <t xml:space="preserve">
with formula
</t>
        </r>
      </text>
    </comment>
    <comment ref="R39" authorId="0" shapeId="0" xr:uid="{00000000-0006-0000-1000-000013000000}">
      <text>
        <r>
          <rPr>
            <b/>
            <sz val="9"/>
            <color indexed="81"/>
            <rFont val="Tahoma"/>
            <family val="2"/>
          </rPr>
          <t>acer:</t>
        </r>
        <r>
          <rPr>
            <sz val="9"/>
            <color indexed="81"/>
            <rFont val="Tahoma"/>
            <family val="2"/>
          </rPr>
          <t xml:space="preserve">
with formula
</t>
        </r>
      </text>
    </comment>
    <comment ref="R40" authorId="0" shapeId="0" xr:uid="{00000000-0006-0000-1000-000014000000}">
      <text>
        <r>
          <rPr>
            <b/>
            <sz val="9"/>
            <color indexed="81"/>
            <rFont val="Tahoma"/>
            <family val="2"/>
          </rPr>
          <t>acer:</t>
        </r>
        <r>
          <rPr>
            <sz val="9"/>
            <color indexed="81"/>
            <rFont val="Tahoma"/>
            <family val="2"/>
          </rPr>
          <t xml:space="preserve">
with formula
</t>
        </r>
      </text>
    </comment>
    <comment ref="R43" authorId="0" shapeId="0" xr:uid="{00000000-0006-0000-1000-000015000000}">
      <text>
        <r>
          <rPr>
            <b/>
            <sz val="9"/>
            <color indexed="81"/>
            <rFont val="Tahoma"/>
            <family val="2"/>
          </rPr>
          <t>acer:</t>
        </r>
        <r>
          <rPr>
            <sz val="9"/>
            <color indexed="81"/>
            <rFont val="Tahoma"/>
            <family val="2"/>
          </rPr>
          <t xml:space="preserve">
with formula
</t>
        </r>
      </text>
    </comment>
    <comment ref="R44" authorId="0" shapeId="0" xr:uid="{00000000-0006-0000-1000-000016000000}">
      <text>
        <r>
          <rPr>
            <b/>
            <sz val="9"/>
            <color indexed="81"/>
            <rFont val="Tahoma"/>
            <family val="2"/>
          </rPr>
          <t>acer:</t>
        </r>
        <r>
          <rPr>
            <sz val="9"/>
            <color indexed="81"/>
            <rFont val="Tahoma"/>
            <family val="2"/>
          </rPr>
          <t xml:space="preserve">
with formula
</t>
        </r>
      </text>
    </comment>
    <comment ref="R48" authorId="0" shapeId="0" xr:uid="{00000000-0006-0000-1000-000017000000}">
      <text>
        <r>
          <rPr>
            <b/>
            <sz val="9"/>
            <color indexed="81"/>
            <rFont val="Tahoma"/>
            <family val="2"/>
          </rPr>
          <t>acer:</t>
        </r>
        <r>
          <rPr>
            <sz val="9"/>
            <color indexed="81"/>
            <rFont val="Tahoma"/>
            <family val="2"/>
          </rPr>
          <t xml:space="preserve">
with formula
</t>
        </r>
      </text>
    </comment>
    <comment ref="R51" authorId="0" shapeId="0" xr:uid="{00000000-0006-0000-1000-000018000000}">
      <text>
        <r>
          <rPr>
            <b/>
            <sz val="9"/>
            <color indexed="81"/>
            <rFont val="Tahoma"/>
            <family val="2"/>
          </rPr>
          <t>acer:</t>
        </r>
        <r>
          <rPr>
            <sz val="9"/>
            <color indexed="81"/>
            <rFont val="Tahoma"/>
            <family val="2"/>
          </rPr>
          <t xml:space="preserve">
with formula
</t>
        </r>
      </text>
    </comment>
    <comment ref="R52" authorId="0" shapeId="0" xr:uid="{00000000-0006-0000-1000-000019000000}">
      <text>
        <r>
          <rPr>
            <b/>
            <sz val="9"/>
            <color indexed="81"/>
            <rFont val="Tahoma"/>
            <family val="2"/>
          </rPr>
          <t>acer:</t>
        </r>
        <r>
          <rPr>
            <sz val="9"/>
            <color indexed="81"/>
            <rFont val="Tahoma"/>
            <family val="2"/>
          </rPr>
          <t xml:space="preserve">
with formula
</t>
        </r>
      </text>
    </comment>
    <comment ref="R55" authorId="0" shapeId="0" xr:uid="{00000000-0006-0000-1000-00001A000000}">
      <text>
        <r>
          <rPr>
            <b/>
            <sz val="9"/>
            <color indexed="81"/>
            <rFont val="Tahoma"/>
            <family val="2"/>
          </rPr>
          <t>acer:</t>
        </r>
        <r>
          <rPr>
            <sz val="9"/>
            <color indexed="81"/>
            <rFont val="Tahoma"/>
            <family val="2"/>
          </rPr>
          <t xml:space="preserve">
with formula
</t>
        </r>
      </text>
    </comment>
    <comment ref="R56" authorId="0" shapeId="0" xr:uid="{00000000-0006-0000-1000-00001B000000}">
      <text>
        <r>
          <rPr>
            <b/>
            <sz val="9"/>
            <color indexed="81"/>
            <rFont val="Tahoma"/>
            <family val="2"/>
          </rPr>
          <t>acer:</t>
        </r>
        <r>
          <rPr>
            <sz val="9"/>
            <color indexed="81"/>
            <rFont val="Tahoma"/>
            <family val="2"/>
          </rPr>
          <t xml:space="preserve">
with formula
</t>
        </r>
      </text>
    </comment>
    <comment ref="R59" authorId="0" shapeId="0" xr:uid="{00000000-0006-0000-1000-00001C000000}">
      <text>
        <r>
          <rPr>
            <b/>
            <sz val="9"/>
            <color indexed="81"/>
            <rFont val="Tahoma"/>
            <family val="2"/>
          </rPr>
          <t>acer:</t>
        </r>
        <r>
          <rPr>
            <sz val="9"/>
            <color indexed="81"/>
            <rFont val="Tahoma"/>
            <family val="2"/>
          </rPr>
          <t xml:space="preserve">
with formula
</t>
        </r>
      </text>
    </comment>
    <comment ref="R62" authorId="0" shapeId="0" xr:uid="{00000000-0006-0000-1000-00001D000000}">
      <text>
        <r>
          <rPr>
            <b/>
            <sz val="9"/>
            <color indexed="81"/>
            <rFont val="Tahoma"/>
            <family val="2"/>
          </rPr>
          <t>acer:</t>
        </r>
        <r>
          <rPr>
            <sz val="9"/>
            <color indexed="81"/>
            <rFont val="Tahoma"/>
            <family val="2"/>
          </rPr>
          <t xml:space="preserve">
with formula
</t>
        </r>
      </text>
    </comment>
    <comment ref="R65" authorId="0" shapeId="0" xr:uid="{00000000-0006-0000-1000-00001E000000}">
      <text>
        <r>
          <rPr>
            <b/>
            <sz val="9"/>
            <color indexed="81"/>
            <rFont val="Tahoma"/>
            <family val="2"/>
          </rPr>
          <t>acer:</t>
        </r>
        <r>
          <rPr>
            <sz val="9"/>
            <color indexed="81"/>
            <rFont val="Tahoma"/>
            <family val="2"/>
          </rPr>
          <t xml:space="preserve">
with formula
</t>
        </r>
      </text>
    </comment>
    <comment ref="R66" authorId="0" shapeId="0" xr:uid="{00000000-0006-0000-1000-00001F000000}">
      <text>
        <r>
          <rPr>
            <b/>
            <sz val="9"/>
            <color indexed="81"/>
            <rFont val="Tahoma"/>
            <family val="2"/>
          </rPr>
          <t>acer:</t>
        </r>
        <r>
          <rPr>
            <sz val="9"/>
            <color indexed="81"/>
            <rFont val="Tahoma"/>
            <family val="2"/>
          </rPr>
          <t xml:space="preserve">
with formula
</t>
        </r>
      </text>
    </comment>
    <comment ref="R69" authorId="0" shapeId="0" xr:uid="{00000000-0006-0000-1000-000020000000}">
      <text>
        <r>
          <rPr>
            <b/>
            <sz val="9"/>
            <color indexed="81"/>
            <rFont val="Tahoma"/>
            <family val="2"/>
          </rPr>
          <t>acer:</t>
        </r>
        <r>
          <rPr>
            <sz val="9"/>
            <color indexed="81"/>
            <rFont val="Tahoma"/>
            <family val="2"/>
          </rPr>
          <t xml:space="preserve">
with formula
</t>
        </r>
      </text>
    </comment>
    <comment ref="R72" authorId="0" shapeId="0" xr:uid="{00000000-0006-0000-1000-000021000000}">
      <text>
        <r>
          <rPr>
            <b/>
            <sz val="9"/>
            <color indexed="81"/>
            <rFont val="Tahoma"/>
            <family val="2"/>
          </rPr>
          <t>acer:</t>
        </r>
        <r>
          <rPr>
            <sz val="9"/>
            <color indexed="81"/>
            <rFont val="Tahoma"/>
            <family val="2"/>
          </rPr>
          <t xml:space="preserve">
with formula
</t>
        </r>
      </text>
    </comment>
    <comment ref="R73" authorId="0" shapeId="0" xr:uid="{00000000-0006-0000-1000-000022000000}">
      <text>
        <r>
          <rPr>
            <b/>
            <sz val="9"/>
            <color indexed="81"/>
            <rFont val="Tahoma"/>
            <family val="2"/>
          </rPr>
          <t>acer:</t>
        </r>
        <r>
          <rPr>
            <sz val="9"/>
            <color indexed="81"/>
            <rFont val="Tahoma"/>
            <family val="2"/>
          </rPr>
          <t xml:space="preserve">
with formula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intel</author>
    <author>Admin</author>
    <author>User</author>
  </authors>
  <commentList>
    <comment ref="J15" authorId="0" shapeId="0" xr:uid="{00000000-0006-0000-1200-000001000000}">
      <text>
        <r>
          <rPr>
            <b/>
            <sz val="9"/>
            <color indexed="81"/>
            <rFont val="Tahoma"/>
            <family val="2"/>
          </rPr>
          <t>intel:</t>
        </r>
        <r>
          <rPr>
            <sz val="9"/>
            <color indexed="81"/>
            <rFont val="Tahoma"/>
            <family val="2"/>
          </rPr>
          <t xml:space="preserve">
renew</t>
        </r>
      </text>
    </comment>
    <comment ref="AB15" authorId="0" shapeId="0" xr:uid="{00000000-0006-0000-1200-000002000000}">
      <text>
        <r>
          <rPr>
            <b/>
            <sz val="9"/>
            <color indexed="81"/>
            <rFont val="Tahoma"/>
            <family val="2"/>
          </rPr>
          <t>intel:</t>
        </r>
        <r>
          <rPr>
            <sz val="9"/>
            <color indexed="81"/>
            <rFont val="Tahoma"/>
            <family val="2"/>
          </rPr>
          <t xml:space="preserve">
MOVE TO 16-31</t>
        </r>
      </text>
    </comment>
    <comment ref="I16" authorId="1" shapeId="0" xr:uid="{8BBD5BD4-E9B3-4C0C-88EC-2293620D0DEB}">
      <text>
        <r>
          <rPr>
            <b/>
            <sz val="9"/>
            <color indexed="81"/>
            <rFont val="Tahoma"/>
            <family val="2"/>
          </rPr>
          <t>Admin:</t>
        </r>
        <r>
          <rPr>
            <sz val="9"/>
            <color indexed="81"/>
            <rFont val="Tahoma"/>
            <family val="2"/>
          </rPr>
          <t xml:space="preserve">
for dec'2024</t>
        </r>
      </text>
    </comment>
    <comment ref="J16" authorId="1" shapeId="0" xr:uid="{1AC3CCF6-0247-473F-8983-7C96F9B1E7C8}">
      <text>
        <r>
          <rPr>
            <b/>
            <sz val="9"/>
            <color indexed="81"/>
            <rFont val="Tahoma"/>
            <family val="2"/>
          </rPr>
          <t>Admin:</t>
        </r>
        <r>
          <rPr>
            <sz val="9"/>
            <color indexed="81"/>
            <rFont val="Tahoma"/>
            <family val="2"/>
          </rPr>
          <t xml:space="preserve">
8/2025</t>
        </r>
      </text>
    </comment>
    <comment ref="P16" authorId="1" shapeId="0" xr:uid="{824CB143-471B-4034-80C0-FA9E93C014A1}">
      <text>
        <r>
          <rPr>
            <b/>
            <sz val="9"/>
            <color indexed="81"/>
            <rFont val="Tahoma"/>
            <family val="2"/>
          </rPr>
          <t>Admin:</t>
        </r>
        <r>
          <rPr>
            <sz val="9"/>
            <color indexed="81"/>
            <rFont val="Tahoma"/>
            <family val="2"/>
          </rPr>
          <t xml:space="preserve">
8/2025
</t>
        </r>
      </text>
    </comment>
    <comment ref="Y21" authorId="0" shapeId="0" xr:uid="{00000000-0006-0000-1200-000013000000}">
      <text>
        <r>
          <rPr>
            <b/>
            <sz val="9"/>
            <color indexed="81"/>
            <rFont val="Tahoma"/>
            <family val="2"/>
          </rPr>
          <t>intel:</t>
        </r>
        <r>
          <rPr>
            <sz val="9"/>
            <color indexed="81"/>
            <rFont val="Tahoma"/>
            <family val="2"/>
          </rPr>
          <t xml:space="preserve">
renew 1/6/2023</t>
        </r>
      </text>
    </comment>
    <comment ref="L27" authorId="2" shapeId="0" xr:uid="{00000000-0006-0000-1200-000004000000}">
      <text>
        <r>
          <rPr>
            <b/>
            <sz val="9"/>
            <color indexed="81"/>
            <rFont val="Tahoma"/>
            <family val="2"/>
          </rPr>
          <t>User: renew 2/27/23</t>
        </r>
      </text>
    </comment>
    <comment ref="O27" authorId="2" shapeId="0" xr:uid="{00000000-0006-0000-1200-000005000000}">
      <text>
        <r>
          <rPr>
            <b/>
            <sz val="9"/>
            <color indexed="81"/>
            <rFont val="Tahoma"/>
            <family val="2"/>
          </rPr>
          <t>User:</t>
        </r>
        <r>
          <rPr>
            <sz val="9"/>
            <color indexed="81"/>
            <rFont val="Tahoma"/>
            <family val="2"/>
          </rPr>
          <t xml:space="preserve">
removed for aug. only 491.67 for OR</t>
        </r>
      </text>
    </comment>
    <comment ref="P27" authorId="2" shapeId="0" xr:uid="{00000000-0006-0000-1200-000006000000}">
      <text>
        <r>
          <rPr>
            <b/>
            <sz val="9"/>
            <color indexed="81"/>
            <rFont val="Tahoma"/>
            <family val="2"/>
          </rPr>
          <t>User:</t>
        </r>
        <r>
          <rPr>
            <sz val="9"/>
            <color indexed="81"/>
            <rFont val="Tahoma"/>
            <family val="2"/>
          </rPr>
          <t xml:space="preserve">
RENEW 9/2/2024</t>
        </r>
      </text>
    </comment>
    <comment ref="Z27" authorId="0" shapeId="0" xr:uid="{00000000-0006-0000-1200-000008000000}">
      <text>
        <r>
          <rPr>
            <b/>
            <sz val="9"/>
            <color indexed="81"/>
            <rFont val="Tahoma"/>
            <family val="2"/>
          </rPr>
          <t>intel:</t>
        </r>
        <r>
          <rPr>
            <sz val="9"/>
            <color indexed="81"/>
            <rFont val="Tahoma"/>
            <family val="2"/>
          </rPr>
          <t xml:space="preserve">
renew</t>
        </r>
      </text>
    </comment>
    <comment ref="J28" authorId="1" shapeId="0" xr:uid="{ECB17EC4-2715-4F0E-BBF5-444384B1F567}">
      <text>
        <r>
          <rPr>
            <b/>
            <sz val="9"/>
            <color indexed="81"/>
            <rFont val="Tahoma"/>
            <family val="2"/>
          </rPr>
          <t>Admin:</t>
        </r>
        <r>
          <rPr>
            <sz val="9"/>
            <color indexed="81"/>
            <rFont val="Tahoma"/>
            <family val="2"/>
          </rPr>
          <t xml:space="preserve">
renew 12.2025</t>
        </r>
      </text>
    </comment>
    <comment ref="P28" authorId="1" shapeId="0" xr:uid="{EF14371C-45B7-493C-9496-F1479FADF26B}">
      <text>
        <r>
          <rPr>
            <b/>
            <sz val="9"/>
            <color indexed="81"/>
            <rFont val="Tahoma"/>
            <family val="2"/>
          </rPr>
          <t>Admin:</t>
        </r>
        <r>
          <rPr>
            <sz val="9"/>
            <color indexed="81"/>
            <rFont val="Tahoma"/>
            <family val="2"/>
          </rPr>
          <t xml:space="preserve">
renew 7/1/2025</t>
        </r>
      </text>
    </comment>
    <comment ref="AB28" authorId="1" shapeId="0" xr:uid="{7E6C771A-3707-4B0E-B43D-A5FF5A145414}">
      <text>
        <r>
          <rPr>
            <b/>
            <sz val="9"/>
            <color indexed="81"/>
            <rFont val="Tahoma"/>
            <family val="2"/>
          </rPr>
          <t>Admin:</t>
        </r>
        <r>
          <rPr>
            <sz val="9"/>
            <color indexed="81"/>
            <rFont val="Tahoma"/>
            <family val="2"/>
          </rPr>
          <t xml:space="preserve">
10/2025-9/2025
</t>
        </r>
      </text>
    </comment>
    <comment ref="Y34" authorId="0" shapeId="0" xr:uid="{9C69406F-7482-4697-BEC5-E9823B1FAFA6}">
      <text>
        <r>
          <rPr>
            <b/>
            <sz val="9"/>
            <color indexed="81"/>
            <rFont val="Tahoma"/>
            <family val="2"/>
          </rPr>
          <t>intel:</t>
        </r>
        <r>
          <rPr>
            <sz val="9"/>
            <color indexed="81"/>
            <rFont val="Tahoma"/>
            <family val="2"/>
          </rPr>
          <t xml:space="preserve">
new 5/25/2023</t>
        </r>
      </text>
    </comment>
    <comment ref="AB36" authorId="0" shapeId="0" xr:uid="{00000000-0006-0000-1200-00000C000000}">
      <text>
        <r>
          <rPr>
            <b/>
            <sz val="9"/>
            <color indexed="81"/>
            <rFont val="Tahoma"/>
            <family val="2"/>
          </rPr>
          <t>intel:</t>
        </r>
        <r>
          <rPr>
            <sz val="9"/>
            <color indexed="81"/>
            <rFont val="Tahoma"/>
            <family val="2"/>
          </rPr>
          <t xml:space="preserve">
new 3/13/23</t>
        </r>
      </text>
    </comment>
    <comment ref="P39" authorId="0" shapeId="0" xr:uid="{00000000-0006-0000-1200-00000F000000}">
      <text>
        <r>
          <rPr>
            <b/>
            <sz val="9"/>
            <color indexed="81"/>
            <rFont val="Tahoma"/>
            <family val="2"/>
          </rPr>
          <t>intel:</t>
        </r>
        <r>
          <rPr>
            <sz val="9"/>
            <color indexed="81"/>
            <rFont val="Tahoma"/>
            <family val="2"/>
          </rPr>
          <t xml:space="preserve">
new 8/14/2024</t>
        </r>
      </text>
    </comment>
    <comment ref="Z44" authorId="0" shapeId="0" xr:uid="{ADEE00B1-C01C-497A-83F6-ADB4BBDD7EF5}">
      <text>
        <r>
          <rPr>
            <b/>
            <sz val="9"/>
            <color indexed="81"/>
            <rFont val="Tahoma"/>
            <family val="2"/>
          </rPr>
          <t>intel:</t>
        </r>
        <r>
          <rPr>
            <sz val="9"/>
            <color indexed="81"/>
            <rFont val="Tahoma"/>
            <family val="2"/>
          </rPr>
          <t xml:space="preserve">
renew</t>
        </r>
      </text>
    </comment>
    <comment ref="P45" authorId="0" shapeId="0" xr:uid="{00000000-0006-0000-1200-000010000000}">
      <text>
        <r>
          <rPr>
            <b/>
            <sz val="9"/>
            <color indexed="81"/>
            <rFont val="Tahoma"/>
            <family val="2"/>
          </rPr>
          <t>intel:</t>
        </r>
        <r>
          <rPr>
            <sz val="9"/>
            <color indexed="81"/>
            <rFont val="Tahoma"/>
            <family val="2"/>
          </rPr>
          <t xml:space="preserve">
Renew 9/14/2023</t>
        </r>
      </text>
    </comment>
    <comment ref="J46" authorId="0" shapeId="0" xr:uid="{79CDA876-C205-4BCF-9D84-EB01894B7450}">
      <text>
        <r>
          <rPr>
            <b/>
            <sz val="9"/>
            <color indexed="81"/>
            <rFont val="Tahoma"/>
            <family val="2"/>
          </rPr>
          <t>intel:</t>
        </r>
        <r>
          <rPr>
            <sz val="9"/>
            <color indexed="81"/>
            <rFont val="Tahoma"/>
            <family val="2"/>
          </rPr>
          <t xml:space="preserve">
8/2025</t>
        </r>
      </text>
    </comment>
    <comment ref="J52" authorId="0" shapeId="0" xr:uid="{00000000-0006-0000-1200-000015000000}">
      <text>
        <r>
          <rPr>
            <b/>
            <sz val="9"/>
            <color indexed="81"/>
            <rFont val="Tahoma"/>
            <family val="2"/>
          </rPr>
          <t>intel:</t>
        </r>
        <r>
          <rPr>
            <sz val="9"/>
            <color indexed="81"/>
            <rFont val="Tahoma"/>
            <family val="2"/>
          </rPr>
          <t xml:space="preserve">
renew 11/8/22</t>
        </r>
      </text>
    </comment>
    <comment ref="Y55" authorId="1" shapeId="0" xr:uid="{0A733CF1-CDC1-40E6-8420-E5E1BA44DBF7}">
      <text>
        <r>
          <rPr>
            <b/>
            <sz val="9"/>
            <color indexed="81"/>
            <rFont val="Tahoma"/>
            <family val="2"/>
          </rPr>
          <t>Admin:</t>
        </r>
        <r>
          <rPr>
            <sz val="9"/>
            <color indexed="81"/>
            <rFont val="Tahoma"/>
            <family val="2"/>
          </rPr>
          <t xml:space="preserve">
renew 6.2025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intel</author>
    <author>Admin</author>
    <author>User</author>
  </authors>
  <commentList>
    <comment ref="R13" authorId="0" shapeId="0" xr:uid="{00000000-0006-0000-1300-000001000000}">
      <text>
        <r>
          <rPr>
            <b/>
            <sz val="9"/>
            <color indexed="81"/>
            <rFont val="Tahoma"/>
            <family val="2"/>
          </rPr>
          <t>intel:</t>
        </r>
        <r>
          <rPr>
            <sz val="9"/>
            <color indexed="81"/>
            <rFont val="Tahoma"/>
            <family val="2"/>
          </rPr>
          <t xml:space="preserve">
renew 2/2025
</t>
        </r>
      </text>
    </comment>
    <comment ref="AB13" authorId="1" shapeId="0" xr:uid="{EC29F6C6-8678-48AA-B01E-EDC9E6E42746}">
      <text>
        <r>
          <rPr>
            <b/>
            <sz val="9"/>
            <color indexed="81"/>
            <rFont val="Tahoma"/>
            <family val="2"/>
          </rPr>
          <t>Admin:</t>
        </r>
        <r>
          <rPr>
            <sz val="9"/>
            <color indexed="81"/>
            <rFont val="Tahoma"/>
            <family val="2"/>
          </rPr>
          <t xml:space="preserve">
renew 8/2025
</t>
        </r>
      </text>
    </comment>
    <comment ref="L17" authorId="1" shapeId="0" xr:uid="{2D59996D-54AB-4F26-88C3-10EE12F01742}">
      <text>
        <r>
          <rPr>
            <b/>
            <sz val="9"/>
            <color indexed="81"/>
            <rFont val="Tahoma"/>
            <family val="2"/>
          </rPr>
          <t>Admin:</t>
        </r>
        <r>
          <rPr>
            <sz val="9"/>
            <color indexed="81"/>
            <rFont val="Tahoma"/>
            <family val="2"/>
          </rPr>
          <t xml:space="preserve">
renew 8/2025</t>
        </r>
      </text>
    </comment>
    <comment ref="R17" authorId="0" shapeId="0" xr:uid="{00000000-0006-0000-1300-000005000000}">
      <text>
        <r>
          <rPr>
            <b/>
            <sz val="9"/>
            <color indexed="81"/>
            <rFont val="Tahoma"/>
            <family val="2"/>
          </rPr>
          <t>intel:</t>
        </r>
        <r>
          <rPr>
            <sz val="9"/>
            <color indexed="81"/>
            <rFont val="Tahoma"/>
            <family val="2"/>
          </rPr>
          <t xml:space="preserve">
renew 8/2025
</t>
        </r>
      </text>
    </comment>
    <comment ref="Z17" authorId="0" shapeId="0" xr:uid="{00000000-0006-0000-1300-000006000000}">
      <text>
        <r>
          <rPr>
            <b/>
            <sz val="9"/>
            <color indexed="81"/>
            <rFont val="Tahoma"/>
            <family val="2"/>
          </rPr>
          <t>intel:</t>
        </r>
        <r>
          <rPr>
            <sz val="9"/>
            <color indexed="81"/>
            <rFont val="Tahoma"/>
            <family val="2"/>
          </rPr>
          <t xml:space="preserve">
for OR</t>
        </r>
      </text>
    </comment>
    <comment ref="AA17" authorId="0" shapeId="0" xr:uid="{00000000-0006-0000-1300-000007000000}">
      <text>
        <r>
          <rPr>
            <b/>
            <sz val="9"/>
            <color indexed="81"/>
            <rFont val="Tahoma"/>
            <family val="2"/>
          </rPr>
          <t>intel:</t>
        </r>
        <r>
          <rPr>
            <sz val="9"/>
            <color indexed="81"/>
            <rFont val="Tahoma"/>
            <family val="2"/>
          </rPr>
          <t xml:space="preserve">
renew 10/2023</t>
        </r>
      </text>
    </comment>
    <comment ref="K20" authorId="0" shapeId="0" xr:uid="{00000000-0006-0000-1300-000008000000}">
      <text>
        <r>
          <rPr>
            <b/>
            <sz val="9"/>
            <color indexed="81"/>
            <rFont val="Tahoma"/>
            <family val="2"/>
          </rPr>
          <t>intel:</t>
        </r>
        <r>
          <rPr>
            <sz val="9"/>
            <color indexed="81"/>
            <rFont val="Tahoma"/>
            <family val="2"/>
          </rPr>
          <t xml:space="preserve">
RENEW 7/22/2022</t>
        </r>
      </text>
    </comment>
    <comment ref="Z22" authorId="1" shapeId="0" xr:uid="{A4B5848B-7A5C-4FF6-92AB-23B48A5699A4}">
      <text>
        <r>
          <rPr>
            <b/>
            <sz val="9"/>
            <color indexed="81"/>
            <rFont val="Tahoma"/>
            <family val="2"/>
          </rPr>
          <t>Admin:</t>
        </r>
        <r>
          <rPr>
            <sz val="9"/>
            <color indexed="81"/>
            <rFont val="Tahoma"/>
            <family val="2"/>
          </rPr>
          <t xml:space="preserve">
2/2024</t>
        </r>
      </text>
    </comment>
    <comment ref="AA22" authorId="0" shapeId="0" xr:uid="{00000000-0006-0000-1300-00000D000000}">
      <text>
        <r>
          <rPr>
            <b/>
            <sz val="9"/>
            <color indexed="81"/>
            <rFont val="Tahoma"/>
            <family val="2"/>
          </rPr>
          <t>intel:</t>
        </r>
        <r>
          <rPr>
            <sz val="9"/>
            <color indexed="81"/>
            <rFont val="Tahoma"/>
            <family val="2"/>
          </rPr>
          <t xml:space="preserve">
renew</t>
        </r>
      </text>
    </comment>
    <comment ref="R28" authorId="0" shapeId="0" xr:uid="{00000000-0006-0000-1300-00000E000000}">
      <text>
        <r>
          <rPr>
            <b/>
            <sz val="9"/>
            <color indexed="81"/>
            <rFont val="Tahoma"/>
            <family val="2"/>
          </rPr>
          <t>intel:</t>
        </r>
        <r>
          <rPr>
            <sz val="9"/>
            <color indexed="81"/>
            <rFont val="Tahoma"/>
            <family val="2"/>
          </rPr>
          <t xml:space="preserve">
new 6/7/2023</t>
        </r>
      </text>
    </comment>
    <comment ref="AA28" authorId="0" shapeId="0" xr:uid="{00000000-0006-0000-1300-00000F000000}">
      <text>
        <r>
          <rPr>
            <b/>
            <sz val="9"/>
            <color indexed="81"/>
            <rFont val="Tahoma"/>
            <family val="2"/>
          </rPr>
          <t>intel:</t>
        </r>
        <r>
          <rPr>
            <sz val="9"/>
            <color indexed="81"/>
            <rFont val="Tahoma"/>
            <family val="2"/>
          </rPr>
          <t xml:space="preserve">
renew 8/2023</t>
        </r>
      </text>
    </comment>
    <comment ref="AC28" authorId="0" shapeId="0" xr:uid="{651CFA81-5E1D-4BB8-89F8-531F117E90AE}">
      <text>
        <r>
          <rPr>
            <b/>
            <sz val="9"/>
            <color indexed="81"/>
            <rFont val="Tahoma"/>
            <family val="2"/>
          </rPr>
          <t>intel:</t>
        </r>
        <r>
          <rPr>
            <sz val="9"/>
            <color indexed="81"/>
            <rFont val="Tahoma"/>
            <family val="2"/>
          </rPr>
          <t xml:space="preserve">
renew 05/2024</t>
        </r>
      </text>
    </comment>
    <comment ref="R29" authorId="0" shapeId="0" xr:uid="{00000000-0006-0000-1300-000011000000}">
      <text>
        <r>
          <rPr>
            <b/>
            <sz val="9"/>
            <color indexed="81"/>
            <rFont val="Tahoma"/>
            <family val="2"/>
          </rPr>
          <t>intel:</t>
        </r>
        <r>
          <rPr>
            <sz val="9"/>
            <color indexed="81"/>
            <rFont val="Tahoma"/>
            <family val="2"/>
          </rPr>
          <t xml:space="preserve">
new 5/2023</t>
        </r>
      </text>
    </comment>
    <comment ref="Z29" authorId="0" shapeId="0" xr:uid="{00000000-0006-0000-1300-000012000000}">
      <text>
        <r>
          <rPr>
            <b/>
            <sz val="9"/>
            <color indexed="81"/>
            <rFont val="Tahoma"/>
            <family val="2"/>
          </rPr>
          <t>intel:</t>
        </r>
        <r>
          <rPr>
            <sz val="9"/>
            <color indexed="81"/>
            <rFont val="Tahoma"/>
            <family val="2"/>
          </rPr>
          <t xml:space="preserve">
new 10/2023</t>
        </r>
      </text>
    </comment>
    <comment ref="AA29" authorId="0" shapeId="0" xr:uid="{00000000-0006-0000-1300-000013000000}">
      <text>
        <r>
          <rPr>
            <b/>
            <sz val="9"/>
            <color indexed="81"/>
            <rFont val="Tahoma"/>
            <family val="2"/>
          </rPr>
          <t>intel:</t>
        </r>
        <r>
          <rPr>
            <sz val="9"/>
            <color indexed="81"/>
            <rFont val="Tahoma"/>
            <family val="2"/>
          </rPr>
          <t xml:space="preserve">
new</t>
        </r>
      </text>
    </comment>
    <comment ref="Z31" authorId="1" shapeId="0" xr:uid="{4E8BA0D1-44E6-4E9F-AAE8-8699CD7A300C}">
      <text>
        <r>
          <rPr>
            <b/>
            <sz val="9"/>
            <color indexed="81"/>
            <rFont val="Tahoma"/>
            <family val="2"/>
          </rPr>
          <t>Admin:</t>
        </r>
        <r>
          <rPr>
            <sz val="9"/>
            <color indexed="81"/>
            <rFont val="Tahoma"/>
            <family val="2"/>
          </rPr>
          <t xml:space="preserve">
2/27/2024</t>
        </r>
      </text>
    </comment>
    <comment ref="L32" authorId="0" shapeId="0" xr:uid="{00000000-0006-0000-1300-000014000000}">
      <text>
        <r>
          <rPr>
            <b/>
            <sz val="9"/>
            <color indexed="81"/>
            <rFont val="Tahoma"/>
            <family val="2"/>
          </rPr>
          <t>intel:</t>
        </r>
        <r>
          <rPr>
            <sz val="9"/>
            <color indexed="81"/>
            <rFont val="Tahoma"/>
            <family val="2"/>
          </rPr>
          <t xml:space="preserve">
renew 8/2024
</t>
        </r>
      </text>
    </comment>
    <comment ref="L33" authorId="0" shapeId="0" xr:uid="{00000000-0006-0000-1300-000015000000}">
      <text>
        <r>
          <rPr>
            <b/>
            <sz val="9"/>
            <color indexed="81"/>
            <rFont val="Tahoma"/>
            <family val="2"/>
          </rPr>
          <t>intel:</t>
        </r>
        <r>
          <rPr>
            <sz val="9"/>
            <color indexed="81"/>
            <rFont val="Tahoma"/>
            <family val="2"/>
          </rPr>
          <t xml:space="preserve">
renew 7/24/2024</t>
        </r>
      </text>
    </comment>
    <comment ref="M33" authorId="1" shapeId="0" xr:uid="{E44266D9-EEF9-4049-A020-9238FB1E4254}">
      <text>
        <r>
          <rPr>
            <b/>
            <sz val="9"/>
            <color indexed="81"/>
            <rFont val="Tahoma"/>
            <family val="2"/>
          </rPr>
          <t>Admin:</t>
        </r>
        <r>
          <rPr>
            <sz val="9"/>
            <color indexed="81"/>
            <rFont val="Tahoma"/>
            <family val="2"/>
          </rPr>
          <t xml:space="preserve">
renew 7/1/2025</t>
        </r>
      </text>
    </comment>
    <comment ref="R33" authorId="2" shapeId="0" xr:uid="{00000000-0006-0000-1300-000017000000}">
      <text>
        <r>
          <rPr>
            <b/>
            <sz val="9"/>
            <color indexed="81"/>
            <rFont val="Tahoma"/>
            <family val="2"/>
          </rPr>
          <t>User:</t>
        </r>
        <r>
          <rPr>
            <sz val="9"/>
            <color indexed="81"/>
            <rFont val="Tahoma"/>
            <family val="2"/>
          </rPr>
          <t xml:space="preserve">
move to 16-31</t>
        </r>
      </text>
    </comment>
    <comment ref="Z34" authorId="0" shapeId="0" xr:uid="{00000000-0006-0000-1300-00001A000000}">
      <text>
        <r>
          <rPr>
            <b/>
            <sz val="9"/>
            <color indexed="81"/>
            <rFont val="Tahoma"/>
            <family val="2"/>
          </rPr>
          <t>intel:</t>
        </r>
        <r>
          <rPr>
            <sz val="9"/>
            <color indexed="81"/>
            <rFont val="Tahoma"/>
            <family val="2"/>
          </rPr>
          <t xml:space="preserve">
new 10/25/2022</t>
        </r>
      </text>
    </comment>
    <comment ref="AB34" authorId="1" shapeId="0" xr:uid="{27F138C7-FE75-4D68-89FC-8F11427233E5}">
      <text>
        <r>
          <rPr>
            <b/>
            <sz val="9"/>
            <color indexed="81"/>
            <rFont val="Tahoma"/>
            <family val="2"/>
          </rPr>
          <t>Admin:</t>
        </r>
        <r>
          <rPr>
            <sz val="9"/>
            <color indexed="81"/>
            <rFont val="Tahoma"/>
            <family val="2"/>
          </rPr>
          <t xml:space="preserve">
renew 7/26/2024</t>
        </r>
      </text>
    </comment>
    <comment ref="L38" authorId="0" shapeId="0" xr:uid="{00000000-0006-0000-1300-00001D000000}">
      <text>
        <r>
          <rPr>
            <b/>
            <sz val="9"/>
            <color indexed="81"/>
            <rFont val="Tahoma"/>
            <family val="2"/>
          </rPr>
          <t>intel:</t>
        </r>
        <r>
          <rPr>
            <sz val="9"/>
            <color indexed="81"/>
            <rFont val="Tahoma"/>
            <family val="2"/>
          </rPr>
          <t xml:space="preserve">
renew</t>
        </r>
      </text>
    </comment>
    <comment ref="R38" authorId="1" shapeId="0" xr:uid="{D0E1D7C4-76C0-4FB1-AEB3-4B37FB042014}">
      <text>
        <r>
          <rPr>
            <b/>
            <sz val="9"/>
            <color indexed="81"/>
            <rFont val="Tahoma"/>
            <family val="2"/>
          </rPr>
          <t>Admin:</t>
        </r>
        <r>
          <rPr>
            <sz val="9"/>
            <color indexed="81"/>
            <rFont val="Tahoma"/>
            <family val="2"/>
          </rPr>
          <t xml:space="preserve">
for renewal 5.6.25</t>
        </r>
      </text>
    </comment>
    <comment ref="Z38" authorId="0" shapeId="0" xr:uid="{00000000-0006-0000-1300-00001E000000}">
      <text>
        <r>
          <rPr>
            <b/>
            <sz val="9"/>
            <color indexed="81"/>
            <rFont val="Tahoma"/>
            <family val="2"/>
          </rPr>
          <t>intel:</t>
        </r>
        <r>
          <rPr>
            <sz val="9"/>
            <color indexed="81"/>
            <rFont val="Tahoma"/>
            <family val="2"/>
          </rPr>
          <t xml:space="preserve">
new</t>
        </r>
      </text>
    </comment>
    <comment ref="Z39" authorId="0" shapeId="0" xr:uid="{00000000-0006-0000-1300-00001C000000}">
      <text>
        <r>
          <rPr>
            <b/>
            <sz val="9"/>
            <color indexed="81"/>
            <rFont val="Tahoma"/>
            <family val="2"/>
          </rPr>
          <t>intel:</t>
        </r>
        <r>
          <rPr>
            <sz val="9"/>
            <color indexed="81"/>
            <rFont val="Tahoma"/>
            <family val="2"/>
          </rPr>
          <t xml:space="preserve">
renew 7/13/2023</t>
        </r>
      </text>
    </comment>
    <comment ref="L40" authorId="0" shapeId="0" xr:uid="{00000000-0006-0000-1300-00001F000000}">
      <text>
        <r>
          <rPr>
            <b/>
            <sz val="9"/>
            <color indexed="81"/>
            <rFont val="Tahoma"/>
            <family val="2"/>
          </rPr>
          <t>intel:</t>
        </r>
        <r>
          <rPr>
            <sz val="9"/>
            <color indexed="81"/>
            <rFont val="Tahoma"/>
            <family val="2"/>
          </rPr>
          <t xml:space="preserve">
renew 07/25/2024</t>
        </r>
      </text>
    </comment>
    <comment ref="P48" authorId="0" shapeId="0" xr:uid="{00000000-0006-0000-1300-000021000000}">
      <text>
        <r>
          <rPr>
            <b/>
            <sz val="9"/>
            <color indexed="81"/>
            <rFont val="Tahoma"/>
            <family val="2"/>
          </rPr>
          <t>intel:</t>
        </r>
        <r>
          <rPr>
            <sz val="9"/>
            <color indexed="81"/>
            <rFont val="Tahoma"/>
            <family val="2"/>
          </rPr>
          <t xml:space="preserve">
RENEW 8/4/2022</t>
        </r>
      </text>
    </comment>
    <comment ref="R48" authorId="0" shapeId="0" xr:uid="{85F4DDE3-8F5D-4397-B7F4-13DEC5BF47D6}">
      <text>
        <r>
          <rPr>
            <b/>
            <sz val="9"/>
            <color indexed="81"/>
            <rFont val="Tahoma"/>
            <family val="2"/>
          </rPr>
          <t>intel:</t>
        </r>
        <r>
          <rPr>
            <sz val="9"/>
            <color indexed="81"/>
            <rFont val="Tahoma"/>
            <family val="2"/>
          </rPr>
          <t xml:space="preserve">
renew 10/14/2024</t>
        </r>
      </text>
    </comment>
    <comment ref="Z50" authorId="1" shapeId="0" xr:uid="{66D3DEEE-722D-44F2-AC71-6167D88A1FFB}">
      <text>
        <r>
          <rPr>
            <b/>
            <sz val="9"/>
            <color indexed="81"/>
            <rFont val="Tahoma"/>
            <family val="2"/>
          </rPr>
          <t>Admin:</t>
        </r>
        <r>
          <rPr>
            <sz val="9"/>
            <color indexed="81"/>
            <rFont val="Tahoma"/>
            <family val="2"/>
          </rPr>
          <t xml:space="preserve">
new 1/18/2024</t>
        </r>
      </text>
    </comment>
    <comment ref="L52" authorId="0" shapeId="0" xr:uid="{00000000-0006-0000-1300-000026000000}">
      <text>
        <r>
          <rPr>
            <b/>
            <sz val="9"/>
            <color indexed="81"/>
            <rFont val="Tahoma"/>
            <family val="2"/>
          </rPr>
          <t>intel:</t>
        </r>
        <r>
          <rPr>
            <sz val="9"/>
            <color indexed="81"/>
            <rFont val="Tahoma"/>
            <family val="2"/>
          </rPr>
          <t xml:space="preserve">
renew</t>
        </r>
      </text>
    </comment>
    <comment ref="AB52" authorId="0" shapeId="0" xr:uid="{00000000-0006-0000-1300-000027000000}">
      <text>
        <r>
          <rPr>
            <b/>
            <sz val="9"/>
            <color indexed="81"/>
            <rFont val="Tahoma"/>
            <family val="2"/>
          </rPr>
          <t>intel:</t>
        </r>
        <r>
          <rPr>
            <sz val="9"/>
            <color indexed="81"/>
            <rFont val="Tahoma"/>
            <family val="2"/>
          </rPr>
          <t xml:space="preserve">
new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intel</author>
    <author>Admin</author>
    <author>user</author>
  </authors>
  <commentList>
    <comment ref="R12" authorId="0" shapeId="0" xr:uid="{00000000-0006-0000-1400-000003000000}">
      <text>
        <r>
          <rPr>
            <b/>
            <sz val="9"/>
            <color indexed="81"/>
            <rFont val="Tahoma"/>
            <family val="2"/>
          </rPr>
          <t>intel:</t>
        </r>
        <r>
          <rPr>
            <sz val="9"/>
            <color indexed="81"/>
            <rFont val="Tahoma"/>
            <family val="2"/>
          </rPr>
          <t xml:space="preserve">
renew 11/7/2022</t>
        </r>
      </text>
    </comment>
    <comment ref="AA12" authorId="0" shapeId="0" xr:uid="{00000000-0006-0000-1400-000004000000}">
      <text>
        <r>
          <rPr>
            <b/>
            <sz val="9"/>
            <color indexed="81"/>
            <rFont val="Tahoma"/>
            <family val="2"/>
          </rPr>
          <t>intel:</t>
        </r>
        <r>
          <rPr>
            <sz val="9"/>
            <color indexed="81"/>
            <rFont val="Tahoma"/>
            <family val="2"/>
          </rPr>
          <t xml:space="preserve">
new 7/31/2023</t>
        </r>
      </text>
    </comment>
    <comment ref="AB12" authorId="0" shapeId="0" xr:uid="{00000000-0006-0000-1400-000005000000}">
      <text>
        <r>
          <rPr>
            <b/>
            <sz val="9"/>
            <color indexed="81"/>
            <rFont val="Tahoma"/>
            <family val="2"/>
          </rPr>
          <t>intel:</t>
        </r>
        <r>
          <rPr>
            <sz val="9"/>
            <color indexed="81"/>
            <rFont val="Tahoma"/>
            <family val="2"/>
          </rPr>
          <t xml:space="preserve">
fully paid</t>
        </r>
      </text>
    </comment>
    <comment ref="L13" authorId="0" shapeId="0" xr:uid="{00000000-0006-0000-1400-000006000000}">
      <text>
        <r>
          <rPr>
            <b/>
            <sz val="9"/>
            <color indexed="81"/>
            <rFont val="Tahoma"/>
            <family val="2"/>
          </rPr>
          <t>intel:</t>
        </r>
        <r>
          <rPr>
            <sz val="9"/>
            <color indexed="81"/>
            <rFont val="Tahoma"/>
            <family val="2"/>
          </rPr>
          <t xml:space="preserve">
renew 11/17/22</t>
        </r>
      </text>
    </comment>
    <comment ref="N13" authorId="0" shapeId="0" xr:uid="{00000000-0006-0000-1400-000007000000}">
      <text>
        <r>
          <rPr>
            <b/>
            <sz val="9"/>
            <color indexed="81"/>
            <rFont val="Tahoma"/>
            <family val="2"/>
          </rPr>
          <t>intel:</t>
        </r>
        <r>
          <rPr>
            <sz val="9"/>
            <color indexed="81"/>
            <rFont val="Tahoma"/>
            <family val="2"/>
          </rPr>
          <t xml:space="preserve">
paid</t>
        </r>
      </text>
    </comment>
    <comment ref="R21" authorId="0" shapeId="0" xr:uid="{00000000-0006-0000-1400-00000A000000}">
      <text>
        <r>
          <rPr>
            <b/>
            <sz val="9"/>
            <color indexed="81"/>
            <rFont val="Tahoma"/>
            <family val="2"/>
          </rPr>
          <t>intel:</t>
        </r>
        <r>
          <rPr>
            <sz val="9"/>
            <color indexed="81"/>
            <rFont val="Tahoma"/>
            <family val="2"/>
          </rPr>
          <t xml:space="preserve">
RENEW</t>
        </r>
      </text>
    </comment>
    <comment ref="R25" authorId="0" shapeId="0" xr:uid="{00000000-0006-0000-1400-00000B000000}">
      <text>
        <r>
          <rPr>
            <b/>
            <sz val="9"/>
            <color indexed="81"/>
            <rFont val="Tahoma"/>
            <family val="2"/>
          </rPr>
          <t>intel:</t>
        </r>
        <r>
          <rPr>
            <sz val="9"/>
            <color indexed="81"/>
            <rFont val="Tahoma"/>
            <family val="2"/>
          </rPr>
          <t xml:space="preserve">
it shld be for G. Sampang</t>
        </r>
      </text>
    </comment>
    <comment ref="AA26" authorId="0" shapeId="0" xr:uid="{00000000-0006-0000-1400-00000C000000}">
      <text>
        <r>
          <rPr>
            <b/>
            <sz val="9"/>
            <color indexed="81"/>
            <rFont val="Tahoma"/>
            <family val="2"/>
          </rPr>
          <t>intel:</t>
        </r>
        <r>
          <rPr>
            <sz val="9"/>
            <color indexed="81"/>
            <rFont val="Tahoma"/>
            <family val="2"/>
          </rPr>
          <t xml:space="preserve">
new 7/18/2023</t>
        </r>
      </text>
    </comment>
    <comment ref="R27" authorId="1" shapeId="0" xr:uid="{417E64B3-A4BE-44E9-873A-915365E0AC62}">
      <text>
        <r>
          <rPr>
            <b/>
            <sz val="9"/>
            <color indexed="81"/>
            <rFont val="Tahoma"/>
            <family val="2"/>
          </rPr>
          <t>Admin:</t>
        </r>
        <r>
          <rPr>
            <sz val="9"/>
            <color indexed="81"/>
            <rFont val="Tahoma"/>
            <family val="2"/>
          </rPr>
          <t xml:space="preserve">
new12/2023
</t>
        </r>
      </text>
    </comment>
    <comment ref="L30" authorId="1" shapeId="0" xr:uid="{8BFCE47D-A231-4E84-AC92-B912BE972795}">
      <text>
        <r>
          <rPr>
            <b/>
            <sz val="9"/>
            <color indexed="81"/>
            <rFont val="Tahoma"/>
            <family val="2"/>
          </rPr>
          <t>Admin:</t>
        </r>
        <r>
          <rPr>
            <sz val="9"/>
            <color indexed="81"/>
            <rFont val="Tahoma"/>
            <family val="2"/>
          </rPr>
          <t xml:space="preserve">
7/1/2024</t>
        </r>
      </text>
    </comment>
    <comment ref="Q30" authorId="2" shapeId="0" xr:uid="{00000000-0006-0000-1400-00000E000000}">
      <text>
        <r>
          <rPr>
            <b/>
            <sz val="9"/>
            <color indexed="81"/>
            <rFont val="Tahoma"/>
            <family val="2"/>
          </rPr>
          <t>user:</t>
        </r>
        <r>
          <rPr>
            <sz val="9"/>
            <color indexed="81"/>
            <rFont val="Tahoma"/>
            <family val="2"/>
          </rPr>
          <t xml:space="preserve">
for verification per gsis billing w/ existing loan</t>
        </r>
      </text>
    </comment>
    <comment ref="R30" authorId="2" shapeId="0" xr:uid="{00000000-0006-0000-1400-00000F000000}">
      <text>
        <r>
          <rPr>
            <b/>
            <sz val="9"/>
            <color indexed="81"/>
            <rFont val="Tahoma"/>
            <family val="2"/>
          </rPr>
          <t>user:</t>
        </r>
        <r>
          <rPr>
            <sz val="9"/>
            <color indexed="81"/>
            <rFont val="Tahoma"/>
            <family val="2"/>
          </rPr>
          <t xml:space="preserve">
renew 7/19/2022
</t>
        </r>
      </text>
    </comment>
    <comment ref="AC30" authorId="0" shapeId="0" xr:uid="{00000000-0006-0000-1400-000010000000}">
      <text>
        <r>
          <rPr>
            <b/>
            <sz val="9"/>
            <color indexed="81"/>
            <rFont val="Tahoma"/>
            <family val="2"/>
          </rPr>
          <t>intel:</t>
        </r>
        <r>
          <rPr>
            <sz val="9"/>
            <color indexed="81"/>
            <rFont val="Tahoma"/>
            <family val="2"/>
          </rPr>
          <t xml:space="preserve">
new 8/25/2022</t>
        </r>
      </text>
    </comment>
    <comment ref="AB36" authorId="0" shapeId="0" xr:uid="{00000000-0006-0000-1400-000011000000}">
      <text>
        <r>
          <rPr>
            <b/>
            <sz val="9"/>
            <color indexed="81"/>
            <rFont val="Tahoma"/>
            <family val="2"/>
          </rPr>
          <t>intel:</t>
        </r>
        <r>
          <rPr>
            <sz val="9"/>
            <color indexed="81"/>
            <rFont val="Tahoma"/>
            <family val="2"/>
          </rPr>
          <t xml:space="preserve">
new 10/24/22
</t>
        </r>
      </text>
    </comment>
    <comment ref="AA39" authorId="0" shapeId="0" xr:uid="{00000000-0006-0000-1400-000012000000}">
      <text>
        <r>
          <rPr>
            <b/>
            <sz val="9"/>
            <color indexed="81"/>
            <rFont val="Tahoma"/>
            <family val="2"/>
          </rPr>
          <t>intel:</t>
        </r>
        <r>
          <rPr>
            <sz val="9"/>
            <color indexed="81"/>
            <rFont val="Tahoma"/>
            <family val="2"/>
          </rPr>
          <t xml:space="preserve">
renew 3/16/2023</t>
        </r>
      </text>
    </comment>
    <comment ref="L43" authorId="1" shapeId="0" xr:uid="{CDC412DE-7A46-4E80-BA61-A8AB1194B201}">
      <text>
        <r>
          <rPr>
            <b/>
            <sz val="9"/>
            <color indexed="81"/>
            <rFont val="Tahoma"/>
            <family val="2"/>
          </rPr>
          <t>Admin:</t>
        </r>
        <r>
          <rPr>
            <sz val="9"/>
            <color indexed="81"/>
            <rFont val="Tahoma"/>
            <family val="2"/>
          </rPr>
          <t xml:space="preserve">
renew 8/2025</t>
        </r>
      </text>
    </comment>
    <comment ref="M43" authorId="0" shapeId="0" xr:uid="{00000000-0006-0000-1400-000014000000}">
      <text>
        <r>
          <rPr>
            <b/>
            <sz val="9"/>
            <color indexed="81"/>
            <rFont val="Tahoma"/>
            <family val="2"/>
          </rPr>
          <t>intel:
renew 3/2023</t>
        </r>
      </text>
    </comment>
    <comment ref="P43" authorId="0" shapeId="0" xr:uid="{00000000-0006-0000-1400-000015000000}">
      <text>
        <r>
          <rPr>
            <b/>
            <sz val="9"/>
            <color indexed="81"/>
            <rFont val="Tahoma"/>
            <family val="2"/>
          </rPr>
          <t>intel:</t>
        </r>
        <r>
          <rPr>
            <sz val="9"/>
            <color indexed="81"/>
            <rFont val="Tahoma"/>
            <family val="2"/>
          </rPr>
          <t xml:space="preserve">
RENEW</t>
        </r>
      </text>
    </comment>
    <comment ref="T43" authorId="0" shapeId="0" xr:uid="{00000000-0006-0000-1400-000016000000}">
      <text>
        <r>
          <rPr>
            <b/>
            <sz val="9"/>
            <color indexed="81"/>
            <rFont val="Tahoma"/>
            <family val="2"/>
          </rPr>
          <t>intel:</t>
        </r>
        <r>
          <rPr>
            <sz val="9"/>
            <color indexed="81"/>
            <rFont val="Tahoma"/>
            <family val="2"/>
          </rPr>
          <t xml:space="preserve">
16-31</t>
        </r>
      </text>
    </comment>
    <comment ref="AA43" authorId="0" shapeId="0" xr:uid="{00000000-0006-0000-1400-000017000000}">
      <text>
        <r>
          <rPr>
            <b/>
            <sz val="9"/>
            <color indexed="81"/>
            <rFont val="Tahoma"/>
            <family val="2"/>
          </rPr>
          <t>intel:</t>
        </r>
        <r>
          <rPr>
            <sz val="9"/>
            <color indexed="81"/>
            <rFont val="Tahoma"/>
            <family val="2"/>
          </rPr>
          <t xml:space="preserve">
renew 10/2022</t>
        </r>
      </text>
    </comment>
    <comment ref="L46" authorId="0" shapeId="0" xr:uid="{00000000-0006-0000-1400-00001A000000}">
      <text>
        <r>
          <rPr>
            <b/>
            <sz val="9"/>
            <color indexed="81"/>
            <rFont val="Tahoma"/>
            <family val="2"/>
          </rPr>
          <t>intel:</t>
        </r>
        <r>
          <rPr>
            <sz val="9"/>
            <color indexed="81"/>
            <rFont val="Tahoma"/>
            <family val="2"/>
          </rPr>
          <t xml:space="preserve">
renew 11/9/22</t>
        </r>
      </text>
    </comment>
    <comment ref="R46" authorId="1" shapeId="0" xr:uid="{F20EF713-FFBB-4770-9986-740AB13DDD55}">
      <text>
        <r>
          <rPr>
            <b/>
            <sz val="9"/>
            <color indexed="81"/>
            <rFont val="Tahoma"/>
            <family val="2"/>
          </rPr>
          <t>Admin:</t>
        </r>
        <r>
          <rPr>
            <sz val="9"/>
            <color indexed="81"/>
            <rFont val="Tahoma"/>
            <family val="2"/>
          </rPr>
          <t xml:space="preserve">
RENEW 07.15.2024</t>
        </r>
      </text>
    </comment>
    <comment ref="Q49" authorId="0" shapeId="0" xr:uid="{00000000-0006-0000-1400-00001C000000}">
      <text>
        <r>
          <rPr>
            <b/>
            <sz val="9"/>
            <color indexed="81"/>
            <rFont val="Tahoma"/>
            <family val="2"/>
          </rPr>
          <t>intel:</t>
        </r>
        <r>
          <rPr>
            <sz val="9"/>
            <color indexed="81"/>
            <rFont val="Tahoma"/>
            <family val="2"/>
          </rPr>
          <t xml:space="preserve">
moved to 16-31</t>
        </r>
      </text>
    </comment>
    <comment ref="R49" authorId="0" shapeId="0" xr:uid="{00000000-0006-0000-1400-00001D000000}">
      <text>
        <r>
          <rPr>
            <b/>
            <sz val="9"/>
            <color indexed="81"/>
            <rFont val="Tahoma"/>
            <family val="2"/>
          </rPr>
          <t>intel:</t>
        </r>
        <r>
          <rPr>
            <sz val="9"/>
            <color indexed="81"/>
            <rFont val="Tahoma"/>
            <family val="2"/>
          </rPr>
          <t xml:space="preserve">
moved to 16-31</t>
        </r>
      </text>
    </comment>
    <comment ref="AA49" authorId="0" shapeId="0" xr:uid="{00000000-0006-0000-1400-00001E000000}">
      <text>
        <r>
          <rPr>
            <b/>
            <sz val="9"/>
            <color indexed="81"/>
            <rFont val="Tahoma"/>
            <family val="2"/>
          </rPr>
          <t>intel:</t>
        </r>
        <r>
          <rPr>
            <sz val="9"/>
            <color indexed="81"/>
            <rFont val="Tahoma"/>
            <family val="2"/>
          </rPr>
          <t xml:space="preserve">
new 4/17/23</t>
        </r>
      </text>
    </comment>
    <comment ref="R53" authorId="0" shapeId="0" xr:uid="{00000000-0006-0000-1400-000020000000}">
      <text>
        <r>
          <rPr>
            <b/>
            <sz val="9"/>
            <color indexed="81"/>
            <rFont val="Tahoma"/>
            <family val="2"/>
          </rPr>
          <t>intel:</t>
        </r>
        <r>
          <rPr>
            <sz val="9"/>
            <color indexed="81"/>
            <rFont val="Tahoma"/>
            <family val="2"/>
          </rPr>
          <t xml:space="preserve">
NEW</t>
        </r>
      </text>
    </comment>
    <comment ref="AB54" authorId="0" shapeId="0" xr:uid="{00000000-0006-0000-1400-000021000000}">
      <text>
        <r>
          <rPr>
            <b/>
            <sz val="9"/>
            <color indexed="81"/>
            <rFont val="Tahoma"/>
            <family val="2"/>
          </rPr>
          <t>intel:</t>
        </r>
        <r>
          <rPr>
            <sz val="9"/>
            <color indexed="81"/>
            <rFont val="Tahoma"/>
            <family val="2"/>
          </rPr>
          <t xml:space="preserve">
new</t>
        </r>
      </text>
    </comment>
    <comment ref="AB55" authorId="0" shapeId="0" xr:uid="{00000000-0006-0000-1400-000022000000}">
      <text>
        <r>
          <rPr>
            <b/>
            <sz val="9"/>
            <color indexed="81"/>
            <rFont val="Tahoma"/>
            <family val="2"/>
          </rPr>
          <t>intel:</t>
        </r>
        <r>
          <rPr>
            <sz val="9"/>
            <color indexed="81"/>
            <rFont val="Tahoma"/>
            <family val="2"/>
          </rPr>
          <t xml:space="preserve">
new 10/06/22
</t>
        </r>
      </text>
    </comment>
    <comment ref="R61" authorId="1" shapeId="0" xr:uid="{25F45AAD-449A-44CA-BC4E-04456FCBEEF8}">
      <text>
        <r>
          <rPr>
            <b/>
            <sz val="9"/>
            <color indexed="81"/>
            <rFont val="Tahoma"/>
            <family val="2"/>
          </rPr>
          <t>Admin:</t>
        </r>
        <r>
          <rPr>
            <sz val="9"/>
            <color indexed="81"/>
            <rFont val="Tahoma"/>
            <family val="2"/>
          </rPr>
          <t xml:space="preserve">
8/2025</t>
        </r>
      </text>
    </comment>
    <comment ref="K66" authorId="0" shapeId="0" xr:uid="{00000000-0006-0000-1400-000023000000}">
      <text>
        <r>
          <rPr>
            <b/>
            <sz val="9"/>
            <color indexed="81"/>
            <rFont val="Tahoma"/>
            <family val="2"/>
          </rPr>
          <t>intel:</t>
        </r>
        <r>
          <rPr>
            <sz val="9"/>
            <color indexed="81"/>
            <rFont val="Tahoma"/>
            <family val="2"/>
          </rPr>
          <t xml:space="preserve">
renew</t>
        </r>
      </text>
    </comment>
    <comment ref="L66" authorId="0" shapeId="0" xr:uid="{00000000-0006-0000-1400-000024000000}">
      <text>
        <r>
          <rPr>
            <b/>
            <sz val="9"/>
            <color indexed="81"/>
            <rFont val="Tahoma"/>
            <family val="2"/>
          </rPr>
          <t>intel:</t>
        </r>
        <r>
          <rPr>
            <sz val="9"/>
            <color indexed="81"/>
            <rFont val="Tahoma"/>
            <family val="2"/>
          </rPr>
          <t xml:space="preserve">
renew 11/9/22</t>
        </r>
      </text>
    </comment>
    <comment ref="AC66" authorId="1" shapeId="0" xr:uid="{D82FA673-A7A7-41AC-9C94-5C25F029C9CA}">
      <text>
        <r>
          <rPr>
            <b/>
            <sz val="9"/>
            <color indexed="81"/>
            <rFont val="Tahoma"/>
            <family val="2"/>
          </rPr>
          <t>Admin:</t>
        </r>
        <r>
          <rPr>
            <sz val="9"/>
            <color indexed="81"/>
            <rFont val="Tahoma"/>
            <family val="2"/>
          </rPr>
          <t xml:space="preserve">
renewed
start of ded (june'25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intel</author>
    <author>User</author>
    <author>Admin</author>
  </authors>
  <commentList>
    <comment ref="R12" authorId="0" shapeId="0" xr:uid="{291C3C13-C350-4539-AF08-9831764FDB43}">
      <text>
        <r>
          <rPr>
            <b/>
            <sz val="9"/>
            <color indexed="81"/>
            <rFont val="Tahoma"/>
            <family val="2"/>
          </rPr>
          <t>user:</t>
        </r>
        <r>
          <rPr>
            <sz val="9"/>
            <color indexed="81"/>
            <rFont val="Tahoma"/>
            <family val="2"/>
          </rPr>
          <t xml:space="preserve">
for verification per gsis billing w/ existing loan</t>
        </r>
      </text>
    </comment>
    <comment ref="S12" authorId="1" shapeId="0" xr:uid="{306B3D65-0710-43B4-95EB-243E55742403}">
      <text>
        <r>
          <rPr>
            <b/>
            <sz val="9"/>
            <color indexed="81"/>
            <rFont val="Tahoma"/>
            <family val="2"/>
          </rPr>
          <t>intel:</t>
        </r>
        <r>
          <rPr>
            <sz val="9"/>
            <color indexed="81"/>
            <rFont val="Tahoma"/>
            <family val="2"/>
          </rPr>
          <t xml:space="preserve">
renew 06/19/2024</t>
        </r>
      </text>
    </comment>
    <comment ref="O13" authorId="1" shapeId="0" xr:uid="{DAFDA2DC-6E28-4F6B-95B5-44C412E08BB0}">
      <text>
        <r>
          <rPr>
            <b/>
            <sz val="9"/>
            <color indexed="81"/>
            <rFont val="Tahoma"/>
            <family val="2"/>
          </rPr>
          <t>intel:</t>
        </r>
        <r>
          <rPr>
            <sz val="9"/>
            <color indexed="81"/>
            <rFont val="Tahoma"/>
            <family val="2"/>
          </rPr>
          <t xml:space="preserve">
renew 07/26/2024
</t>
        </r>
      </text>
    </comment>
    <comment ref="AC14" authorId="1" shapeId="0" xr:uid="{617C2C06-2691-4AAE-97D1-260F8025024E}">
      <text>
        <r>
          <rPr>
            <b/>
            <sz val="9"/>
            <color indexed="81"/>
            <rFont val="Tahoma"/>
            <family val="2"/>
          </rPr>
          <t>intel:</t>
        </r>
        <r>
          <rPr>
            <sz val="9"/>
            <color indexed="81"/>
            <rFont val="Tahoma"/>
            <family val="2"/>
          </rPr>
          <t xml:space="preserve">
renew 6/2023</t>
        </r>
      </text>
    </comment>
    <comment ref="R15" authorId="2" shapeId="0" xr:uid="{C43A8E29-4A37-4DD7-A65D-4FD243C0D8D4}">
      <text>
        <r>
          <rPr>
            <b/>
            <sz val="9"/>
            <color indexed="81"/>
            <rFont val="Tahoma"/>
            <family val="2"/>
          </rPr>
          <t>User:</t>
        </r>
        <r>
          <rPr>
            <sz val="9"/>
            <color indexed="81"/>
            <rFont val="Tahoma"/>
            <family val="2"/>
          </rPr>
          <t xml:space="preserve">
move to 16-31
</t>
        </r>
      </text>
    </comment>
    <comment ref="S15" authorId="1" shapeId="0" xr:uid="{1E46ABAA-0BE9-460C-BF0D-E3736A0B3649}">
      <text>
        <r>
          <rPr>
            <b/>
            <sz val="9"/>
            <color indexed="81"/>
            <rFont val="Tahoma"/>
            <family val="2"/>
          </rPr>
          <t>intel:</t>
        </r>
        <r>
          <rPr>
            <sz val="9"/>
            <color indexed="81"/>
            <rFont val="Tahoma"/>
            <family val="2"/>
          </rPr>
          <t xml:space="preserve">
moved to 16-31</t>
        </r>
      </text>
    </comment>
    <comment ref="AC17" authorId="1" shapeId="0" xr:uid="{137FF340-8967-4F7C-8487-E36986CA369B}">
      <text>
        <r>
          <rPr>
            <b/>
            <sz val="9"/>
            <color indexed="81"/>
            <rFont val="Tahoma"/>
            <family val="2"/>
          </rPr>
          <t>intel:</t>
        </r>
        <r>
          <rPr>
            <sz val="9"/>
            <color indexed="81"/>
            <rFont val="Tahoma"/>
            <family val="2"/>
          </rPr>
          <t xml:space="preserve">
renew 2/2025</t>
        </r>
      </text>
    </comment>
    <comment ref="S18" authorId="1" shapeId="0" xr:uid="{CDB7CE95-7D59-4B09-8C13-19F99FC352A2}">
      <text>
        <r>
          <rPr>
            <b/>
            <sz val="9"/>
            <color indexed="81"/>
            <rFont val="Tahoma"/>
            <family val="2"/>
          </rPr>
          <t>intel:</t>
        </r>
        <r>
          <rPr>
            <sz val="9"/>
            <color indexed="81"/>
            <rFont val="Tahoma"/>
            <family val="2"/>
          </rPr>
          <t xml:space="preserve">
renew 7/29/2024</t>
        </r>
      </text>
    </comment>
    <comment ref="AA18" authorId="1" shapeId="0" xr:uid="{C9493AD6-10B2-4D4A-9B52-E2F93683877C}">
      <text>
        <r>
          <rPr>
            <b/>
            <sz val="9"/>
            <color indexed="81"/>
            <rFont val="Tahoma"/>
            <family val="2"/>
          </rPr>
          <t>intel:</t>
        </r>
        <r>
          <rPr>
            <sz val="9"/>
            <color indexed="81"/>
            <rFont val="Tahoma"/>
            <family val="2"/>
          </rPr>
          <t xml:space="preserve">
renew 6.2025</t>
        </r>
      </text>
    </comment>
    <comment ref="AB18" authorId="1" shapeId="0" xr:uid="{37D90EDE-3502-4685-B918-1F38EE698518}">
      <text>
        <r>
          <rPr>
            <b/>
            <sz val="9"/>
            <color indexed="81"/>
            <rFont val="Tahoma"/>
            <family val="2"/>
          </rPr>
          <t>intel:</t>
        </r>
        <r>
          <rPr>
            <sz val="9"/>
            <color indexed="81"/>
            <rFont val="Tahoma"/>
            <family val="2"/>
          </rPr>
          <t xml:space="preserve">
renew</t>
        </r>
      </text>
    </comment>
    <comment ref="Q19" authorId="1" shapeId="0" xr:uid="{CCAEB39A-F43B-4F82-ADEE-3263001F3E3B}">
      <text>
        <r>
          <rPr>
            <b/>
            <sz val="9"/>
            <color indexed="81"/>
            <rFont val="Tahoma"/>
            <family val="2"/>
          </rPr>
          <t>intel:</t>
        </r>
        <r>
          <rPr>
            <sz val="9"/>
            <color indexed="81"/>
            <rFont val="Tahoma"/>
            <family val="2"/>
          </rPr>
          <t xml:space="preserve">
new 7/2023</t>
        </r>
      </text>
    </comment>
    <comment ref="AB19" authorId="1" shapeId="0" xr:uid="{7076BA77-2812-4556-99B8-EAB3EE31A689}">
      <text>
        <r>
          <rPr>
            <b/>
            <sz val="9"/>
            <color indexed="81"/>
            <rFont val="Tahoma"/>
            <family val="2"/>
          </rPr>
          <t>intel:</t>
        </r>
        <r>
          <rPr>
            <sz val="9"/>
            <color indexed="81"/>
            <rFont val="Tahoma"/>
            <family val="2"/>
          </rPr>
          <t xml:space="preserve">
renew</t>
        </r>
      </text>
    </comment>
    <comment ref="S25" authorId="1" shapeId="0" xr:uid="{09D87ECC-A9E6-4A29-A8D2-9732810C21DA}">
      <text>
        <r>
          <rPr>
            <b/>
            <sz val="9"/>
            <color indexed="81"/>
            <rFont val="Tahoma"/>
            <family val="2"/>
          </rPr>
          <t>intel:</t>
        </r>
        <r>
          <rPr>
            <sz val="9"/>
            <color indexed="81"/>
            <rFont val="Tahoma"/>
            <family val="2"/>
          </rPr>
          <t xml:space="preserve">
new 3/2023</t>
        </r>
      </text>
    </comment>
    <comment ref="AA25" authorId="3" shapeId="0" xr:uid="{F8389EC4-E7DB-4316-AD57-1682355E18BF}">
      <text>
        <r>
          <rPr>
            <b/>
            <sz val="9"/>
            <color indexed="81"/>
            <rFont val="Tahoma"/>
            <family val="2"/>
          </rPr>
          <t>Admin:</t>
        </r>
        <r>
          <rPr>
            <sz val="9"/>
            <color indexed="81"/>
            <rFont val="Tahoma"/>
            <family val="2"/>
          </rPr>
          <t xml:space="preserve">
renew 10/3/2023</t>
        </r>
      </text>
    </comment>
    <comment ref="AB25" authorId="1" shapeId="0" xr:uid="{93F84363-919C-47BE-8C24-8BC0C8448D9E}">
      <text>
        <r>
          <rPr>
            <b/>
            <sz val="9"/>
            <color indexed="81"/>
            <rFont val="Tahoma"/>
            <family val="2"/>
          </rPr>
          <t>intel:</t>
        </r>
        <r>
          <rPr>
            <sz val="9"/>
            <color indexed="81"/>
            <rFont val="Tahoma"/>
            <family val="2"/>
          </rPr>
          <t xml:space="preserve">
renew 6/2025
</t>
        </r>
      </text>
    </comment>
    <comment ref="AA28" authorId="1" shapeId="0" xr:uid="{29A2DB0C-F86F-41B2-88BC-CDF4E8D7F719}">
      <text>
        <r>
          <rPr>
            <b/>
            <sz val="9"/>
            <color indexed="81"/>
            <rFont val="Tahoma"/>
            <family val="2"/>
          </rPr>
          <t>intel:</t>
        </r>
        <r>
          <rPr>
            <sz val="9"/>
            <color indexed="81"/>
            <rFont val="Tahoma"/>
            <family val="2"/>
          </rPr>
          <t xml:space="preserve">
new 5/16/23</t>
        </r>
      </text>
    </comment>
    <comment ref="N35" authorId="1" shapeId="0" xr:uid="{67C20189-5F7D-4E7E-9BDF-DEC713511FFA}">
      <text>
        <r>
          <rPr>
            <b/>
            <sz val="9"/>
            <color indexed="81"/>
            <rFont val="Tahoma"/>
            <family val="2"/>
          </rPr>
          <t>intel:</t>
        </r>
        <r>
          <rPr>
            <sz val="9"/>
            <color indexed="81"/>
            <rFont val="Tahoma"/>
            <family val="2"/>
          </rPr>
          <t xml:space="preserve">
move to 16-31</t>
        </r>
      </text>
    </comment>
    <comment ref="O35" authorId="1" shapeId="0" xr:uid="{35177681-B63D-48C4-89EA-5451A2EEB3AE}">
      <text>
        <r>
          <rPr>
            <b/>
            <sz val="9"/>
            <color indexed="81"/>
            <rFont val="Tahoma"/>
            <family val="2"/>
          </rPr>
          <t>intel:</t>
        </r>
        <r>
          <rPr>
            <sz val="9"/>
            <color indexed="81"/>
            <rFont val="Tahoma"/>
            <family val="2"/>
          </rPr>
          <t xml:space="preserve">
move to 16-31</t>
        </r>
      </text>
    </comment>
    <comment ref="AA35" authorId="1" shapeId="0" xr:uid="{BD6E6F0B-047F-4BBA-8A75-06A06DE705A8}">
      <text>
        <r>
          <rPr>
            <b/>
            <sz val="9"/>
            <color indexed="81"/>
            <rFont val="Tahoma"/>
            <family val="2"/>
          </rPr>
          <t>intel:</t>
        </r>
        <r>
          <rPr>
            <sz val="9"/>
            <color indexed="81"/>
            <rFont val="Tahoma"/>
            <family val="2"/>
          </rPr>
          <t xml:space="preserve">
new</t>
        </r>
      </text>
    </comment>
    <comment ref="O37" authorId="1" shapeId="0" xr:uid="{FBBC6D69-6E83-4215-9AEF-20E70E172C32}">
      <text>
        <r>
          <rPr>
            <b/>
            <sz val="9"/>
            <color indexed="81"/>
            <rFont val="Tahoma"/>
            <family val="2"/>
          </rPr>
          <t>intel:</t>
        </r>
        <r>
          <rPr>
            <sz val="9"/>
            <color indexed="81"/>
            <rFont val="Tahoma"/>
            <family val="2"/>
          </rPr>
          <t xml:space="preserve">
8/2025</t>
        </r>
      </text>
    </comment>
    <comment ref="O38" authorId="1" shapeId="0" xr:uid="{24866B5F-1C77-4D39-BBDF-A2F2ABAD57E8}">
      <text>
        <r>
          <rPr>
            <b/>
            <sz val="9"/>
            <color indexed="81"/>
            <rFont val="Tahoma"/>
            <family val="2"/>
          </rPr>
          <t>intel:</t>
        </r>
        <r>
          <rPr>
            <sz val="9"/>
            <color indexed="81"/>
            <rFont val="Tahoma"/>
            <family val="2"/>
          </rPr>
          <t xml:space="preserve">
renew 07/26/2024</t>
        </r>
      </text>
    </comment>
    <comment ref="AC38" authorId="1" shapeId="0" xr:uid="{0953FB0E-2B87-4C88-83F7-D60F422A0099}">
      <text>
        <r>
          <rPr>
            <b/>
            <sz val="9"/>
            <color indexed="81"/>
            <rFont val="Tahoma"/>
            <family val="2"/>
          </rPr>
          <t>intel:</t>
        </r>
        <r>
          <rPr>
            <sz val="9"/>
            <color indexed="81"/>
            <rFont val="Tahoma"/>
            <family val="2"/>
          </rPr>
          <t xml:space="preserve">
fully paid</t>
        </r>
      </text>
    </comment>
    <comment ref="AA39" authorId="1" shapeId="0" xr:uid="{8AB40C78-D3B6-4C3B-A648-D88A555C0771}">
      <text>
        <r>
          <rPr>
            <b/>
            <sz val="9"/>
            <color indexed="81"/>
            <rFont val="Tahoma"/>
            <family val="2"/>
          </rPr>
          <t>intel:</t>
        </r>
        <r>
          <rPr>
            <sz val="9"/>
            <color indexed="81"/>
            <rFont val="Tahoma"/>
            <family val="2"/>
          </rPr>
          <t xml:space="preserve">
new 2/15/23</t>
        </r>
      </text>
    </comment>
    <comment ref="S44" authorId="1" shapeId="0" xr:uid="{D59C697B-F350-4921-B72F-5D6ACA74495A}">
      <text>
        <r>
          <rPr>
            <b/>
            <sz val="9"/>
            <color indexed="81"/>
            <rFont val="Tahoma"/>
            <family val="2"/>
          </rPr>
          <t>intel:</t>
        </r>
        <r>
          <rPr>
            <sz val="9"/>
            <color indexed="81"/>
            <rFont val="Tahoma"/>
            <family val="2"/>
          </rPr>
          <t xml:space="preserve">
new 6/1/2023</t>
        </r>
      </text>
    </comment>
    <comment ref="AA44" authorId="1" shapeId="0" xr:uid="{19091DCC-E68B-4935-98AE-B46751FBEE69}">
      <text>
        <r>
          <rPr>
            <b/>
            <sz val="9"/>
            <color indexed="81"/>
            <rFont val="Tahoma"/>
            <family val="2"/>
          </rPr>
          <t>intel:</t>
        </r>
        <r>
          <rPr>
            <sz val="9"/>
            <color indexed="81"/>
            <rFont val="Tahoma"/>
            <family val="2"/>
          </rPr>
          <t xml:space="preserve">
renew</t>
        </r>
      </text>
    </comment>
    <comment ref="AB47" authorId="1" shapeId="0" xr:uid="{91B1A607-8F55-43F6-93F5-9CB82499B501}">
      <text>
        <r>
          <rPr>
            <b/>
            <sz val="9"/>
            <color indexed="81"/>
            <rFont val="Tahoma"/>
            <family val="2"/>
          </rPr>
          <t>intel:</t>
        </r>
        <r>
          <rPr>
            <sz val="9"/>
            <color indexed="81"/>
            <rFont val="Tahoma"/>
            <family val="2"/>
          </rPr>
          <t xml:space="preserve">
new 10/7/22</t>
        </r>
      </text>
    </comment>
    <comment ref="S53" authorId="3" shapeId="0" xr:uid="{D47FCBBF-7551-4859-B079-A2D115E8D1B5}">
      <text>
        <r>
          <rPr>
            <b/>
            <sz val="9"/>
            <color indexed="81"/>
            <rFont val="Tahoma"/>
            <family val="2"/>
          </rPr>
          <t>Admin:</t>
        </r>
        <r>
          <rPr>
            <sz val="9"/>
            <color indexed="81"/>
            <rFont val="Tahoma"/>
            <family val="2"/>
          </rPr>
          <t xml:space="preserve">
renew 1/23/2024</t>
        </r>
      </text>
    </comment>
    <comment ref="AB54" authorId="1" shapeId="0" xr:uid="{EFFB2BD4-ED42-4103-A6D5-DD705D6298DF}">
      <text>
        <r>
          <rPr>
            <b/>
            <sz val="9"/>
            <color indexed="81"/>
            <rFont val="Tahoma"/>
            <family val="2"/>
          </rPr>
          <t>intel:</t>
        </r>
        <r>
          <rPr>
            <sz val="9"/>
            <color indexed="81"/>
            <rFont val="Tahoma"/>
            <family val="2"/>
          </rPr>
          <t xml:space="preserve">
renew 12/16/22</t>
        </r>
      </text>
    </comment>
    <comment ref="AB55" authorId="1" shapeId="0" xr:uid="{8E6D67AE-EBE8-4DC0-9EC1-B7403FB1CEC4}">
      <text>
        <r>
          <rPr>
            <b/>
            <sz val="9"/>
            <color indexed="81"/>
            <rFont val="Tahoma"/>
            <family val="2"/>
          </rPr>
          <t>intel:</t>
        </r>
        <r>
          <rPr>
            <sz val="9"/>
            <color indexed="81"/>
            <rFont val="Tahoma"/>
            <family val="2"/>
          </rPr>
          <t xml:space="preserve">
new 4/2022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intel</author>
    <author>Admin</author>
  </authors>
  <commentList>
    <comment ref="AA22" authorId="0" shapeId="0" xr:uid="{00000000-0006-0000-1600-000006000000}">
      <text>
        <r>
          <rPr>
            <b/>
            <sz val="9"/>
            <color indexed="81"/>
            <rFont val="Tahoma"/>
            <family val="2"/>
          </rPr>
          <t>intel:</t>
        </r>
        <r>
          <rPr>
            <sz val="9"/>
            <color indexed="81"/>
            <rFont val="Tahoma"/>
            <family val="2"/>
          </rPr>
          <t xml:space="preserve">
new 10/2022
</t>
        </r>
      </text>
    </comment>
    <comment ref="J28" authorId="0" shapeId="0" xr:uid="{461AC784-0AA1-44A8-B8F6-3424EA32C323}">
      <text>
        <r>
          <rPr>
            <b/>
            <sz val="9"/>
            <color indexed="81"/>
            <rFont val="Tahoma"/>
            <family val="2"/>
          </rPr>
          <t>intel:</t>
        </r>
        <r>
          <rPr>
            <sz val="9"/>
            <color indexed="81"/>
            <rFont val="Tahoma"/>
            <family val="2"/>
          </rPr>
          <t xml:space="preserve">
renew 8/2025</t>
        </r>
      </text>
    </comment>
    <comment ref="AA28" authorId="0" shapeId="0" xr:uid="{00000000-0006-0000-1600-000009000000}">
      <text>
        <r>
          <rPr>
            <b/>
            <sz val="9"/>
            <color indexed="81"/>
            <rFont val="Tahoma"/>
            <family val="2"/>
          </rPr>
          <t>intel:</t>
        </r>
        <r>
          <rPr>
            <sz val="9"/>
            <color indexed="81"/>
            <rFont val="Tahoma"/>
            <family val="2"/>
          </rPr>
          <t xml:space="preserve">
new 3/15/23</t>
        </r>
      </text>
    </comment>
    <comment ref="AD28" authorId="0" shapeId="0" xr:uid="{00000000-0006-0000-1600-00000A000000}">
      <text>
        <r>
          <rPr>
            <b/>
            <sz val="9"/>
            <color indexed="81"/>
            <rFont val="Tahoma"/>
            <family val="2"/>
          </rPr>
          <t>intel:</t>
        </r>
        <r>
          <rPr>
            <sz val="9"/>
            <color indexed="81"/>
            <rFont val="Tahoma"/>
            <family val="2"/>
          </rPr>
          <t xml:space="preserve">
trnsfr to 16-31</t>
        </r>
      </text>
    </comment>
    <comment ref="J29" authorId="0" shapeId="0" xr:uid="{00000000-0006-0000-1600-00000B000000}">
      <text>
        <r>
          <rPr>
            <b/>
            <sz val="9"/>
            <color indexed="81"/>
            <rFont val="Tahoma"/>
            <family val="2"/>
          </rPr>
          <t>intel:</t>
        </r>
        <r>
          <rPr>
            <sz val="9"/>
            <color indexed="81"/>
            <rFont val="Tahoma"/>
            <family val="2"/>
          </rPr>
          <t xml:space="preserve">
renew 11/9/22</t>
        </r>
      </text>
    </comment>
    <comment ref="Q32" authorId="1" shapeId="0" xr:uid="{77526D39-4BF0-4C4A-B6D6-75E2E787C777}">
      <text>
        <r>
          <rPr>
            <b/>
            <sz val="9"/>
            <color indexed="81"/>
            <rFont val="Tahoma"/>
            <family val="2"/>
          </rPr>
          <t>Admin:</t>
        </r>
        <r>
          <rPr>
            <sz val="9"/>
            <color indexed="81"/>
            <rFont val="Tahoma"/>
            <family val="2"/>
          </rPr>
          <t xml:space="preserve">
07.2024</t>
        </r>
      </text>
    </comment>
    <comment ref="J38" authorId="0" shapeId="0" xr:uid="{00000000-0006-0000-1600-000001000000}">
      <text>
        <r>
          <rPr>
            <b/>
            <sz val="9"/>
            <color indexed="81"/>
            <rFont val="Tahoma"/>
            <family val="2"/>
          </rPr>
          <t>intel:</t>
        </r>
        <r>
          <rPr>
            <sz val="9"/>
            <color indexed="81"/>
            <rFont val="Tahoma"/>
            <family val="2"/>
          </rPr>
          <t xml:space="preserve">
renew</t>
        </r>
      </text>
    </comment>
    <comment ref="M38" authorId="0" shapeId="0" xr:uid="{00000000-0006-0000-1600-000002000000}">
      <text>
        <r>
          <rPr>
            <b/>
            <sz val="9"/>
            <color indexed="81"/>
            <rFont val="Tahoma"/>
            <family val="2"/>
          </rPr>
          <t>intel:</t>
        </r>
        <r>
          <rPr>
            <sz val="9"/>
            <color indexed="81"/>
            <rFont val="Tahoma"/>
            <family val="2"/>
          </rPr>
          <t xml:space="preserve">
renew 8/19/2022</t>
        </r>
      </text>
    </comment>
    <comment ref="Q40" authorId="0" shapeId="0" xr:uid="{00000000-0006-0000-1600-00000F000000}">
      <text>
        <r>
          <rPr>
            <b/>
            <sz val="9"/>
            <color indexed="81"/>
            <rFont val="Tahoma"/>
            <family val="2"/>
          </rPr>
          <t>intel:</t>
        </r>
        <r>
          <rPr>
            <sz val="9"/>
            <color indexed="81"/>
            <rFont val="Tahoma"/>
            <family val="2"/>
          </rPr>
          <t xml:space="preserve">
new 9/23/2024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intel</author>
    <author>Admin</author>
  </authors>
  <commentList>
    <comment ref="M15" authorId="0" shapeId="0" xr:uid="{00000000-0006-0000-1700-000001000000}">
      <text>
        <r>
          <rPr>
            <b/>
            <sz val="9"/>
            <color indexed="81"/>
            <rFont val="Tahoma"/>
            <family val="2"/>
          </rPr>
          <t>intel:</t>
        </r>
        <r>
          <rPr>
            <sz val="9"/>
            <color indexed="81"/>
            <rFont val="Tahoma"/>
            <family val="2"/>
          </rPr>
          <t xml:space="preserve">
renew 7/26/24</t>
        </r>
      </text>
    </comment>
    <comment ref="Z15" authorId="0" shapeId="0" xr:uid="{00000000-0006-0000-1700-000002000000}">
      <text>
        <r>
          <rPr>
            <b/>
            <sz val="9"/>
            <color indexed="81"/>
            <rFont val="Tahoma"/>
            <family val="2"/>
          </rPr>
          <t>intel:</t>
        </r>
        <r>
          <rPr>
            <sz val="9"/>
            <color indexed="81"/>
            <rFont val="Tahoma"/>
            <family val="2"/>
          </rPr>
          <t xml:space="preserve">
renew10/2023</t>
        </r>
      </text>
    </comment>
    <comment ref="AC15" authorId="0" shapeId="0" xr:uid="{00000000-0006-0000-1700-000003000000}">
      <text>
        <r>
          <rPr>
            <b/>
            <sz val="9"/>
            <color indexed="81"/>
            <rFont val="Tahoma"/>
            <family val="2"/>
          </rPr>
          <t>intel:</t>
        </r>
        <r>
          <rPr>
            <sz val="9"/>
            <color indexed="81"/>
            <rFont val="Tahoma"/>
            <family val="2"/>
          </rPr>
          <t xml:space="preserve">
renew</t>
        </r>
      </text>
    </comment>
    <comment ref="Z16" authorId="1" shapeId="0" xr:uid="{20FE028B-4404-46F3-AC35-A18FAF6BB1FF}">
      <text>
        <r>
          <rPr>
            <b/>
            <sz val="9"/>
            <color indexed="81"/>
            <rFont val="Tahoma"/>
            <family val="2"/>
          </rPr>
          <t>Admin:</t>
        </r>
        <r>
          <rPr>
            <sz val="9"/>
            <color indexed="81"/>
            <rFont val="Tahoma"/>
            <family val="2"/>
          </rPr>
          <t xml:space="preserve">
renew7/2025</t>
        </r>
      </text>
    </comment>
    <comment ref="M21" authorId="1" shapeId="0" xr:uid="{ECE020A8-EEC2-45B5-BE32-EDF167878A5B}">
      <text>
        <r>
          <rPr>
            <b/>
            <sz val="9"/>
            <color indexed="81"/>
            <rFont val="Tahoma"/>
            <family val="2"/>
          </rPr>
          <t>Admin:</t>
        </r>
        <r>
          <rPr>
            <sz val="9"/>
            <color indexed="81"/>
            <rFont val="Tahoma"/>
            <family val="2"/>
          </rPr>
          <t xml:space="preserve">
new 7/24/2024</t>
        </r>
      </text>
    </comment>
    <comment ref="AC21" authorId="0" shapeId="0" xr:uid="{E0AA3CD0-9286-48BC-A1E4-81CEE7D8C714}">
      <text>
        <r>
          <rPr>
            <b/>
            <sz val="9"/>
            <color indexed="81"/>
            <rFont val="Tahoma"/>
            <family val="2"/>
          </rPr>
          <t>intel:</t>
        </r>
        <r>
          <rPr>
            <sz val="9"/>
            <color indexed="81"/>
            <rFont val="Tahoma"/>
            <family val="2"/>
          </rPr>
          <t xml:space="preserve">
new</t>
        </r>
      </text>
    </comment>
    <comment ref="O27" authorId="0" shapeId="0" xr:uid="{00000000-0006-0000-1700-000004000000}">
      <text>
        <r>
          <rPr>
            <b/>
            <sz val="9"/>
            <color indexed="81"/>
            <rFont val="Tahoma"/>
            <family val="2"/>
          </rPr>
          <t xml:space="preserve">renew 2/27/2023
</t>
        </r>
      </text>
    </comment>
    <comment ref="Z27" authorId="1" shapeId="0" xr:uid="{EC9D5514-77A9-48CB-9438-F5323964E4BA}">
      <text>
        <r>
          <rPr>
            <b/>
            <sz val="9"/>
            <color indexed="81"/>
            <rFont val="Tahoma"/>
            <family val="2"/>
          </rPr>
          <t>Admin:</t>
        </r>
        <r>
          <rPr>
            <sz val="9"/>
            <color indexed="81"/>
            <rFont val="Tahoma"/>
            <family val="2"/>
          </rPr>
          <t xml:space="preserve">
renew7/2025</t>
        </r>
      </text>
    </comment>
    <comment ref="AC27" authorId="0" shapeId="0" xr:uid="{00000000-0006-0000-1700-000005000000}">
      <text>
        <r>
          <rPr>
            <b/>
            <sz val="9"/>
            <color indexed="81"/>
            <rFont val="Tahoma"/>
            <family val="2"/>
          </rPr>
          <t>intel:</t>
        </r>
        <r>
          <rPr>
            <sz val="9"/>
            <color indexed="81"/>
            <rFont val="Tahoma"/>
            <family val="2"/>
          </rPr>
          <t xml:space="preserve">
renew 9/2022</t>
        </r>
      </text>
    </comment>
    <comment ref="R28" authorId="0" shapeId="0" xr:uid="{00000000-0006-0000-1700-000007000000}">
      <text>
        <r>
          <rPr>
            <b/>
            <sz val="9"/>
            <color indexed="81"/>
            <rFont val="Tahoma"/>
            <family val="2"/>
          </rPr>
          <t>intel:</t>
        </r>
        <r>
          <rPr>
            <sz val="9"/>
            <color indexed="81"/>
            <rFont val="Tahoma"/>
            <family val="2"/>
          </rPr>
          <t xml:space="preserve">
for OR</t>
        </r>
      </text>
    </comment>
    <comment ref="S28" authorId="1" shapeId="0" xr:uid="{1F230445-3DC2-4E30-9530-4AB1C0FB14C4}">
      <text>
        <r>
          <rPr>
            <b/>
            <sz val="9"/>
            <color indexed="81"/>
            <rFont val="Tahoma"/>
            <family val="2"/>
          </rPr>
          <t>Admin:</t>
        </r>
        <r>
          <rPr>
            <sz val="9"/>
            <color indexed="81"/>
            <rFont val="Tahoma"/>
            <family val="2"/>
          </rPr>
          <t xml:space="preserve">
renew 7/1/2025</t>
        </r>
      </text>
    </comment>
    <comment ref="Z28" authorId="1" shapeId="0" xr:uid="{D07E0AD6-DC5C-4B3C-9107-E845C14AED7F}">
      <text>
        <r>
          <rPr>
            <b/>
            <sz val="9"/>
            <color indexed="81"/>
            <rFont val="Tahoma"/>
            <family val="2"/>
          </rPr>
          <t>Admin:</t>
        </r>
        <r>
          <rPr>
            <sz val="9"/>
            <color indexed="81"/>
            <rFont val="Tahoma"/>
            <family val="2"/>
          </rPr>
          <t xml:space="preserve">
renew 7/2025</t>
        </r>
      </text>
    </comment>
    <comment ref="S29" authorId="1" shapeId="0" xr:uid="{640E08C8-58C0-4893-8D58-32D031C62967}">
      <text>
        <r>
          <rPr>
            <b/>
            <sz val="9"/>
            <color indexed="81"/>
            <rFont val="Tahoma"/>
            <family val="2"/>
          </rPr>
          <t>Admin:</t>
        </r>
        <r>
          <rPr>
            <sz val="9"/>
            <color indexed="81"/>
            <rFont val="Tahoma"/>
            <family val="2"/>
          </rPr>
          <t xml:space="preserve">
new 7/1/2024</t>
        </r>
      </text>
    </comment>
    <comment ref="S33" authorId="1" shapeId="0" xr:uid="{CC2C81DC-E6C4-4204-9E62-B3AD3F42440E}">
      <text>
        <r>
          <rPr>
            <b/>
            <sz val="9"/>
            <color indexed="81"/>
            <rFont val="Tahoma"/>
            <family val="2"/>
          </rPr>
          <t>Admin:</t>
        </r>
        <r>
          <rPr>
            <sz val="9"/>
            <color indexed="81"/>
            <rFont val="Tahoma"/>
            <family val="2"/>
          </rPr>
          <t xml:space="preserve">
renew 2/2024</t>
        </r>
      </text>
    </comment>
    <comment ref="AC36" authorId="0" shapeId="0" xr:uid="{00000000-0006-0000-1700-00000D000000}">
      <text>
        <r>
          <rPr>
            <b/>
            <sz val="9"/>
            <color indexed="81"/>
            <rFont val="Tahoma"/>
            <family val="2"/>
          </rPr>
          <t>intel:</t>
        </r>
        <r>
          <rPr>
            <sz val="9"/>
            <color indexed="81"/>
            <rFont val="Tahoma"/>
            <family val="2"/>
          </rPr>
          <t xml:space="preserve">
renewed 6/2023</t>
        </r>
      </text>
    </comment>
    <comment ref="L39" authorId="0" shapeId="0" xr:uid="{00000000-0006-0000-1700-00000F000000}">
      <text>
        <r>
          <rPr>
            <b/>
            <sz val="9"/>
            <color indexed="81"/>
            <rFont val="Tahoma"/>
            <family val="2"/>
          </rPr>
          <t>intel:</t>
        </r>
        <r>
          <rPr>
            <sz val="9"/>
            <color indexed="81"/>
            <rFont val="Tahoma"/>
            <family val="2"/>
          </rPr>
          <t xml:space="preserve">
filed MPL 8/2022</t>
        </r>
      </text>
    </comment>
    <comment ref="S39" authorId="0" shapeId="0" xr:uid="{00000000-0006-0000-1700-000010000000}">
      <text>
        <r>
          <rPr>
            <b/>
            <sz val="9"/>
            <color indexed="81"/>
            <rFont val="Tahoma"/>
            <family val="2"/>
          </rPr>
          <t>intel:</t>
        </r>
        <r>
          <rPr>
            <sz val="9"/>
            <color indexed="81"/>
            <rFont val="Tahoma"/>
            <family val="2"/>
          </rPr>
          <t xml:space="preserve">
new 8/14/2024</t>
        </r>
      </text>
    </comment>
    <comment ref="Z39" authorId="1" shapeId="0" xr:uid="{CEE558DE-D664-4ADB-BE04-F9C81DC3BFFE}">
      <text>
        <r>
          <rPr>
            <b/>
            <sz val="9"/>
            <color indexed="81"/>
            <rFont val="Tahoma"/>
            <family val="2"/>
          </rPr>
          <t>Admin:</t>
        </r>
        <r>
          <rPr>
            <sz val="9"/>
            <color indexed="81"/>
            <rFont val="Tahoma"/>
            <family val="2"/>
          </rPr>
          <t xml:space="preserve">
renew 12/25</t>
        </r>
      </text>
    </comment>
    <comment ref="AC44" authorId="0" shapeId="0" xr:uid="{ABA5D161-1BC6-47AD-8D1C-639C1E92068B}">
      <text>
        <r>
          <rPr>
            <b/>
            <sz val="9"/>
            <color indexed="81"/>
            <rFont val="Tahoma"/>
            <family val="2"/>
          </rPr>
          <t>intel:</t>
        </r>
        <r>
          <rPr>
            <sz val="9"/>
            <color indexed="81"/>
            <rFont val="Tahoma"/>
            <family val="2"/>
          </rPr>
          <t xml:space="preserve">
renew</t>
        </r>
      </text>
    </comment>
    <comment ref="S45" authorId="0" shapeId="0" xr:uid="{00000000-0006-0000-1700-000011000000}">
      <text>
        <r>
          <rPr>
            <b/>
            <sz val="9"/>
            <color indexed="81"/>
            <rFont val="Tahoma"/>
            <family val="2"/>
          </rPr>
          <t>intel:</t>
        </r>
        <r>
          <rPr>
            <sz val="9"/>
            <color indexed="81"/>
            <rFont val="Tahoma"/>
            <family val="2"/>
          </rPr>
          <t xml:space="preserve">
Renew 9/14/2023</t>
        </r>
      </text>
    </comment>
    <comment ref="M46" authorId="0" shapeId="0" xr:uid="{00000000-0006-0000-1700-000012000000}">
      <text>
        <r>
          <rPr>
            <b/>
            <sz val="9"/>
            <color indexed="81"/>
            <rFont val="Tahoma"/>
            <family val="2"/>
          </rPr>
          <t>intel:</t>
        </r>
        <r>
          <rPr>
            <sz val="9"/>
            <color indexed="81"/>
            <rFont val="Tahoma"/>
            <family val="2"/>
          </rPr>
          <t xml:space="preserve">
7/29/2024</t>
        </r>
      </text>
    </comment>
    <comment ref="O46" authorId="0" shapeId="0" xr:uid="{00000000-0006-0000-1700-000013000000}">
      <text>
        <r>
          <rPr>
            <b/>
            <sz val="9"/>
            <color indexed="81"/>
            <rFont val="Tahoma"/>
            <family val="2"/>
          </rPr>
          <t>intel:</t>
        </r>
        <r>
          <rPr>
            <sz val="9"/>
            <color indexed="81"/>
            <rFont val="Tahoma"/>
            <family val="2"/>
          </rPr>
          <t xml:space="preserve">
new 6/18/2024</t>
        </r>
      </text>
    </comment>
    <comment ref="S46" authorId="0" shapeId="0" xr:uid="{00000000-0006-0000-1700-000014000000}">
      <text>
        <r>
          <rPr>
            <b/>
            <sz val="9"/>
            <color indexed="81"/>
            <rFont val="Tahoma"/>
            <family val="2"/>
          </rPr>
          <t>intel:</t>
        </r>
        <r>
          <rPr>
            <sz val="9"/>
            <color indexed="81"/>
            <rFont val="Tahoma"/>
            <family val="2"/>
          </rPr>
          <t xml:space="preserve">
renew 7.2024
</t>
        </r>
      </text>
    </comment>
    <comment ref="S51" authorId="0" shapeId="0" xr:uid="{6C487CF4-B903-4A9B-BFFC-F852527F1742}">
      <text>
        <r>
          <rPr>
            <b/>
            <sz val="9"/>
            <color indexed="81"/>
            <rFont val="Tahoma"/>
            <family val="2"/>
          </rPr>
          <t>intel:</t>
        </r>
        <r>
          <rPr>
            <sz val="9"/>
            <color indexed="81"/>
            <rFont val="Tahoma"/>
            <family val="2"/>
          </rPr>
          <t xml:space="preserve">
renew 9/12/2024
</t>
        </r>
      </text>
    </comment>
    <comment ref="M52" authorId="0" shapeId="0" xr:uid="{00000000-0006-0000-1700-000017000000}">
      <text>
        <r>
          <rPr>
            <b/>
            <sz val="9"/>
            <color indexed="81"/>
            <rFont val="Tahoma"/>
            <family val="2"/>
          </rPr>
          <t>intel:</t>
        </r>
        <r>
          <rPr>
            <sz val="9"/>
            <color indexed="81"/>
            <rFont val="Tahoma"/>
            <family val="2"/>
          </rPr>
          <t xml:space="preserve">
8/2025</t>
        </r>
      </text>
    </comment>
    <comment ref="S52" authorId="0" shapeId="0" xr:uid="{00000000-0006-0000-1700-000018000000}">
      <text>
        <r>
          <rPr>
            <b/>
            <sz val="9"/>
            <color indexed="81"/>
            <rFont val="Tahoma"/>
            <family val="2"/>
          </rPr>
          <t>intel:</t>
        </r>
        <r>
          <rPr>
            <sz val="9"/>
            <color indexed="81"/>
            <rFont val="Tahoma"/>
            <family val="2"/>
          </rPr>
          <t xml:space="preserve">
renew7/2023</t>
        </r>
      </text>
    </comment>
    <comment ref="Z52" authorId="0" shapeId="0" xr:uid="{00000000-0006-0000-1700-000019000000}">
      <text>
        <r>
          <rPr>
            <b/>
            <sz val="9"/>
            <color indexed="81"/>
            <rFont val="Tahoma"/>
            <family val="2"/>
          </rPr>
          <t>intel:</t>
        </r>
        <r>
          <rPr>
            <sz val="9"/>
            <color indexed="81"/>
            <rFont val="Tahoma"/>
            <family val="2"/>
          </rPr>
          <t xml:space="preserve">
renew10/2023</t>
        </r>
      </text>
    </comment>
    <comment ref="S55" authorId="1" shapeId="0" xr:uid="{C2FFE68A-C0DF-4835-A521-6C3A060B9870}">
      <text>
        <r>
          <rPr>
            <b/>
            <sz val="9"/>
            <color indexed="81"/>
            <rFont val="Tahoma"/>
            <family val="2"/>
          </rPr>
          <t>Admin:</t>
        </r>
        <r>
          <rPr>
            <sz val="9"/>
            <color indexed="81"/>
            <rFont val="Tahoma"/>
            <family val="2"/>
          </rPr>
          <t xml:space="preserve">
8/20/2024</t>
        </r>
      </text>
    </comment>
    <comment ref="Z55" authorId="0" shapeId="0" xr:uid="{00000000-0006-0000-1700-00001A000000}">
      <text>
        <r>
          <rPr>
            <b/>
            <sz val="9"/>
            <color indexed="81"/>
            <rFont val="Tahoma"/>
            <family val="2"/>
          </rPr>
          <t>intel:</t>
        </r>
        <r>
          <rPr>
            <sz val="9"/>
            <color indexed="81"/>
            <rFont val="Tahoma"/>
            <family val="2"/>
          </rPr>
          <t xml:space="preserve">
renew 7/2/2024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intel</author>
  </authors>
  <commentList>
    <comment ref="Y15" authorId="0" shapeId="0" xr:uid="{0DCFFF2B-DD1A-40CE-93DB-E36F87560857}">
      <text>
        <r>
          <rPr>
            <b/>
            <sz val="9"/>
            <color indexed="81"/>
            <rFont val="Tahoma"/>
            <family val="2"/>
          </rPr>
          <t>intel:</t>
        </r>
        <r>
          <rPr>
            <sz val="9"/>
            <color indexed="81"/>
            <rFont val="Tahoma"/>
            <family val="2"/>
          </rPr>
          <t xml:space="preserve">
renew 1/6/2023</t>
        </r>
      </text>
    </comment>
    <comment ref="P21" authorId="0" shapeId="0" xr:uid="{60F001C1-33ED-44E7-BA29-8D1041751EB0}">
      <text>
        <r>
          <rPr>
            <b/>
            <sz val="9"/>
            <color indexed="81"/>
            <rFont val="Tahoma"/>
            <family val="2"/>
          </rPr>
          <t>intel:</t>
        </r>
        <r>
          <rPr>
            <sz val="9"/>
            <color indexed="81"/>
            <rFont val="Tahoma"/>
            <family val="2"/>
          </rPr>
          <t xml:space="preserve">
new 8/14/2024</t>
        </r>
      </text>
    </comment>
    <comment ref="Z26" authorId="0" shapeId="0" xr:uid="{1B77A7F6-7D11-466B-8909-3B0171EE5142}">
      <text>
        <r>
          <rPr>
            <b/>
            <sz val="9"/>
            <color indexed="81"/>
            <rFont val="Tahoma"/>
            <family val="2"/>
          </rPr>
          <t>intel:</t>
        </r>
        <r>
          <rPr>
            <sz val="9"/>
            <color indexed="81"/>
            <rFont val="Tahoma"/>
            <family val="2"/>
          </rPr>
          <t xml:space="preserve">
renew</t>
        </r>
      </text>
    </comment>
    <comment ref="P27" authorId="0" shapeId="0" xr:uid="{08A30C20-6508-4905-B47B-009A27334B27}">
      <text>
        <r>
          <rPr>
            <b/>
            <sz val="9"/>
            <color indexed="81"/>
            <rFont val="Tahoma"/>
            <family val="2"/>
          </rPr>
          <t>intel:</t>
        </r>
        <r>
          <rPr>
            <sz val="9"/>
            <color indexed="81"/>
            <rFont val="Tahoma"/>
            <family val="2"/>
          </rPr>
          <t xml:space="preserve">
Renew 9/14/2023</t>
        </r>
      </text>
    </comment>
    <comment ref="J28" authorId="0" shapeId="0" xr:uid="{ADCA7914-61AF-4CB6-98F2-45D8AA891E8D}">
      <text>
        <r>
          <rPr>
            <b/>
            <sz val="9"/>
            <color indexed="81"/>
            <rFont val="Tahoma"/>
            <family val="2"/>
          </rPr>
          <t>intel:</t>
        </r>
        <r>
          <rPr>
            <sz val="9"/>
            <color indexed="81"/>
            <rFont val="Tahoma"/>
            <family val="2"/>
          </rPr>
          <t xml:space="preserve">
8/2025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intel</author>
    <author>Admin</author>
  </authors>
  <commentList>
    <comment ref="L12" authorId="0" shapeId="0" xr:uid="{00000000-0006-0000-1800-000001000000}">
      <text>
        <r>
          <rPr>
            <b/>
            <sz val="9"/>
            <color indexed="81"/>
            <rFont val="Tahoma"/>
            <family val="2"/>
          </rPr>
          <t>intel:</t>
        </r>
        <r>
          <rPr>
            <sz val="9"/>
            <color indexed="81"/>
            <rFont val="Tahoma"/>
            <family val="2"/>
          </rPr>
          <t xml:space="preserve">
new 11/11/22</t>
        </r>
      </text>
    </comment>
    <comment ref="H13" authorId="1" shapeId="0" xr:uid="{47877CC5-B3E5-4123-A882-AC355651A2F9}">
      <text>
        <r>
          <rPr>
            <b/>
            <sz val="9"/>
            <color indexed="81"/>
            <rFont val="Tahoma"/>
            <family val="2"/>
          </rPr>
          <t>Admin:</t>
        </r>
        <r>
          <rPr>
            <sz val="9"/>
            <color indexed="81"/>
            <rFont val="Tahoma"/>
            <family val="2"/>
          </rPr>
          <t xml:space="preserve">
renew 11.2025</t>
        </r>
      </text>
    </comment>
    <comment ref="J13" authorId="1" shapeId="0" xr:uid="{8E2AE45B-3479-4894-875C-9EAE3A394D20}">
      <text>
        <r>
          <rPr>
            <b/>
            <sz val="9"/>
            <color indexed="81"/>
            <rFont val="Tahoma"/>
            <family val="2"/>
          </rPr>
          <t>Admin:</t>
        </r>
        <r>
          <rPr>
            <sz val="9"/>
            <color indexed="81"/>
            <rFont val="Tahoma"/>
            <family val="2"/>
          </rPr>
          <t xml:space="preserve">
renew 11.2025</t>
        </r>
      </text>
    </comment>
    <comment ref="O13" authorId="0" shapeId="0" xr:uid="{8CED71B8-5F57-448C-9DDD-5C718ADD0C58}">
      <text>
        <r>
          <rPr>
            <b/>
            <sz val="9"/>
            <color indexed="81"/>
            <rFont val="Tahoma"/>
            <family val="2"/>
          </rPr>
          <t>intel:</t>
        </r>
        <r>
          <rPr>
            <sz val="9"/>
            <color indexed="81"/>
            <rFont val="Tahoma"/>
            <family val="2"/>
          </rPr>
          <t xml:space="preserve">
renew 2/21/2025</t>
        </r>
      </text>
    </comment>
    <comment ref="J14" authorId="1" shapeId="0" xr:uid="{A0E8656C-FCD1-4F2F-94D3-85FAC07EF01F}">
      <text>
        <r>
          <rPr>
            <b/>
            <sz val="9"/>
            <color indexed="81"/>
            <rFont val="Tahoma"/>
            <family val="2"/>
          </rPr>
          <t>Admin:</t>
        </r>
        <r>
          <rPr>
            <sz val="9"/>
            <color indexed="81"/>
            <rFont val="Tahoma"/>
            <family val="2"/>
          </rPr>
          <t xml:space="preserve">
8/2025</t>
        </r>
      </text>
    </comment>
    <comment ref="J15" authorId="0" shapeId="0" xr:uid="{00000000-0006-0000-1800-000004000000}">
      <text>
        <r>
          <rPr>
            <b/>
            <sz val="9"/>
            <color indexed="81"/>
            <rFont val="Tahoma"/>
            <family val="2"/>
          </rPr>
          <t>intel:</t>
        </r>
        <r>
          <rPr>
            <sz val="9"/>
            <color indexed="81"/>
            <rFont val="Tahoma"/>
            <family val="2"/>
          </rPr>
          <t xml:space="preserve">
renew 08/2025</t>
        </r>
      </text>
    </comment>
    <comment ref="V15" authorId="1" shapeId="0" xr:uid="{F3453763-6CCF-47AD-8D5B-1B33AB7FF9B3}">
      <text>
        <r>
          <rPr>
            <b/>
            <sz val="9"/>
            <color indexed="81"/>
            <rFont val="Tahoma"/>
            <family val="2"/>
          </rPr>
          <t>Admin:</t>
        </r>
        <r>
          <rPr>
            <sz val="9"/>
            <color indexed="81"/>
            <rFont val="Tahoma"/>
            <family val="2"/>
          </rPr>
          <t xml:space="preserve">
1st ded</t>
        </r>
      </text>
    </comment>
    <comment ref="J17" authorId="1" shapeId="0" xr:uid="{C3BED703-1ADF-4B93-AEF8-9704CC272BA7}">
      <text>
        <r>
          <rPr>
            <b/>
            <sz val="9"/>
            <color indexed="81"/>
            <rFont val="Tahoma"/>
            <family val="2"/>
          </rPr>
          <t>Admin:</t>
        </r>
        <r>
          <rPr>
            <sz val="9"/>
            <color indexed="81"/>
            <rFont val="Tahoma"/>
            <family val="2"/>
          </rPr>
          <t xml:space="preserve">
renew 8/2025</t>
        </r>
      </text>
    </comment>
    <comment ref="L17" authorId="1" shapeId="0" xr:uid="{EA0B54B1-82F6-4630-BF11-827CA93237DD}">
      <text>
        <r>
          <rPr>
            <b/>
            <sz val="9"/>
            <color indexed="81"/>
            <rFont val="Tahoma"/>
            <family val="2"/>
          </rPr>
          <t>Admin:</t>
        </r>
        <r>
          <rPr>
            <sz val="9"/>
            <color indexed="81"/>
            <rFont val="Tahoma"/>
            <family val="2"/>
          </rPr>
          <t xml:space="preserve">
renew 11.2025</t>
        </r>
      </text>
    </comment>
    <comment ref="O17" authorId="0" shapeId="0" xr:uid="{52BF7693-4C6E-4601-BB6C-50DE85316A8C}">
      <text>
        <r>
          <rPr>
            <b/>
            <sz val="9"/>
            <color indexed="81"/>
            <rFont val="Tahoma"/>
            <family val="2"/>
          </rPr>
          <t>intel:</t>
        </r>
        <r>
          <rPr>
            <sz val="9"/>
            <color indexed="81"/>
            <rFont val="Tahoma"/>
            <family val="2"/>
          </rPr>
          <t xml:space="preserve">
renew 8/2025</t>
        </r>
      </text>
    </comment>
    <comment ref="J18" authorId="1" shapeId="0" xr:uid="{F95FBDE6-9F72-424D-949F-69789B0AEF69}">
      <text>
        <r>
          <rPr>
            <b/>
            <sz val="9"/>
            <color indexed="81"/>
            <rFont val="Tahoma"/>
            <family val="2"/>
          </rPr>
          <t>Admin:</t>
        </r>
        <r>
          <rPr>
            <sz val="9"/>
            <color indexed="81"/>
            <rFont val="Tahoma"/>
            <family val="2"/>
          </rPr>
          <t xml:space="preserve">
8/2025
start sept</t>
        </r>
      </text>
    </comment>
    <comment ref="J20" authorId="0" shapeId="0" xr:uid="{00000000-0006-0000-1800-000007000000}">
      <text>
        <r>
          <rPr>
            <b/>
            <sz val="9"/>
            <color indexed="81"/>
            <rFont val="Tahoma"/>
            <family val="2"/>
          </rPr>
          <t>intel:</t>
        </r>
        <r>
          <rPr>
            <sz val="9"/>
            <color indexed="81"/>
            <rFont val="Tahoma"/>
            <family val="2"/>
          </rPr>
          <t xml:space="preserve">
renew</t>
        </r>
      </text>
    </comment>
    <comment ref="O28" authorId="0" shapeId="0" xr:uid="{00000000-0006-0000-1800-00000E000000}">
      <text>
        <r>
          <rPr>
            <b/>
            <sz val="9"/>
            <color indexed="81"/>
            <rFont val="Tahoma"/>
            <family val="2"/>
          </rPr>
          <t>intel:</t>
        </r>
        <r>
          <rPr>
            <sz val="9"/>
            <color indexed="81"/>
            <rFont val="Tahoma"/>
            <family val="2"/>
          </rPr>
          <t xml:space="preserve">
new 6/7/2023</t>
        </r>
      </text>
    </comment>
    <comment ref="T28" authorId="0" shapeId="0" xr:uid="{00000000-0006-0000-1800-00000F000000}">
      <text>
        <r>
          <rPr>
            <b/>
            <sz val="9"/>
            <color indexed="81"/>
            <rFont val="Tahoma"/>
            <family val="2"/>
          </rPr>
          <t>intel:</t>
        </r>
        <r>
          <rPr>
            <sz val="9"/>
            <color indexed="81"/>
            <rFont val="Tahoma"/>
            <family val="2"/>
          </rPr>
          <t xml:space="preserve">
</t>
        </r>
      </text>
    </comment>
    <comment ref="X28" authorId="0" shapeId="0" xr:uid="{00000000-0006-0000-1800-000010000000}">
      <text>
        <r>
          <rPr>
            <b/>
            <sz val="9"/>
            <color indexed="81"/>
            <rFont val="Tahoma"/>
            <family val="2"/>
          </rPr>
          <t>intel:</t>
        </r>
        <r>
          <rPr>
            <sz val="9"/>
            <color indexed="81"/>
            <rFont val="Tahoma"/>
            <family val="2"/>
          </rPr>
          <t xml:space="preserve">
renew 05/2024</t>
        </r>
      </text>
    </comment>
    <comment ref="AA28" authorId="0" shapeId="0" xr:uid="{00000000-0006-0000-1800-000011000000}">
      <text>
        <r>
          <rPr>
            <b/>
            <sz val="9"/>
            <color indexed="81"/>
            <rFont val="Tahoma"/>
            <family val="2"/>
          </rPr>
          <t>intel:</t>
        </r>
        <r>
          <rPr>
            <sz val="9"/>
            <color indexed="81"/>
            <rFont val="Tahoma"/>
            <family val="2"/>
          </rPr>
          <t xml:space="preserve">
renew 8/2023</t>
        </r>
      </text>
    </comment>
    <comment ref="O31" authorId="1" shapeId="0" xr:uid="{C291A597-FEA1-4AAB-A3DE-46D5115EE092}">
      <text>
        <r>
          <rPr>
            <b/>
            <sz val="9"/>
            <color indexed="81"/>
            <rFont val="Tahoma"/>
            <family val="2"/>
          </rPr>
          <t>Admin:</t>
        </r>
        <r>
          <rPr>
            <sz val="9"/>
            <color indexed="81"/>
            <rFont val="Tahoma"/>
            <family val="2"/>
          </rPr>
          <t xml:space="preserve">
9/3/2024</t>
        </r>
      </text>
    </comment>
    <comment ref="H33" authorId="1" shapeId="0" xr:uid="{C1B92659-5A4B-49A7-B088-E7D13713A82C}">
      <text>
        <r>
          <rPr>
            <b/>
            <sz val="9"/>
            <color indexed="81"/>
            <rFont val="Tahoma"/>
            <family val="2"/>
          </rPr>
          <t>Admin:</t>
        </r>
        <r>
          <rPr>
            <sz val="9"/>
            <color indexed="81"/>
            <rFont val="Tahoma"/>
            <family val="2"/>
          </rPr>
          <t xml:space="preserve">
renew 7/1/2025</t>
        </r>
      </text>
    </comment>
    <comment ref="O33" authorId="0" shapeId="0" xr:uid="{00000000-0006-0000-1800-000014000000}">
      <text>
        <r>
          <rPr>
            <b/>
            <sz val="9"/>
            <color indexed="81"/>
            <rFont val="Tahoma"/>
            <family val="2"/>
          </rPr>
          <t>intel:</t>
        </r>
        <r>
          <rPr>
            <sz val="9"/>
            <color indexed="81"/>
            <rFont val="Tahoma"/>
            <family val="2"/>
          </rPr>
          <t xml:space="preserve">
renew 10/01/2024</t>
        </r>
      </text>
    </comment>
    <comment ref="V34" authorId="0" shapeId="0" xr:uid="{00000000-0006-0000-1800-000015000000}">
      <text>
        <r>
          <rPr>
            <b/>
            <sz val="9"/>
            <color indexed="81"/>
            <rFont val="Tahoma"/>
            <family val="2"/>
          </rPr>
          <t>intel:</t>
        </r>
        <r>
          <rPr>
            <sz val="9"/>
            <color indexed="81"/>
            <rFont val="Tahoma"/>
            <family val="2"/>
          </rPr>
          <t xml:space="preserve">
renew 7/26/2024</t>
        </r>
      </text>
    </comment>
    <comment ref="J38" authorId="0" shapeId="0" xr:uid="{00000000-0006-0000-1800-00001A000000}">
      <text>
        <r>
          <rPr>
            <b/>
            <sz val="9"/>
            <color indexed="81"/>
            <rFont val="Tahoma"/>
            <family val="2"/>
          </rPr>
          <t>intel:</t>
        </r>
        <r>
          <rPr>
            <sz val="9"/>
            <color indexed="81"/>
            <rFont val="Tahoma"/>
            <family val="2"/>
          </rPr>
          <t xml:space="preserve">
renew 7/30/2024</t>
        </r>
      </text>
    </comment>
    <comment ref="O38" authorId="1" shapeId="0" xr:uid="{A5ABCA76-3384-4804-96C8-F6A208EAC049}">
      <text>
        <r>
          <rPr>
            <b/>
            <sz val="9"/>
            <color indexed="81"/>
            <rFont val="Tahoma"/>
            <family val="2"/>
          </rPr>
          <t>Admin:</t>
        </r>
        <r>
          <rPr>
            <sz val="9"/>
            <color indexed="81"/>
            <rFont val="Tahoma"/>
            <family val="2"/>
          </rPr>
          <t xml:space="preserve">
for renewal 5.6.25</t>
        </r>
      </text>
    </comment>
    <comment ref="L39" authorId="0" shapeId="0" xr:uid="{00000000-0006-0000-1800-000017000000}">
      <text>
        <r>
          <rPr>
            <b/>
            <sz val="9"/>
            <color indexed="81"/>
            <rFont val="Tahoma"/>
            <family val="2"/>
          </rPr>
          <t>intel:</t>
        </r>
        <r>
          <rPr>
            <sz val="9"/>
            <color indexed="81"/>
            <rFont val="Tahoma"/>
            <family val="2"/>
          </rPr>
          <t xml:space="preserve">
new 7/2023</t>
        </r>
      </text>
    </comment>
    <comment ref="N39" authorId="1" shapeId="0" xr:uid="{B1C8B3D1-7B1C-448B-B278-70E3F7C379E8}">
      <text>
        <r>
          <rPr>
            <b/>
            <sz val="9"/>
            <color indexed="81"/>
            <rFont val="Tahoma"/>
            <family val="2"/>
          </rPr>
          <t>Admin:</t>
        </r>
        <r>
          <rPr>
            <sz val="9"/>
            <color indexed="81"/>
            <rFont val="Tahoma"/>
            <family val="2"/>
          </rPr>
          <t xml:space="preserve">
paid 7.2025</t>
        </r>
      </text>
    </comment>
    <comment ref="O39" authorId="0" shapeId="0" xr:uid="{00000000-0006-0000-1800-000019000000}">
      <text>
        <r>
          <rPr>
            <b/>
            <sz val="9"/>
            <color indexed="81"/>
            <rFont val="Tahoma"/>
            <family val="2"/>
          </rPr>
          <t>intel:</t>
        </r>
        <r>
          <rPr>
            <sz val="9"/>
            <color indexed="81"/>
            <rFont val="Tahoma"/>
            <family val="2"/>
          </rPr>
          <t xml:space="preserve">
RENEW 9/3/2024</t>
        </r>
      </text>
    </comment>
    <comment ref="J40" authorId="0" shapeId="0" xr:uid="{E9E6B31E-86B1-40AF-9971-9186F1A3328B}">
      <text>
        <r>
          <rPr>
            <b/>
            <sz val="9"/>
            <color indexed="81"/>
            <rFont val="Tahoma"/>
            <family val="2"/>
          </rPr>
          <t>intel:</t>
        </r>
        <r>
          <rPr>
            <sz val="9"/>
            <color indexed="81"/>
            <rFont val="Tahoma"/>
            <family val="2"/>
          </rPr>
          <t xml:space="preserve">
renew 07/25/2024</t>
        </r>
      </text>
    </comment>
    <comment ref="O40" authorId="1" shapeId="0" xr:uid="{F9C62FBA-B3CD-4D6B-BE7C-070393091CA8}">
      <text>
        <r>
          <rPr>
            <b/>
            <sz val="9"/>
            <color indexed="81"/>
            <rFont val="Tahoma"/>
            <family val="2"/>
          </rPr>
          <t>Admin:</t>
        </r>
        <r>
          <rPr>
            <sz val="9"/>
            <color indexed="81"/>
            <rFont val="Tahoma"/>
            <family val="2"/>
          </rPr>
          <t xml:space="preserve">
06/06/2024</t>
        </r>
      </text>
    </comment>
    <comment ref="J48" authorId="0" shapeId="0" xr:uid="{00000000-0006-0000-1800-00001C000000}">
      <text>
        <r>
          <rPr>
            <b/>
            <sz val="9"/>
            <color indexed="81"/>
            <rFont val="Tahoma"/>
            <family val="2"/>
          </rPr>
          <t>intel:</t>
        </r>
        <r>
          <rPr>
            <sz val="9"/>
            <color indexed="81"/>
            <rFont val="Tahoma"/>
            <family val="2"/>
          </rPr>
          <t xml:space="preserve">
renew 08/2025
</t>
        </r>
      </text>
    </comment>
    <comment ref="L48" authorId="0" shapeId="0" xr:uid="{00000000-0006-0000-1800-00001D000000}">
      <text>
        <r>
          <rPr>
            <b/>
            <sz val="9"/>
            <color indexed="81"/>
            <rFont val="Tahoma"/>
            <family val="2"/>
          </rPr>
          <t>intel:</t>
        </r>
        <r>
          <rPr>
            <sz val="9"/>
            <color indexed="81"/>
            <rFont val="Tahoma"/>
            <family val="2"/>
          </rPr>
          <t xml:space="preserve">
RENEW 8/4/2022</t>
        </r>
      </text>
    </comment>
    <comment ref="O48" authorId="0" shapeId="0" xr:uid="{00000000-0006-0000-1800-00001E000000}">
      <text>
        <r>
          <rPr>
            <b/>
            <sz val="9"/>
            <color indexed="81"/>
            <rFont val="Tahoma"/>
            <family val="2"/>
          </rPr>
          <t>intel:</t>
        </r>
        <r>
          <rPr>
            <sz val="9"/>
            <color indexed="81"/>
            <rFont val="Tahoma"/>
            <family val="2"/>
          </rPr>
          <t xml:space="preserve">
renew 10/14/2024</t>
        </r>
      </text>
    </comment>
    <comment ref="K49" authorId="0" shapeId="0" xr:uid="{00000000-0006-0000-1800-000021000000}">
      <text>
        <r>
          <rPr>
            <b/>
            <sz val="9"/>
            <color indexed="81"/>
            <rFont val="Tahoma"/>
            <family val="2"/>
          </rPr>
          <t>intel:</t>
        </r>
        <r>
          <rPr>
            <sz val="9"/>
            <color indexed="81"/>
            <rFont val="Tahoma"/>
            <family val="2"/>
          </rPr>
          <t xml:space="preserve">
fully paid</t>
        </r>
      </text>
    </comment>
    <comment ref="O49" authorId="0" shapeId="0" xr:uid="{00000000-0006-0000-1800-000022000000}">
      <text>
        <r>
          <rPr>
            <b/>
            <sz val="9"/>
            <color indexed="81"/>
            <rFont val="Tahoma"/>
            <family val="2"/>
          </rPr>
          <t>intel:</t>
        </r>
        <r>
          <rPr>
            <sz val="9"/>
            <color indexed="81"/>
            <rFont val="Tahoma"/>
            <family val="2"/>
          </rPr>
          <t xml:space="preserve">
new</t>
        </r>
      </text>
    </comment>
    <comment ref="J52" authorId="0" shapeId="0" xr:uid="{00000000-0006-0000-1800-000023000000}">
      <text>
        <r>
          <rPr>
            <b/>
            <sz val="9"/>
            <color indexed="81"/>
            <rFont val="Tahoma"/>
            <family val="2"/>
          </rPr>
          <t>intel:</t>
        </r>
        <r>
          <rPr>
            <sz val="9"/>
            <color indexed="81"/>
            <rFont val="Tahoma"/>
            <family val="2"/>
          </rPr>
          <t xml:space="preserve">
renew</t>
        </r>
      </text>
    </comment>
    <comment ref="V52" authorId="0" shapeId="0" xr:uid="{00000000-0006-0000-1800-000024000000}">
      <text>
        <r>
          <rPr>
            <b/>
            <sz val="9"/>
            <color indexed="81"/>
            <rFont val="Tahoma"/>
            <family val="2"/>
          </rPr>
          <t>intel:</t>
        </r>
        <r>
          <rPr>
            <sz val="9"/>
            <color indexed="81"/>
            <rFont val="Tahoma"/>
            <family val="2"/>
          </rPr>
          <t xml:space="preserve">
renew 9/2023</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author>
    <author>intel</author>
    <author>User</author>
  </authors>
  <commentList>
    <comment ref="M12" authorId="0" shapeId="0" xr:uid="{4CFA0442-59ED-46D3-882E-5E910B2AB485}">
      <text>
        <r>
          <rPr>
            <b/>
            <sz val="9"/>
            <color indexed="81"/>
            <rFont val="Tahoma"/>
            <family val="2"/>
          </rPr>
          <t>Admin:</t>
        </r>
        <r>
          <rPr>
            <sz val="9"/>
            <color indexed="81"/>
            <rFont val="Tahoma"/>
            <family val="2"/>
          </rPr>
          <t xml:space="preserve">
7/25/2024</t>
        </r>
      </text>
    </comment>
    <comment ref="O12" authorId="1" shapeId="0" xr:uid="{00000000-0006-0000-1900-000001000000}">
      <text>
        <r>
          <rPr>
            <b/>
            <sz val="9"/>
            <color indexed="81"/>
            <rFont val="Tahoma"/>
            <family val="2"/>
          </rPr>
          <t>intel:</t>
        </r>
        <r>
          <rPr>
            <sz val="9"/>
            <color indexed="81"/>
            <rFont val="Tahoma"/>
            <family val="2"/>
          </rPr>
          <t xml:space="preserve">
renew</t>
        </r>
      </text>
    </comment>
    <comment ref="S12" authorId="1" shapeId="0" xr:uid="{00000000-0006-0000-1900-000002000000}">
      <text>
        <r>
          <rPr>
            <b/>
            <sz val="9"/>
            <color indexed="81"/>
            <rFont val="Tahoma"/>
            <family val="2"/>
          </rPr>
          <t>intel:</t>
        </r>
        <r>
          <rPr>
            <sz val="9"/>
            <color indexed="81"/>
            <rFont val="Tahoma"/>
            <family val="2"/>
          </rPr>
          <t xml:space="preserve">
renew 11/7/2022</t>
        </r>
      </text>
    </comment>
    <comment ref="Z12" authorId="1" shapeId="0" xr:uid="{00000000-0006-0000-1900-000003000000}">
      <text>
        <r>
          <rPr>
            <b/>
            <sz val="9"/>
            <color indexed="81"/>
            <rFont val="Tahoma"/>
            <family val="2"/>
          </rPr>
          <t>intel:</t>
        </r>
        <r>
          <rPr>
            <sz val="9"/>
            <color indexed="81"/>
            <rFont val="Tahoma"/>
            <family val="2"/>
          </rPr>
          <t xml:space="preserve">
renew 5/2024</t>
        </r>
      </text>
    </comment>
    <comment ref="AC12" authorId="1" shapeId="0" xr:uid="{00000000-0006-0000-1900-000004000000}">
      <text>
        <r>
          <rPr>
            <b/>
            <sz val="9"/>
            <color indexed="81"/>
            <rFont val="Tahoma"/>
            <family val="2"/>
          </rPr>
          <t>intel:</t>
        </r>
        <r>
          <rPr>
            <sz val="9"/>
            <color indexed="81"/>
            <rFont val="Tahoma"/>
            <family val="2"/>
          </rPr>
          <t xml:space="preserve">
fully paid</t>
        </r>
      </text>
    </comment>
    <comment ref="M13" authorId="1" shapeId="0" xr:uid="{00000000-0006-0000-1900-000005000000}">
      <text>
        <r>
          <rPr>
            <b/>
            <sz val="9"/>
            <color indexed="81"/>
            <rFont val="Tahoma"/>
            <family val="2"/>
          </rPr>
          <t>intel:</t>
        </r>
        <r>
          <rPr>
            <sz val="9"/>
            <color indexed="81"/>
            <rFont val="Tahoma"/>
            <family val="2"/>
          </rPr>
          <t xml:space="preserve">
renew 11/17/22</t>
        </r>
      </text>
    </comment>
    <comment ref="O13" authorId="1" shapeId="0" xr:uid="{00000000-0006-0000-1900-000006000000}">
      <text>
        <r>
          <rPr>
            <b/>
            <sz val="9"/>
            <color indexed="81"/>
            <rFont val="Tahoma"/>
            <family val="2"/>
          </rPr>
          <t>intel:</t>
        </r>
        <r>
          <rPr>
            <sz val="9"/>
            <color indexed="81"/>
            <rFont val="Tahoma"/>
            <family val="2"/>
          </rPr>
          <t xml:space="preserve">
new 10/2022</t>
        </r>
      </text>
    </comment>
    <comment ref="T13" authorId="2" shapeId="0" xr:uid="{00000000-0006-0000-1900-000007000000}">
      <text>
        <r>
          <rPr>
            <b/>
            <sz val="9"/>
            <color indexed="81"/>
            <rFont val="Tahoma"/>
            <family val="2"/>
          </rPr>
          <t>User:</t>
        </r>
        <r>
          <rPr>
            <sz val="9"/>
            <color indexed="81"/>
            <rFont val="Tahoma"/>
            <family val="2"/>
          </rPr>
          <t xml:space="preserve">
add deduction from 1-15 due to start of deduction LBP</t>
        </r>
      </text>
    </comment>
    <comment ref="O16" authorId="1" shapeId="0" xr:uid="{00000000-0006-0000-1900-00000A000000}">
      <text>
        <r>
          <rPr>
            <b/>
            <sz val="9"/>
            <color indexed="81"/>
            <rFont val="Tahoma"/>
            <family val="2"/>
          </rPr>
          <t>intel:</t>
        </r>
        <r>
          <rPr>
            <sz val="9"/>
            <color indexed="81"/>
            <rFont val="Tahoma"/>
            <family val="2"/>
          </rPr>
          <t xml:space="preserve">
start 4/24/2024; deduction of 500 (5/2024)</t>
        </r>
      </text>
    </comment>
    <comment ref="M19" authorId="0" shapeId="0" xr:uid="{F6CD2225-6E9C-4C31-B6AA-CB1AB8927FC0}">
      <text>
        <r>
          <rPr>
            <b/>
            <sz val="9"/>
            <color indexed="81"/>
            <rFont val="Tahoma"/>
            <family val="2"/>
          </rPr>
          <t>Admin:</t>
        </r>
        <r>
          <rPr>
            <sz val="9"/>
            <color indexed="81"/>
            <rFont val="Tahoma"/>
            <family val="2"/>
          </rPr>
          <t xml:space="preserve">
new 7/25/2024</t>
        </r>
      </text>
    </comment>
    <comment ref="S21" authorId="1" shapeId="0" xr:uid="{00000000-0006-0000-1900-00000C000000}">
      <text>
        <r>
          <rPr>
            <b/>
            <sz val="9"/>
            <color indexed="81"/>
            <rFont val="Tahoma"/>
            <family val="2"/>
          </rPr>
          <t>intel:</t>
        </r>
        <r>
          <rPr>
            <sz val="9"/>
            <color indexed="81"/>
            <rFont val="Tahoma"/>
            <family val="2"/>
          </rPr>
          <t xml:space="preserve">
RENEW</t>
        </r>
      </text>
    </comment>
    <comment ref="S26" authorId="0" shapeId="0" xr:uid="{80D05039-B44B-4DF3-93DF-B68EECA6AD40}">
      <text>
        <r>
          <rPr>
            <b/>
            <sz val="9"/>
            <color indexed="81"/>
            <rFont val="Tahoma"/>
            <family val="2"/>
          </rPr>
          <t>Admin:</t>
        </r>
        <r>
          <rPr>
            <sz val="9"/>
            <color indexed="81"/>
            <rFont val="Tahoma"/>
            <family val="2"/>
          </rPr>
          <t xml:space="preserve">
renew 5/09/2024</t>
        </r>
      </text>
    </comment>
    <comment ref="M30" authorId="1" shapeId="0" xr:uid="{00000000-0006-0000-1900-00000E000000}">
      <text>
        <r>
          <rPr>
            <b/>
            <sz val="9"/>
            <color indexed="81"/>
            <rFont val="Tahoma"/>
            <family val="2"/>
          </rPr>
          <t>intel:</t>
        </r>
        <r>
          <rPr>
            <sz val="9"/>
            <color indexed="81"/>
            <rFont val="Tahoma"/>
            <family val="2"/>
          </rPr>
          <t xml:space="preserve">
renew 7/1/2024</t>
        </r>
      </text>
    </comment>
    <comment ref="S30" authorId="1" shapeId="0" xr:uid="{00000000-0006-0000-1900-00000F000000}">
      <text>
        <r>
          <rPr>
            <b/>
            <sz val="9"/>
            <color indexed="81"/>
            <rFont val="Tahoma"/>
            <family val="2"/>
          </rPr>
          <t>intel:</t>
        </r>
        <r>
          <rPr>
            <sz val="9"/>
            <color indexed="81"/>
            <rFont val="Tahoma"/>
            <family val="2"/>
          </rPr>
          <t xml:space="preserve">
renew 06/06/2024
2,465.78</t>
        </r>
      </text>
    </comment>
    <comment ref="Z30" authorId="1" shapeId="0" xr:uid="{00000000-0006-0000-1900-000010000000}">
      <text>
        <r>
          <rPr>
            <b/>
            <sz val="9"/>
            <color indexed="81"/>
            <rFont val="Tahoma"/>
            <family val="2"/>
          </rPr>
          <t>intel:</t>
        </r>
        <r>
          <rPr>
            <sz val="9"/>
            <color indexed="81"/>
            <rFont val="Tahoma"/>
            <family val="2"/>
          </rPr>
          <t xml:space="preserve">
new 8/25/2022</t>
        </r>
      </text>
    </comment>
    <comment ref="AC36" authorId="1" shapeId="0" xr:uid="{00000000-0006-0000-1900-000011000000}">
      <text>
        <r>
          <rPr>
            <b/>
            <sz val="9"/>
            <color indexed="81"/>
            <rFont val="Tahoma"/>
            <family val="2"/>
          </rPr>
          <t>intel:</t>
        </r>
        <r>
          <rPr>
            <sz val="9"/>
            <color indexed="81"/>
            <rFont val="Tahoma"/>
            <family val="2"/>
          </rPr>
          <t xml:space="preserve">
new 10/24/22
</t>
        </r>
      </text>
    </comment>
    <comment ref="M39" authorId="1" shapeId="0" xr:uid="{00000000-0006-0000-1900-000012000000}">
      <text>
        <r>
          <rPr>
            <b/>
            <sz val="9"/>
            <color indexed="81"/>
            <rFont val="Tahoma"/>
            <family val="2"/>
          </rPr>
          <t>intel:</t>
        </r>
        <r>
          <rPr>
            <sz val="9"/>
            <color indexed="81"/>
            <rFont val="Tahoma"/>
            <family val="2"/>
          </rPr>
          <t xml:space="preserve">
renew 08/2025</t>
        </r>
      </text>
    </comment>
    <comment ref="Z39" authorId="0" shapeId="0" xr:uid="{370553FD-62FB-4836-916A-046A59863687}">
      <text>
        <r>
          <rPr>
            <b/>
            <sz val="9"/>
            <color indexed="81"/>
            <rFont val="Tahoma"/>
            <family val="2"/>
          </rPr>
          <t>Admin:</t>
        </r>
        <r>
          <rPr>
            <sz val="9"/>
            <color indexed="81"/>
            <rFont val="Tahoma"/>
            <family val="2"/>
          </rPr>
          <t xml:space="preserve">
12/15/25
11/15/27</t>
        </r>
      </text>
    </comment>
    <comment ref="S42" authorId="0" shapeId="0" xr:uid="{51BC0F6A-0625-4A51-B0BC-A395768B8FD4}">
      <text>
        <r>
          <rPr>
            <b/>
            <sz val="9"/>
            <color indexed="81"/>
            <rFont val="Tahoma"/>
            <family val="2"/>
          </rPr>
          <t>Admin:</t>
        </r>
        <r>
          <rPr>
            <sz val="9"/>
            <color indexed="81"/>
            <rFont val="Tahoma"/>
            <family val="2"/>
          </rPr>
          <t xml:space="preserve">
04/2024
</t>
        </r>
      </text>
    </comment>
    <comment ref="P43" authorId="1" shapeId="0" xr:uid="{00000000-0006-0000-1900-000015000000}">
      <text>
        <r>
          <rPr>
            <b/>
            <sz val="9"/>
            <color indexed="81"/>
            <rFont val="Tahoma"/>
            <family val="2"/>
          </rPr>
          <t>intel:</t>
        </r>
        <r>
          <rPr>
            <sz val="9"/>
            <color indexed="81"/>
            <rFont val="Tahoma"/>
            <family val="2"/>
          </rPr>
          <t xml:space="preserve">
renew</t>
        </r>
      </text>
    </comment>
    <comment ref="S43" authorId="1" shapeId="0" xr:uid="{00000000-0006-0000-1900-000017000000}">
      <text>
        <r>
          <rPr>
            <b/>
            <sz val="9"/>
            <color indexed="81"/>
            <rFont val="Tahoma"/>
            <family val="2"/>
          </rPr>
          <t>new 9/14/2023</t>
        </r>
      </text>
    </comment>
    <comment ref="M46" authorId="1" shapeId="0" xr:uid="{00000000-0006-0000-1900-00001B000000}">
      <text>
        <r>
          <rPr>
            <b/>
            <sz val="9"/>
            <color indexed="81"/>
            <rFont val="Tahoma"/>
            <family val="2"/>
          </rPr>
          <t>intel:</t>
        </r>
        <r>
          <rPr>
            <sz val="9"/>
            <color indexed="81"/>
            <rFont val="Tahoma"/>
            <family val="2"/>
          </rPr>
          <t xml:space="preserve">
renew 11/9/22</t>
        </r>
      </text>
    </comment>
    <comment ref="S49" authorId="1" shapeId="0" xr:uid="{00000000-0006-0000-1900-00001E000000}">
      <text>
        <r>
          <rPr>
            <b/>
            <sz val="9"/>
            <color indexed="81"/>
            <rFont val="Tahoma"/>
            <family val="2"/>
          </rPr>
          <t>intel:</t>
        </r>
        <r>
          <rPr>
            <sz val="9"/>
            <color indexed="81"/>
            <rFont val="Tahoma"/>
            <family val="2"/>
          </rPr>
          <t xml:space="preserve">
new 1/9/22</t>
        </r>
      </text>
    </comment>
    <comment ref="S53" authorId="1" shapeId="0" xr:uid="{00000000-0006-0000-1900-00001F000000}">
      <text>
        <r>
          <rPr>
            <b/>
            <sz val="9"/>
            <color indexed="81"/>
            <rFont val="Tahoma"/>
            <family val="2"/>
          </rPr>
          <t>intel:</t>
        </r>
        <r>
          <rPr>
            <sz val="9"/>
            <color indexed="81"/>
            <rFont val="Tahoma"/>
            <family val="2"/>
          </rPr>
          <t xml:space="preserve">
new</t>
        </r>
      </text>
    </comment>
    <comment ref="M54" authorId="1" shapeId="0" xr:uid="{00000000-0006-0000-1900-000020000000}">
      <text>
        <r>
          <rPr>
            <b/>
            <sz val="9"/>
            <color indexed="81"/>
            <rFont val="Tahoma"/>
            <family val="2"/>
          </rPr>
          <t>intel:</t>
        </r>
        <r>
          <rPr>
            <sz val="9"/>
            <color indexed="81"/>
            <rFont val="Tahoma"/>
            <family val="2"/>
          </rPr>
          <t xml:space="preserve">
new 11/11/22</t>
        </r>
      </text>
    </comment>
    <comment ref="AC54" authorId="1" shapeId="0" xr:uid="{00000000-0006-0000-1900-000021000000}">
      <text>
        <r>
          <rPr>
            <b/>
            <sz val="9"/>
            <color indexed="81"/>
            <rFont val="Tahoma"/>
            <family val="2"/>
          </rPr>
          <t>intel:</t>
        </r>
        <r>
          <rPr>
            <sz val="9"/>
            <color indexed="81"/>
            <rFont val="Tahoma"/>
            <family val="2"/>
          </rPr>
          <t xml:space="preserve">
new</t>
        </r>
      </text>
    </comment>
    <comment ref="AC55" authorId="1" shapeId="0" xr:uid="{00000000-0006-0000-1900-000022000000}">
      <text>
        <r>
          <rPr>
            <b/>
            <sz val="9"/>
            <color indexed="81"/>
            <rFont val="Tahoma"/>
            <family val="2"/>
          </rPr>
          <t>intel:</t>
        </r>
        <r>
          <rPr>
            <sz val="9"/>
            <color indexed="81"/>
            <rFont val="Tahoma"/>
            <family val="2"/>
          </rPr>
          <t xml:space="preserve">
new 10/06/2022</t>
        </r>
      </text>
    </comment>
    <comment ref="S62" authorId="1" shapeId="0" xr:uid="{00000000-0006-0000-1900-000024000000}">
      <text>
        <r>
          <rPr>
            <b/>
            <sz val="9"/>
            <color indexed="81"/>
            <rFont val="Tahoma"/>
            <family val="2"/>
          </rPr>
          <t>intel:</t>
        </r>
        <r>
          <rPr>
            <sz val="9"/>
            <color indexed="81"/>
            <rFont val="Tahoma"/>
            <family val="2"/>
          </rPr>
          <t xml:space="preserve">
new 8/10/2022</t>
        </r>
      </text>
    </comment>
    <comment ref="M63" authorId="1" shapeId="0" xr:uid="{00000000-0006-0000-1900-000025000000}">
      <text>
        <r>
          <rPr>
            <b/>
            <sz val="9"/>
            <color indexed="81"/>
            <rFont val="Tahoma"/>
            <family val="2"/>
          </rPr>
          <t>intel:</t>
        </r>
        <r>
          <rPr>
            <sz val="9"/>
            <color indexed="81"/>
            <rFont val="Tahoma"/>
            <family val="2"/>
          </rPr>
          <t xml:space="preserve">
renew 11/9/22</t>
        </r>
      </text>
    </comment>
    <comment ref="Z63" authorId="0" shapeId="0" xr:uid="{16DD1D89-806C-4883-A471-945AADD04A20}">
      <text>
        <r>
          <rPr>
            <b/>
            <sz val="9"/>
            <color indexed="81"/>
            <rFont val="Tahoma"/>
            <family val="2"/>
          </rPr>
          <t>Admin:</t>
        </r>
        <r>
          <rPr>
            <sz val="9"/>
            <color indexed="81"/>
            <rFont val="Tahoma"/>
            <family val="2"/>
          </rPr>
          <t xml:space="preserve">
renewed
start of ded (june'25</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user</author>
    <author>intel</author>
    <author>Admin</author>
    <author>Dex</author>
  </authors>
  <commentList>
    <comment ref="O12" authorId="0" shapeId="0" xr:uid="{00000000-0006-0000-1A00-000001000000}">
      <text>
        <r>
          <rPr>
            <b/>
            <sz val="9"/>
            <color indexed="81"/>
            <rFont val="Tahoma"/>
            <family val="2"/>
          </rPr>
          <t>user:</t>
        </r>
        <r>
          <rPr>
            <sz val="9"/>
            <color indexed="81"/>
            <rFont val="Tahoma"/>
            <family val="2"/>
          </rPr>
          <t xml:space="preserve">
for verification per gsis billing w/ existing loan</t>
        </r>
      </text>
    </comment>
    <comment ref="P12" authorId="1" shapeId="0" xr:uid="{AFAF5AB3-348E-427E-B96D-674EBA22E78B}">
      <text>
        <r>
          <rPr>
            <b/>
            <sz val="9"/>
            <color indexed="81"/>
            <rFont val="Tahoma"/>
            <family val="2"/>
          </rPr>
          <t>intel:</t>
        </r>
        <r>
          <rPr>
            <sz val="9"/>
            <color indexed="81"/>
            <rFont val="Tahoma"/>
            <family val="2"/>
          </rPr>
          <t xml:space="preserve">
renew 06/19/2024</t>
        </r>
      </text>
    </comment>
    <comment ref="K13" authorId="1" shapeId="0" xr:uid="{00000000-0006-0000-1A00-000004000000}">
      <text>
        <r>
          <rPr>
            <b/>
            <sz val="9"/>
            <color indexed="81"/>
            <rFont val="Tahoma"/>
            <family val="2"/>
          </rPr>
          <t>intel:</t>
        </r>
        <r>
          <rPr>
            <sz val="9"/>
            <color indexed="81"/>
            <rFont val="Tahoma"/>
            <family val="2"/>
          </rPr>
          <t xml:space="preserve">
renew 07/26/2024
</t>
        </r>
      </text>
    </comment>
    <comment ref="W13" authorId="2" shapeId="0" xr:uid="{7CE9601C-FF83-478E-946A-B33E412DA13E}">
      <text>
        <r>
          <rPr>
            <b/>
            <sz val="9"/>
            <color indexed="81"/>
            <rFont val="Tahoma"/>
            <family val="2"/>
          </rPr>
          <t>Admin:</t>
        </r>
        <r>
          <rPr>
            <sz val="9"/>
            <color indexed="81"/>
            <rFont val="Tahoma"/>
            <family val="2"/>
          </rPr>
          <t xml:space="preserve">
new 5/13/2024</t>
        </r>
      </text>
    </comment>
    <comment ref="W14" authorId="1" shapeId="0" xr:uid="{00000000-0006-0000-1A00-000006000000}">
      <text>
        <r>
          <rPr>
            <b/>
            <sz val="9"/>
            <color indexed="81"/>
            <rFont val="Tahoma"/>
            <family val="2"/>
          </rPr>
          <t>intel:</t>
        </r>
        <r>
          <rPr>
            <sz val="9"/>
            <color indexed="81"/>
            <rFont val="Tahoma"/>
            <family val="2"/>
          </rPr>
          <t xml:space="preserve">
renew 6/2023</t>
        </r>
      </text>
    </comment>
    <comment ref="K15" authorId="1" shapeId="0" xr:uid="{00000000-0006-0000-1A00-000007000000}">
      <text>
        <r>
          <rPr>
            <b/>
            <sz val="9"/>
            <color indexed="81"/>
            <rFont val="Tahoma"/>
            <family val="2"/>
          </rPr>
          <t>intel:</t>
        </r>
        <r>
          <rPr>
            <sz val="9"/>
            <color indexed="81"/>
            <rFont val="Tahoma"/>
            <family val="2"/>
          </rPr>
          <t xml:space="preserve">
renew 11/8/22</t>
        </r>
      </text>
    </comment>
    <comment ref="P17" authorId="3" shapeId="0" xr:uid="{00000000-0006-0000-1A00-00000B000000}">
      <text>
        <r>
          <rPr>
            <sz val="9"/>
            <color indexed="81"/>
            <rFont val="Tahoma"/>
            <family val="2"/>
          </rPr>
          <t xml:space="preserve">
renew 7/01/2024</t>
        </r>
      </text>
    </comment>
    <comment ref="W17" authorId="1" shapeId="0" xr:uid="{02047214-3992-4B31-B12C-FFACD27A29DA}">
      <text>
        <r>
          <rPr>
            <b/>
            <sz val="9"/>
            <color indexed="81"/>
            <rFont val="Tahoma"/>
            <family val="2"/>
          </rPr>
          <t>intel:</t>
        </r>
        <r>
          <rPr>
            <sz val="9"/>
            <color indexed="81"/>
            <rFont val="Tahoma"/>
            <family val="2"/>
          </rPr>
          <t xml:space="preserve">
new 2/2025</t>
        </r>
      </text>
    </comment>
    <comment ref="P18" authorId="1" shapeId="0" xr:uid="{00000000-0006-0000-1A00-00000E000000}">
      <text>
        <r>
          <rPr>
            <b/>
            <sz val="9"/>
            <color indexed="81"/>
            <rFont val="Tahoma"/>
            <family val="2"/>
          </rPr>
          <t>intel:</t>
        </r>
        <r>
          <rPr>
            <sz val="9"/>
            <color indexed="81"/>
            <rFont val="Tahoma"/>
            <family val="2"/>
          </rPr>
          <t xml:space="preserve">
renew 7/29/2024
</t>
        </r>
      </text>
    </comment>
    <comment ref="Z18" authorId="1" shapeId="0" xr:uid="{00000000-0006-0000-1A00-00000F000000}">
      <text>
        <r>
          <rPr>
            <b/>
            <sz val="9"/>
            <color indexed="81"/>
            <rFont val="Tahoma"/>
            <family val="2"/>
          </rPr>
          <t>intel:</t>
        </r>
        <r>
          <rPr>
            <sz val="9"/>
            <color indexed="81"/>
            <rFont val="Tahoma"/>
            <family val="2"/>
          </rPr>
          <t xml:space="preserve">
renew</t>
        </r>
      </text>
    </comment>
    <comment ref="Z19" authorId="1" shapeId="0" xr:uid="{65E31FED-F867-47E2-B083-ABD0B16A33AD}">
      <text>
        <r>
          <rPr>
            <b/>
            <sz val="9"/>
            <color indexed="81"/>
            <rFont val="Tahoma"/>
            <family val="2"/>
          </rPr>
          <t>intel:</t>
        </r>
        <r>
          <rPr>
            <sz val="9"/>
            <color indexed="81"/>
            <rFont val="Tahoma"/>
            <family val="2"/>
          </rPr>
          <t xml:space="preserve">
renew</t>
        </r>
      </text>
    </comment>
    <comment ref="W20" authorId="2" shapeId="0" xr:uid="{E62BA46A-29D9-4327-B755-BA532A87872B}">
      <text>
        <r>
          <rPr>
            <b/>
            <sz val="9"/>
            <color indexed="81"/>
            <rFont val="Tahoma"/>
            <family val="2"/>
          </rPr>
          <t>Admin:</t>
        </r>
        <r>
          <rPr>
            <sz val="9"/>
            <color indexed="81"/>
            <rFont val="Tahoma"/>
            <family val="2"/>
          </rPr>
          <t xml:space="preserve">
start 2/19/2024
shld be 10/2023</t>
        </r>
      </text>
    </comment>
    <comment ref="Z20" authorId="1" shapeId="0" xr:uid="{00000000-0006-0000-1A00-000012000000}">
      <text>
        <r>
          <rPr>
            <b/>
            <sz val="9"/>
            <color indexed="81"/>
            <rFont val="Tahoma"/>
            <family val="2"/>
          </rPr>
          <t>intel:</t>
        </r>
        <r>
          <rPr>
            <sz val="9"/>
            <color indexed="81"/>
            <rFont val="Tahoma"/>
            <family val="2"/>
          </rPr>
          <t xml:space="preserve">
new 3/31/23</t>
        </r>
      </text>
    </comment>
    <comment ref="P21" authorId="2" shapeId="0" xr:uid="{EAA12CEA-A07E-4444-A71D-582AF06A2BDE}">
      <text>
        <r>
          <rPr>
            <b/>
            <sz val="9"/>
            <color indexed="81"/>
            <rFont val="Tahoma"/>
            <family val="2"/>
          </rPr>
          <t>Admin:</t>
        </r>
        <r>
          <rPr>
            <sz val="9"/>
            <color indexed="81"/>
            <rFont val="Tahoma"/>
            <family val="2"/>
          </rPr>
          <t xml:space="preserve">
8/2025</t>
        </r>
      </text>
    </comment>
    <comment ref="N25" authorId="2" shapeId="0" xr:uid="{4BD58D79-0A64-43A9-B0F8-DACD2AD37A85}">
      <text>
        <r>
          <rPr>
            <b/>
            <sz val="9"/>
            <color indexed="81"/>
            <rFont val="Tahoma"/>
            <family val="2"/>
          </rPr>
          <t>Admin:</t>
        </r>
        <r>
          <rPr>
            <sz val="9"/>
            <color indexed="81"/>
            <rFont val="Tahoma"/>
            <family val="2"/>
          </rPr>
          <t xml:space="preserve">
start     2/2024
end 3/29/2042</t>
        </r>
      </text>
    </comment>
    <comment ref="Z25" authorId="1" shapeId="0" xr:uid="{72486064-ED21-416B-BF6B-FB9C0EA45C71}">
      <text>
        <r>
          <rPr>
            <b/>
            <sz val="9"/>
            <color indexed="81"/>
            <rFont val="Tahoma"/>
            <family val="2"/>
          </rPr>
          <t>intel:</t>
        </r>
        <r>
          <rPr>
            <sz val="9"/>
            <color indexed="81"/>
            <rFont val="Tahoma"/>
            <family val="2"/>
          </rPr>
          <t xml:space="preserve">
renew 6/2025
</t>
        </r>
      </text>
    </comment>
    <comment ref="J35" authorId="1" shapeId="0" xr:uid="{00000000-0006-0000-1A00-000019000000}">
      <text>
        <r>
          <rPr>
            <b/>
            <sz val="9"/>
            <color indexed="81"/>
            <rFont val="Tahoma"/>
            <family val="2"/>
          </rPr>
          <t>intel:</t>
        </r>
        <r>
          <rPr>
            <sz val="9"/>
            <color indexed="81"/>
            <rFont val="Tahoma"/>
            <family val="2"/>
          </rPr>
          <t xml:space="preserve">
</t>
        </r>
      </text>
    </comment>
    <comment ref="P35" authorId="1" shapeId="0" xr:uid="{00000000-0006-0000-1A00-00001A000000}">
      <text>
        <r>
          <rPr>
            <b/>
            <sz val="9"/>
            <color indexed="81"/>
            <rFont val="Tahoma"/>
            <family val="2"/>
          </rPr>
          <t>intel:</t>
        </r>
        <r>
          <rPr>
            <sz val="9"/>
            <color indexed="81"/>
            <rFont val="Tahoma"/>
            <family val="2"/>
          </rPr>
          <t xml:space="preserve">
new 9/13/2022</t>
        </r>
      </text>
    </comment>
    <comment ref="N38" authorId="2" shapeId="0" xr:uid="{DD94278B-F596-4C20-8669-2B7980AED7D2}">
      <text>
        <r>
          <rPr>
            <b/>
            <sz val="9"/>
            <color indexed="81"/>
            <rFont val="Tahoma"/>
            <family val="2"/>
          </rPr>
          <t>Admin:</t>
        </r>
        <r>
          <rPr>
            <sz val="9"/>
            <color indexed="81"/>
            <rFont val="Tahoma"/>
            <family val="2"/>
          </rPr>
          <t xml:space="preserve">
3/1/2024</t>
        </r>
      </text>
    </comment>
    <comment ref="W38" authorId="1" shapeId="0" xr:uid="{00000000-0006-0000-1A00-00001D000000}">
      <text>
        <r>
          <rPr>
            <b/>
            <sz val="9"/>
            <color indexed="81"/>
            <rFont val="Tahoma"/>
            <family val="2"/>
          </rPr>
          <t>intel:</t>
        </r>
        <r>
          <rPr>
            <sz val="9"/>
            <color indexed="81"/>
            <rFont val="Tahoma"/>
            <family val="2"/>
          </rPr>
          <t xml:space="preserve">
fully paid</t>
        </r>
      </text>
    </comment>
    <comment ref="P43" authorId="2" shapeId="0" xr:uid="{51A586CD-1618-4A30-809B-F0D1921C09F3}">
      <text>
        <r>
          <rPr>
            <b/>
            <sz val="9"/>
            <color indexed="81"/>
            <rFont val="Tahoma"/>
            <family val="2"/>
          </rPr>
          <t>Admin:</t>
        </r>
        <r>
          <rPr>
            <sz val="9"/>
            <color indexed="81"/>
            <rFont val="Tahoma"/>
            <family val="2"/>
          </rPr>
          <t xml:space="preserve">
new  07.2024</t>
        </r>
      </text>
    </comment>
    <comment ref="O44" authorId="1" shapeId="0" xr:uid="{00000000-0006-0000-1A00-000020000000}">
      <text>
        <r>
          <rPr>
            <b/>
            <sz val="9"/>
            <color indexed="81"/>
            <rFont val="Tahoma"/>
            <family val="2"/>
          </rPr>
          <t>intel:</t>
        </r>
        <r>
          <rPr>
            <sz val="9"/>
            <color indexed="81"/>
            <rFont val="Tahoma"/>
            <family val="2"/>
          </rPr>
          <t xml:space="preserve">
new June 2022</t>
        </r>
      </text>
    </comment>
    <comment ref="P44" authorId="1" shapeId="0" xr:uid="{00000000-0006-0000-1A00-000021000000}">
      <text>
        <r>
          <rPr>
            <b/>
            <sz val="9"/>
            <color indexed="81"/>
            <rFont val="Tahoma"/>
            <family val="2"/>
          </rPr>
          <t>intel:</t>
        </r>
        <r>
          <rPr>
            <sz val="9"/>
            <color indexed="81"/>
            <rFont val="Tahoma"/>
            <family val="2"/>
          </rPr>
          <t xml:space="preserve">
new 6/1/2023</t>
        </r>
      </text>
    </comment>
    <comment ref="W44" authorId="1" shapeId="0" xr:uid="{00000000-0006-0000-1A00-000022000000}">
      <text>
        <r>
          <rPr>
            <b/>
            <sz val="9"/>
            <color indexed="81"/>
            <rFont val="Tahoma"/>
            <family val="2"/>
          </rPr>
          <t>intel:</t>
        </r>
        <r>
          <rPr>
            <sz val="9"/>
            <color indexed="81"/>
            <rFont val="Tahoma"/>
            <family val="2"/>
          </rPr>
          <t xml:space="preserve">
new 6/2023</t>
        </r>
      </text>
    </comment>
    <comment ref="K47" authorId="2" shapeId="0" xr:uid="{071ACBD4-52DF-4DDC-B5E7-0BB7D2E08C1B}">
      <text>
        <r>
          <rPr>
            <b/>
            <sz val="9"/>
            <color indexed="81"/>
            <rFont val="Tahoma"/>
            <family val="2"/>
          </rPr>
          <t>Admin:</t>
        </r>
        <r>
          <rPr>
            <sz val="9"/>
            <color indexed="81"/>
            <rFont val="Tahoma"/>
            <family val="2"/>
          </rPr>
          <t xml:space="preserve">
8/2025</t>
        </r>
      </text>
    </comment>
    <comment ref="Z47" authorId="1" shapeId="0" xr:uid="{00000000-0006-0000-1A00-000024000000}">
      <text>
        <r>
          <rPr>
            <b/>
            <sz val="9"/>
            <color indexed="81"/>
            <rFont val="Tahoma"/>
            <family val="2"/>
          </rPr>
          <t>intel:</t>
        </r>
        <r>
          <rPr>
            <sz val="9"/>
            <color indexed="81"/>
            <rFont val="Tahoma"/>
            <family val="2"/>
          </rPr>
          <t xml:space="preserve">
new 10/7/22</t>
        </r>
      </text>
    </comment>
    <comment ref="K51" authorId="2" shapeId="0" xr:uid="{51EDF7E5-FF6C-44C7-ACA4-92E57955B23C}">
      <text>
        <r>
          <rPr>
            <b/>
            <sz val="9"/>
            <color indexed="81"/>
            <rFont val="Tahoma"/>
            <family val="2"/>
          </rPr>
          <t>Admin:</t>
        </r>
        <r>
          <rPr>
            <sz val="9"/>
            <color indexed="81"/>
            <rFont val="Tahoma"/>
            <family val="2"/>
          </rPr>
          <t xml:space="preserve">
7/26/2024</t>
        </r>
      </text>
    </comment>
    <comment ref="K52" authorId="1" shapeId="0" xr:uid="{00000000-0006-0000-1A00-00002B000000}">
      <text>
        <r>
          <rPr>
            <b/>
            <sz val="9"/>
            <color indexed="81"/>
            <rFont val="Tahoma"/>
            <family val="2"/>
          </rPr>
          <t>intel:</t>
        </r>
        <r>
          <rPr>
            <sz val="9"/>
            <color indexed="81"/>
            <rFont val="Tahoma"/>
            <family val="2"/>
          </rPr>
          <t xml:space="preserve">
NEW</t>
        </r>
      </text>
    </comment>
    <comment ref="O52" authorId="1" shapeId="0" xr:uid="{00000000-0006-0000-1A00-00002C000000}">
      <text>
        <r>
          <rPr>
            <b/>
            <sz val="9"/>
            <color indexed="81"/>
            <rFont val="Tahoma"/>
            <family val="2"/>
          </rPr>
          <t>intel:</t>
        </r>
        <r>
          <rPr>
            <sz val="9"/>
            <color indexed="81"/>
            <rFont val="Tahoma"/>
            <family val="2"/>
          </rPr>
          <t xml:space="preserve">
new</t>
        </r>
      </text>
    </comment>
    <comment ref="P52" authorId="2" shapeId="0" xr:uid="{0ED108D0-A8DE-476A-9724-721C0FA994C8}">
      <text>
        <r>
          <rPr>
            <b/>
            <sz val="9"/>
            <color indexed="81"/>
            <rFont val="Tahoma"/>
            <family val="2"/>
          </rPr>
          <t>Admin:</t>
        </r>
        <r>
          <rPr>
            <sz val="9"/>
            <color indexed="81"/>
            <rFont val="Tahoma"/>
            <family val="2"/>
          </rPr>
          <t xml:space="preserve">
new 07.2024</t>
        </r>
      </text>
    </comment>
    <comment ref="P53" authorId="1" shapeId="0" xr:uid="{00000000-0006-0000-1A00-00002E000000}">
      <text>
        <r>
          <rPr>
            <b/>
            <sz val="9"/>
            <color indexed="81"/>
            <rFont val="Tahoma"/>
            <family val="2"/>
          </rPr>
          <t>intel:</t>
        </r>
        <r>
          <rPr>
            <sz val="9"/>
            <color indexed="81"/>
            <rFont val="Tahoma"/>
            <family val="2"/>
          </rPr>
          <t xml:space="preserve">
Renew 1/23/2024</t>
        </r>
      </text>
    </comment>
    <comment ref="O54" authorId="1" shapeId="0" xr:uid="{00000000-0006-0000-1A00-000030000000}">
      <text>
        <r>
          <rPr>
            <b/>
            <sz val="9"/>
            <color indexed="81"/>
            <rFont val="Tahoma"/>
            <family val="2"/>
          </rPr>
          <t>intel:</t>
        </r>
        <r>
          <rPr>
            <sz val="9"/>
            <color indexed="81"/>
            <rFont val="Tahoma"/>
            <family val="2"/>
          </rPr>
          <t xml:space="preserve">
new</t>
        </r>
      </text>
    </comment>
    <comment ref="Z54" authorId="1" shapeId="0" xr:uid="{00000000-0006-0000-1A00-000031000000}">
      <text>
        <r>
          <rPr>
            <b/>
            <sz val="9"/>
            <color indexed="81"/>
            <rFont val="Tahoma"/>
            <family val="2"/>
          </rPr>
          <t>intel:</t>
        </r>
        <r>
          <rPr>
            <sz val="9"/>
            <color indexed="81"/>
            <rFont val="Tahoma"/>
            <family val="2"/>
          </rPr>
          <t xml:space="preserve">
renew 12/16/22</t>
        </r>
      </text>
    </comment>
    <comment ref="Z55" authorId="1" shapeId="0" xr:uid="{00000000-0006-0000-1A00-000032000000}">
      <text>
        <r>
          <rPr>
            <b/>
            <sz val="9"/>
            <color indexed="81"/>
            <rFont val="Tahoma"/>
            <family val="2"/>
          </rPr>
          <t>intel:</t>
        </r>
        <r>
          <rPr>
            <sz val="9"/>
            <color indexed="81"/>
            <rFont val="Tahoma"/>
            <family val="2"/>
          </rPr>
          <t xml:space="preserve">
new 4/2022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intel</author>
    <author>User</author>
    <author>Admin</author>
  </authors>
  <commentList>
    <comment ref="X16" authorId="0" shapeId="0" xr:uid="{00000000-0006-0000-1C00-000004000000}">
      <text>
        <r>
          <rPr>
            <b/>
            <sz val="9"/>
            <color indexed="81"/>
            <rFont val="Tahoma"/>
            <family val="2"/>
          </rPr>
          <t>intel:</t>
        </r>
        <r>
          <rPr>
            <sz val="9"/>
            <color indexed="81"/>
            <rFont val="Tahoma"/>
            <family val="2"/>
          </rPr>
          <t xml:space="preserve">
new 6/2023</t>
        </r>
      </text>
    </comment>
    <comment ref="AA16" authorId="1" shapeId="0" xr:uid="{00000000-0006-0000-1C00-000005000000}">
      <text>
        <r>
          <rPr>
            <b/>
            <sz val="9"/>
            <color indexed="81"/>
            <rFont val="Tahoma"/>
            <family val="2"/>
          </rPr>
          <t>User:</t>
        </r>
        <r>
          <rPr>
            <sz val="9"/>
            <color indexed="81"/>
            <rFont val="Tahoma"/>
            <family val="2"/>
          </rPr>
          <t xml:space="preserve">
new
</t>
        </r>
      </text>
    </comment>
    <comment ref="J28" authorId="0" shapeId="0" xr:uid="{00000000-0006-0000-1C00-000006000000}">
      <text>
        <r>
          <rPr>
            <b/>
            <sz val="9"/>
            <color indexed="81"/>
            <rFont val="Tahoma"/>
            <family val="2"/>
          </rPr>
          <t>intel:</t>
        </r>
        <r>
          <rPr>
            <sz val="9"/>
            <color indexed="81"/>
            <rFont val="Tahoma"/>
            <family val="2"/>
          </rPr>
          <t xml:space="preserve">
renew 8/2025</t>
        </r>
      </text>
    </comment>
    <comment ref="P28" authorId="0" shapeId="0" xr:uid="{00000000-0006-0000-1C00-000007000000}">
      <text>
        <r>
          <rPr>
            <b/>
            <sz val="9"/>
            <color indexed="81"/>
            <rFont val="Tahoma"/>
            <family val="2"/>
          </rPr>
          <t>intel:</t>
        </r>
        <r>
          <rPr>
            <sz val="9"/>
            <color indexed="81"/>
            <rFont val="Tahoma"/>
            <family val="2"/>
          </rPr>
          <t xml:space="preserve">
renew 2/2024</t>
        </r>
      </text>
    </comment>
    <comment ref="J29" authorId="0" shapeId="0" xr:uid="{00000000-0006-0000-1C00-000009000000}">
      <text>
        <r>
          <rPr>
            <b/>
            <sz val="9"/>
            <color indexed="81"/>
            <rFont val="Tahoma"/>
            <family val="2"/>
          </rPr>
          <t>intel:</t>
        </r>
        <r>
          <rPr>
            <sz val="9"/>
            <color indexed="81"/>
            <rFont val="Tahoma"/>
            <family val="2"/>
          </rPr>
          <t xml:space="preserve">
renew 11/9/22</t>
        </r>
      </text>
    </comment>
    <comment ref="AA32" authorId="0" shapeId="0" xr:uid="{00000000-0006-0000-1C00-000013000000}">
      <text>
        <r>
          <rPr>
            <b/>
            <sz val="9"/>
            <color indexed="81"/>
            <rFont val="Tahoma"/>
            <family val="2"/>
          </rPr>
          <t>intel:</t>
        </r>
        <r>
          <rPr>
            <sz val="9"/>
            <color indexed="81"/>
            <rFont val="Tahoma"/>
            <family val="2"/>
          </rPr>
          <t xml:space="preserve">
new RENEW</t>
        </r>
      </text>
    </comment>
    <comment ref="X36" authorId="0" shapeId="0" xr:uid="{00000000-0006-0000-1C00-000014000000}">
      <text>
        <r>
          <rPr>
            <b/>
            <sz val="9"/>
            <color indexed="81"/>
            <rFont val="Tahoma"/>
            <family val="2"/>
          </rPr>
          <t>intel:</t>
        </r>
        <r>
          <rPr>
            <sz val="9"/>
            <color indexed="81"/>
            <rFont val="Tahoma"/>
            <family val="2"/>
          </rPr>
          <t xml:space="preserve">
renew 05/2024</t>
        </r>
      </text>
    </comment>
    <comment ref="J38" authorId="0" shapeId="0" xr:uid="{00000000-0006-0000-1C00-000002000000}">
      <text>
        <r>
          <rPr>
            <b/>
            <sz val="9"/>
            <color indexed="81"/>
            <rFont val="Tahoma"/>
            <family val="2"/>
          </rPr>
          <t>intel:</t>
        </r>
        <r>
          <rPr>
            <sz val="9"/>
            <color indexed="81"/>
            <rFont val="Tahoma"/>
            <family val="2"/>
          </rPr>
          <t xml:space="preserve">
renew</t>
        </r>
      </text>
    </comment>
    <comment ref="P38" authorId="2" shapeId="0" xr:uid="{FBFE1E1C-F689-4617-B40F-80DB6F04700E}">
      <text>
        <r>
          <rPr>
            <b/>
            <sz val="9"/>
            <color indexed="81"/>
            <rFont val="Tahoma"/>
            <family val="2"/>
          </rPr>
          <t>Admin:</t>
        </r>
        <r>
          <rPr>
            <sz val="9"/>
            <color indexed="81"/>
            <rFont val="Tahoma"/>
            <family val="2"/>
          </rPr>
          <t xml:space="preserve">
renew 9/16/2024</t>
        </r>
      </text>
    </comment>
    <comment ref="J39" authorId="2" shapeId="0" xr:uid="{8567B833-A75C-45B2-B3C3-8F28C7E5A84B}">
      <text>
        <r>
          <rPr>
            <b/>
            <sz val="9"/>
            <color indexed="81"/>
            <rFont val="Tahoma"/>
            <family val="2"/>
          </rPr>
          <t>Admin:</t>
        </r>
        <r>
          <rPr>
            <sz val="9"/>
            <color indexed="81"/>
            <rFont val="Tahoma"/>
            <family val="2"/>
          </rPr>
          <t xml:space="preserve">
renew 7/2025</t>
        </r>
      </text>
    </comment>
    <comment ref="J40" authorId="0" shapeId="0" xr:uid="{00000000-0006-0000-1C00-000010000000}">
      <text>
        <r>
          <rPr>
            <b/>
            <sz val="9"/>
            <color indexed="81"/>
            <rFont val="Tahoma"/>
            <family val="2"/>
          </rPr>
          <t>intel:</t>
        </r>
        <r>
          <rPr>
            <sz val="9"/>
            <color indexed="81"/>
            <rFont val="Tahoma"/>
            <family val="2"/>
          </rPr>
          <t xml:space="preserve">
renew 07/01/2024</t>
        </r>
      </text>
    </comment>
    <comment ref="P40" authorId="0" shapeId="0" xr:uid="{00000000-0006-0000-1C00-000011000000}">
      <text>
        <r>
          <rPr>
            <b/>
            <sz val="9"/>
            <color indexed="81"/>
            <rFont val="Tahoma"/>
            <family val="2"/>
          </rPr>
          <t>intel:</t>
        </r>
        <r>
          <rPr>
            <sz val="9"/>
            <color indexed="81"/>
            <rFont val="Tahoma"/>
            <family val="2"/>
          </rPr>
          <t xml:space="preserve">
renew 9/2024</t>
        </r>
      </text>
    </comment>
    <comment ref="AA40" authorId="2" shapeId="0" xr:uid="{77E881A1-ACF0-4DC3-B12C-EB12A95944F8}">
      <text>
        <r>
          <rPr>
            <b/>
            <sz val="9"/>
            <color indexed="81"/>
            <rFont val="Tahoma"/>
            <family val="2"/>
          </rPr>
          <t>Admin:</t>
        </r>
        <r>
          <rPr>
            <sz val="9"/>
            <color indexed="81"/>
            <rFont val="Tahoma"/>
            <family val="2"/>
          </rPr>
          <t xml:space="preserve">
renew 7.2025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intel</author>
  </authors>
  <commentList>
    <comment ref="M14" authorId="0" shapeId="0" xr:uid="{EE64C641-2FE2-43A0-83B5-F3CE1D8CDC52}">
      <text>
        <r>
          <rPr>
            <b/>
            <sz val="9"/>
            <color indexed="81"/>
            <rFont val="Tahoma"/>
            <family val="2"/>
          </rPr>
          <t>intel:</t>
        </r>
        <r>
          <rPr>
            <sz val="9"/>
            <color indexed="81"/>
            <rFont val="Tahoma"/>
            <family val="2"/>
          </rPr>
          <t xml:space="preserve">
renew 7/26/24</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intel</author>
  </authors>
  <commentList>
    <comment ref="M14" authorId="0" shapeId="0" xr:uid="{7AF9052B-4960-4D93-AEB7-DC111782D3DE}">
      <text>
        <r>
          <rPr>
            <b/>
            <sz val="9"/>
            <color indexed="81"/>
            <rFont val="Tahoma"/>
            <family val="2"/>
          </rPr>
          <t>intel:</t>
        </r>
        <r>
          <rPr>
            <sz val="9"/>
            <color indexed="81"/>
            <rFont val="Tahoma"/>
            <family val="2"/>
          </rPr>
          <t xml:space="preserve">
renew 7/26/24</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Y36" authorId="0" shapeId="0" xr:uid="{00000000-0006-0000-1F00-000001000000}">
      <text>
        <r>
          <rPr>
            <b/>
            <sz val="9"/>
            <color indexed="81"/>
            <rFont val="Tahoma"/>
            <family val="2"/>
          </rPr>
          <t>User:</t>
        </r>
        <r>
          <rPr>
            <sz val="9"/>
            <color indexed="81"/>
            <rFont val="Tahoma"/>
            <family val="2"/>
          </rPr>
          <t xml:space="preserve">
500.00 allowance </t>
        </r>
      </text>
    </comment>
    <comment ref="D75" authorId="0" shapeId="0" xr:uid="{00000000-0006-0000-1F00-000002000000}">
      <text>
        <r>
          <rPr>
            <b/>
            <sz val="9"/>
            <color indexed="81"/>
            <rFont val="Tahoma"/>
            <family val="2"/>
          </rPr>
          <t>User:</t>
        </r>
        <r>
          <rPr>
            <sz val="9"/>
            <color indexed="81"/>
            <rFont val="Tahoma"/>
            <family val="2"/>
          </rPr>
          <t xml:space="preserve">
adjusted rate</t>
        </r>
      </text>
    </comment>
    <comment ref="D85" authorId="0" shapeId="0" xr:uid="{00000000-0006-0000-1F00-000003000000}">
      <text>
        <r>
          <rPr>
            <b/>
            <sz val="9"/>
            <color indexed="81"/>
            <rFont val="Tahoma"/>
            <family val="2"/>
          </rPr>
          <t>User:</t>
        </r>
        <r>
          <rPr>
            <sz val="9"/>
            <color indexed="81"/>
            <rFont val="Tahoma"/>
            <family val="2"/>
          </rPr>
          <t xml:space="preserve">
for verification should be 24,391.00</t>
        </r>
      </text>
    </comment>
    <comment ref="D88" authorId="0" shapeId="0" xr:uid="{00000000-0006-0000-1F00-000004000000}">
      <text>
        <r>
          <rPr>
            <b/>
            <sz val="9"/>
            <color indexed="81"/>
            <rFont val="Tahoma"/>
            <family val="2"/>
          </rPr>
          <t>User:</t>
        </r>
        <r>
          <rPr>
            <sz val="9"/>
            <color indexed="81"/>
            <rFont val="Tahoma"/>
            <family val="2"/>
          </rPr>
          <t xml:space="preserve">
for verification should be 17,663.00</t>
        </r>
      </text>
    </comment>
    <comment ref="Y100" authorId="0" shapeId="0" xr:uid="{00000000-0006-0000-1F00-000005000000}">
      <text>
        <r>
          <rPr>
            <b/>
            <sz val="9"/>
            <color indexed="81"/>
            <rFont val="Tahoma"/>
            <family val="2"/>
          </rPr>
          <t>User:</t>
        </r>
        <r>
          <rPr>
            <sz val="9"/>
            <color indexed="81"/>
            <rFont val="Tahoma"/>
            <family val="2"/>
          </rPr>
          <t xml:space="preserve">
allowance 3,607.15
</t>
        </r>
      </text>
    </comment>
    <comment ref="D102" authorId="0" shapeId="0" xr:uid="{00000000-0006-0000-1F00-000006000000}">
      <text>
        <r>
          <rPr>
            <b/>
            <sz val="9"/>
            <color indexed="81"/>
            <rFont val="Tahoma"/>
            <family val="2"/>
          </rPr>
          <t>User:</t>
        </r>
        <r>
          <rPr>
            <sz val="9"/>
            <color indexed="81"/>
            <rFont val="Tahoma"/>
            <family val="2"/>
          </rPr>
          <t xml:space="preserve">
add'l. personnel</t>
        </r>
      </text>
    </comment>
    <comment ref="D109" authorId="0" shapeId="0" xr:uid="{00000000-0006-0000-1F00-000007000000}">
      <text>
        <r>
          <rPr>
            <b/>
            <sz val="9"/>
            <color indexed="81"/>
            <rFont val="Tahoma"/>
            <family val="2"/>
          </rPr>
          <t>User:</t>
        </r>
        <r>
          <rPr>
            <sz val="9"/>
            <color indexed="81"/>
            <rFont val="Tahoma"/>
            <family val="2"/>
          </rPr>
          <t xml:space="preserve">
adjusted rate
 10,571.00</t>
        </r>
      </text>
    </comment>
    <comment ref="Y123" authorId="0" shapeId="0" xr:uid="{00000000-0006-0000-1F00-000008000000}">
      <text>
        <r>
          <rPr>
            <b/>
            <sz val="9"/>
            <color indexed="81"/>
            <rFont val="Tahoma"/>
            <family val="2"/>
          </rPr>
          <t>User:</t>
        </r>
        <r>
          <rPr>
            <sz val="9"/>
            <color indexed="81"/>
            <rFont val="Tahoma"/>
            <family val="2"/>
          </rPr>
          <t xml:space="preserve">
1000 allowance</t>
        </r>
      </text>
    </comment>
    <comment ref="Y149" authorId="0" shapeId="0" xr:uid="{00000000-0006-0000-1F00-000009000000}">
      <text>
        <r>
          <rPr>
            <b/>
            <sz val="9"/>
            <color indexed="81"/>
            <rFont val="Tahoma"/>
            <family val="2"/>
          </rPr>
          <t>User:</t>
        </r>
        <r>
          <rPr>
            <sz val="9"/>
            <color indexed="81"/>
            <rFont val="Tahoma"/>
            <family val="2"/>
          </rPr>
          <t xml:space="preserve">
992.86 allowance</t>
        </r>
      </text>
    </comment>
  </commentList>
</comments>
</file>

<file path=xl/sharedStrings.xml><?xml version="1.0" encoding="utf-8"?>
<sst xmlns="http://schemas.openxmlformats.org/spreadsheetml/2006/main" count="6462" uniqueCount="701">
  <si>
    <r>
      <t>Municipal</t>
    </r>
    <r>
      <rPr>
        <b/>
        <sz val="16"/>
        <rFont val="Arial"/>
        <family val="2"/>
      </rPr>
      <t xml:space="preserve">          </t>
    </r>
    <r>
      <rPr>
        <b/>
        <sz val="20"/>
        <rFont val="Arial"/>
        <family val="2"/>
      </rPr>
      <t xml:space="preserve">   P    A   Y     R    O    L    L</t>
    </r>
  </si>
  <si>
    <t>NO.</t>
  </si>
  <si>
    <t>NAME</t>
  </si>
  <si>
    <t>DESIGNATION</t>
  </si>
  <si>
    <t>PERIOD OF SERVICE (INCLUSIVE DATES)</t>
  </si>
  <si>
    <t>AMOUNT ACCRUED FOR THE PERIOD</t>
  </si>
  <si>
    <t>D   E   D   U   C   T   I   O   N   S</t>
  </si>
  <si>
    <t>FROM</t>
  </si>
  <si>
    <t>TO</t>
  </si>
  <si>
    <t>HOUSING LOAN</t>
  </si>
  <si>
    <t>SOS</t>
  </si>
  <si>
    <t>ESL</t>
  </si>
  <si>
    <t>LBP</t>
  </si>
  <si>
    <t>GOVERNMENT  SERVICE INSURANCE SYSTEM</t>
  </si>
  <si>
    <t>AMOUNT PAID IN CASH (CR.A-1)</t>
  </si>
  <si>
    <t>N    U M B  E  R</t>
  </si>
  <si>
    <t>MONTLY RATE OF PAY</t>
  </si>
  <si>
    <t>Withholding Tax</t>
  </si>
  <si>
    <t>POLICY LOAN</t>
  </si>
  <si>
    <t>MEDICARE</t>
  </si>
  <si>
    <t>LIFE/RETIREMENT</t>
  </si>
  <si>
    <t>GLOBE</t>
  </si>
  <si>
    <t>RBP</t>
  </si>
  <si>
    <t>MPL</t>
  </si>
  <si>
    <t>QUEDANCOR</t>
  </si>
  <si>
    <t>SIGNATURE OF PAYEE</t>
  </si>
  <si>
    <t>REMARKS</t>
  </si>
  <si>
    <t xml:space="preserve">PERSONAL SHARE </t>
  </si>
  <si>
    <t>GOV'T. SHARE</t>
  </si>
  <si>
    <t>INSURANCE PREMIUM</t>
  </si>
  <si>
    <t>CAL</t>
  </si>
  <si>
    <t>UOLI</t>
  </si>
  <si>
    <t>STATE. INSURANCE</t>
  </si>
  <si>
    <t>GOVERNMENT SHARE</t>
  </si>
  <si>
    <t>OPTIONAL</t>
  </si>
  <si>
    <t>Hazard</t>
  </si>
  <si>
    <t>Mun. Vice Mayor</t>
  </si>
  <si>
    <t xml:space="preserve"> </t>
  </si>
  <si>
    <t>1</t>
  </si>
  <si>
    <t>1021  - SB</t>
  </si>
  <si>
    <t>SB Member</t>
  </si>
  <si>
    <t>BELEN V. YANEZA</t>
  </si>
  <si>
    <t>Clerk IV</t>
  </si>
  <si>
    <t>1022 - SB Secretariat</t>
  </si>
  <si>
    <t>ANNALINDA  CABREGA</t>
  </si>
  <si>
    <t>SB Secretary</t>
  </si>
  <si>
    <t>36</t>
  </si>
  <si>
    <t>37</t>
  </si>
  <si>
    <t>(5) I HEREBY CERTIFY on my official oath that I have paid in cash to each official and employee whose name appears on the above roll the amount set opposite his name, under column 28, he having signed or marked his name under column 30 above, in my presence and at the time that payment was made to him, in acknowledgement of receipt of the money paid him.</t>
  </si>
  <si>
    <t>(1) I HEREBY CERTIFY on my official oath that the above PAYROLL is correct, and that services above stated have been duly rendered. Payment for such services is also hereby approved from the appropriation indicated.</t>
  </si>
  <si>
    <t>(4) APPROVED</t>
  </si>
  <si>
    <t>Chief of Office</t>
  </si>
  <si>
    <t>(2) APPROVED for payment subject to preaudit:</t>
  </si>
  <si>
    <t>Treasurer</t>
  </si>
  <si>
    <t>(3) Preaudited and approved for payment in the month of</t>
  </si>
  <si>
    <t>(6) I HEREBY CERTIFY on my official oath that each employee whose name appears on the above roll has been paid in cash or in check, and in no other mode, the amount shown under column 21 above, opposite his name. The total of the payments made by means this payroll amount to</t>
  </si>
  <si>
    <t>(P                                               )</t>
  </si>
  <si>
    <t>pesos only.</t>
  </si>
  <si>
    <t>Provincial Auditor</t>
  </si>
  <si>
    <r>
      <t>Municipal</t>
    </r>
    <r>
      <rPr>
        <b/>
        <sz val="16"/>
        <rFont val="Arial"/>
        <family val="2"/>
      </rPr>
      <t xml:space="preserve">  </t>
    </r>
    <r>
      <rPr>
        <b/>
        <sz val="20"/>
        <rFont val="Arial"/>
        <family val="2"/>
      </rPr>
      <t>P  A  Y  R  O  L  L</t>
    </r>
  </si>
  <si>
    <r>
      <t>WE HEREBY ACKNOWLEDGE TO HAVE RECEIVED FROM   MINERVA L. BOONGALING</t>
    </r>
    <r>
      <rPr>
        <b/>
        <u/>
        <sz val="10"/>
        <rFont val="Arial"/>
        <family val="2"/>
      </rPr>
      <t>,</t>
    </r>
    <r>
      <rPr>
        <sz val="10"/>
        <rFont val="Arial"/>
        <family val="2"/>
      </rPr>
      <t xml:space="preserve">       TREASURER OF      </t>
    </r>
    <r>
      <rPr>
        <b/>
        <u/>
        <sz val="10"/>
        <rFont val="Arial"/>
        <family val="2"/>
      </rPr>
      <t>PAGSANJAN, LAGUNA</t>
    </r>
    <r>
      <rPr>
        <sz val="10"/>
        <rFont val="Arial"/>
        <family val="2"/>
      </rPr>
      <t xml:space="preserve">      THE SUMS HEREIN SPECIFIED OPPOSITES OUR RESPECTIVE NAMES, THE SAME BEING FULL COMPENSATION FOR OUR SERVICES RENDERED DURING THE PERIOD STATED BELOW, TO THE CORRECTNESS OF WHICH WE HEREBY SEVERALLY</t>
    </r>
  </si>
  <si>
    <t>EDU. CHILD</t>
  </si>
  <si>
    <t>Mun. Mayor</t>
  </si>
  <si>
    <t>HERMAR E. LIMUACO</t>
  </si>
  <si>
    <t>Driver II</t>
  </si>
  <si>
    <t>9</t>
  </si>
  <si>
    <t>1051 - MCR</t>
  </si>
  <si>
    <t>MAY A. ESCOTE</t>
  </si>
  <si>
    <t>1071 - BUDGET</t>
  </si>
  <si>
    <t>CARLITO D. PRIOLA</t>
  </si>
  <si>
    <t>EDUARDO CANTILLAN</t>
  </si>
  <si>
    <t>1081 - Accounting</t>
  </si>
  <si>
    <t>MELANIE P. GALEMA</t>
  </si>
  <si>
    <t>Mun. Accountant</t>
  </si>
  <si>
    <t>RUBY F. TIMOTEO</t>
  </si>
  <si>
    <t>ALMA ESTRELLA</t>
  </si>
  <si>
    <t>1101 - Assessor</t>
  </si>
  <si>
    <t>Mun. Assessor</t>
  </si>
  <si>
    <t>Assmt. Clerk II</t>
  </si>
  <si>
    <t>Municipal Mayor</t>
  </si>
  <si>
    <t>ARGEL A. DAVAC</t>
  </si>
  <si>
    <t>Foreman A</t>
  </si>
  <si>
    <t>ROMEO CONECHADO</t>
  </si>
  <si>
    <t>Laborer II</t>
  </si>
  <si>
    <t>EDWIN ELUM</t>
  </si>
  <si>
    <t>RODOLFO BANDERADA</t>
  </si>
  <si>
    <t>ROMAN LARGUEZA</t>
  </si>
  <si>
    <t>8711 - Agriculture</t>
  </si>
  <si>
    <t>ELDA D. MADRIAGA</t>
  </si>
  <si>
    <t>Agriculturist II</t>
  </si>
  <si>
    <t>MERLY RECONES</t>
  </si>
  <si>
    <t>8751 - Engineering</t>
  </si>
  <si>
    <t>Eng'g. Aide</t>
  </si>
  <si>
    <t>LORELIE DELA CRUZ</t>
  </si>
  <si>
    <t>RCCII</t>
  </si>
  <si>
    <t>8852 - Tourism</t>
  </si>
  <si>
    <t>RELIDO S. LERON</t>
  </si>
  <si>
    <t>34</t>
  </si>
  <si>
    <t>FERNANDO ELLEAZAR</t>
  </si>
  <si>
    <t>35</t>
  </si>
  <si>
    <t>38</t>
  </si>
  <si>
    <t>39</t>
  </si>
  <si>
    <t>.</t>
  </si>
  <si>
    <r>
      <t xml:space="preserve">Municipal </t>
    </r>
    <r>
      <rPr>
        <b/>
        <sz val="16"/>
        <rFont val="Arial"/>
        <family val="2"/>
      </rPr>
      <t xml:space="preserve">  </t>
    </r>
    <r>
      <rPr>
        <b/>
        <sz val="20"/>
        <rFont val="Arial"/>
        <family val="2"/>
      </rPr>
      <t xml:space="preserve">     P   A   Y   R   O   L  L</t>
    </r>
  </si>
  <si>
    <t>MARILU S. ZALAMEDA</t>
  </si>
  <si>
    <t>LRCO III</t>
  </si>
  <si>
    <t>YOLANDA T. TAN</t>
  </si>
  <si>
    <t>LRCO II</t>
  </si>
  <si>
    <t>JOAL C. GUAN</t>
  </si>
  <si>
    <t>Cashier II</t>
  </si>
  <si>
    <t>ANNALEE A. AGUILAR</t>
  </si>
  <si>
    <t>IRENE A. TAMONDONG</t>
  </si>
  <si>
    <t>LYRA L. TORRES</t>
  </si>
  <si>
    <t>Mun. Health Officer</t>
  </si>
  <si>
    <t>TONI-MAREE T. RABAGO</t>
  </si>
  <si>
    <t>Public Health Nurse</t>
  </si>
  <si>
    <t>Midwife III</t>
  </si>
  <si>
    <t>DIVINA GRACIA CABALLES</t>
  </si>
  <si>
    <t>Sanitary Inspector</t>
  </si>
  <si>
    <t>JULIE MACARAIG</t>
  </si>
  <si>
    <t>FRANCISCA MONDEZ</t>
  </si>
  <si>
    <t>MSWDO</t>
  </si>
  <si>
    <t>ROWENA G. SABLAN</t>
  </si>
  <si>
    <t>Daycare Worker II</t>
  </si>
  <si>
    <t>Daycare Worker I</t>
  </si>
  <si>
    <t>ORPILINA TORRES</t>
  </si>
  <si>
    <t>MA. IMELDA ALMERA</t>
  </si>
  <si>
    <t>2</t>
  </si>
  <si>
    <t>3</t>
  </si>
  <si>
    <t>4</t>
  </si>
  <si>
    <t>5</t>
  </si>
  <si>
    <t>6</t>
  </si>
  <si>
    <t>7</t>
  </si>
  <si>
    <t>8</t>
  </si>
  <si>
    <t>10</t>
  </si>
  <si>
    <t>11</t>
  </si>
  <si>
    <t>12</t>
  </si>
  <si>
    <t>13</t>
  </si>
  <si>
    <t>14</t>
  </si>
  <si>
    <t>15</t>
  </si>
  <si>
    <t>16</t>
  </si>
  <si>
    <t>17</t>
  </si>
  <si>
    <t>18</t>
  </si>
  <si>
    <t>19</t>
  </si>
  <si>
    <t>20</t>
  </si>
  <si>
    <t>21</t>
  </si>
  <si>
    <t>22</t>
  </si>
  <si>
    <t>23</t>
  </si>
  <si>
    <t>24</t>
  </si>
  <si>
    <t>25</t>
  </si>
  <si>
    <t>26</t>
  </si>
  <si>
    <t>27</t>
  </si>
  <si>
    <t>28</t>
  </si>
  <si>
    <t>29</t>
  </si>
  <si>
    <t>30</t>
  </si>
  <si>
    <t>31</t>
  </si>
  <si>
    <t>32</t>
  </si>
  <si>
    <t>33</t>
  </si>
  <si>
    <t xml:space="preserve">          -d</t>
  </si>
  <si>
    <t>o-</t>
  </si>
  <si>
    <t>EL</t>
  </si>
  <si>
    <t>Bookkeeper III</t>
  </si>
  <si>
    <t>40</t>
  </si>
  <si>
    <t>RAMIR FULLEROS</t>
  </si>
  <si>
    <r>
      <t xml:space="preserve">WE HEREBY ACKNOWLEDGE TO HAVE RECEIVED FROM   </t>
    </r>
    <r>
      <rPr>
        <b/>
        <u/>
        <sz val="10"/>
        <rFont val="Arial"/>
        <family val="2"/>
      </rPr>
      <t>MINERVA L. BOONGALING,</t>
    </r>
    <r>
      <rPr>
        <sz val="10"/>
        <rFont val="Arial"/>
        <family val="2"/>
      </rPr>
      <t xml:space="preserve">       TREASURER OF      </t>
    </r>
    <r>
      <rPr>
        <b/>
        <u/>
        <sz val="10"/>
        <rFont val="Arial"/>
        <family val="2"/>
      </rPr>
      <t>PAGSANJAN, LAGUNA</t>
    </r>
    <r>
      <rPr>
        <sz val="10"/>
        <rFont val="Arial"/>
        <family val="2"/>
      </rPr>
      <t xml:space="preserve">      THE SUMS HEREIN SPECIFIED OPPOSITES OUR RESPECTIVE NAMES, THE SAME BEING FULL COMPENSATION FOR OUR SERVICES RENDERED DURING THE PERIOD STATED BELOW, TO THE CORRECTNESS OF WHICH WE HEREBY SEVERALLY</t>
    </r>
  </si>
  <si>
    <r>
      <t xml:space="preserve">WE HEREBY ACKNOWLEDGE TO HAVE RECEIVED FROM   </t>
    </r>
    <r>
      <rPr>
        <b/>
        <u/>
        <sz val="10"/>
        <rFont val="Arial"/>
        <family val="2"/>
      </rPr>
      <t xml:space="preserve">MINERVA L. BOONGALING,  </t>
    </r>
    <r>
      <rPr>
        <sz val="10"/>
        <rFont val="Arial"/>
        <family val="2"/>
      </rPr>
      <t xml:space="preserve">     TREASURER OF      </t>
    </r>
    <r>
      <rPr>
        <b/>
        <u/>
        <sz val="10"/>
        <rFont val="Arial"/>
        <family val="2"/>
      </rPr>
      <t>PAGSANJAN, LAGUNA</t>
    </r>
    <r>
      <rPr>
        <sz val="10"/>
        <rFont val="Arial"/>
        <family val="2"/>
      </rPr>
      <t xml:space="preserve">      THE SUMS HEREIN SPECIFIED OPPOSITES OUR RESPECTIVE NAMES, THE SAME BEING FULL COMPENSATION FOR OUR SERVICES RENDERED DURING THE PERIOD STATED BELOW, TO THE CORRECTNESS OF WHICH WE HEREBY SEVERALLY</t>
    </r>
  </si>
  <si>
    <r>
      <t xml:space="preserve">WE HEREBY ACKNOWLEDGE TO HAVE RECEIVED FROM  </t>
    </r>
    <r>
      <rPr>
        <b/>
        <u/>
        <sz val="10"/>
        <rFont val="Arial"/>
        <family val="2"/>
      </rPr>
      <t>MINERVA L. BOONGALING,</t>
    </r>
    <r>
      <rPr>
        <b/>
        <sz val="10"/>
        <rFont val="Arial"/>
        <family val="2"/>
      </rPr>
      <t xml:space="preserve"> </t>
    </r>
    <r>
      <rPr>
        <sz val="10"/>
        <rFont val="Arial"/>
        <family val="2"/>
      </rPr>
      <t xml:space="preserve">      TREASURER OF      </t>
    </r>
    <r>
      <rPr>
        <b/>
        <u/>
        <sz val="10"/>
        <rFont val="Arial"/>
        <family val="2"/>
      </rPr>
      <t>PAGSANJAN, LAGUNA</t>
    </r>
    <r>
      <rPr>
        <sz val="10"/>
        <rFont val="Arial"/>
        <family val="2"/>
      </rPr>
      <t xml:space="preserve">      THE SUMS HEREIN SPECIFIED OPPOSITES OUR RESPECTIVE NAMES, THE SAME BEING FULL COMPENSATION FOR OUR SERVICES RENDERED DURING THE PERIOD STATED BELOW, TO THE CORRECTNESS OF WHICH WE HEREBY SEVERALLY</t>
    </r>
  </si>
  <si>
    <t>RCC II</t>
  </si>
  <si>
    <t>ROSALIE CASTILLO</t>
  </si>
  <si>
    <t>JOSEPH WARREN COLADILLA</t>
  </si>
  <si>
    <t>LORELIE G. LAZARO</t>
  </si>
  <si>
    <t>Municipal  Mayor</t>
  </si>
  <si>
    <t>CONSOL</t>
  </si>
  <si>
    <t>FRANCISCO TOBIAS</t>
  </si>
  <si>
    <t>Philhealth</t>
  </si>
  <si>
    <t xml:space="preserve"> o-</t>
  </si>
  <si>
    <t xml:space="preserve">           -d</t>
  </si>
  <si>
    <t>41</t>
  </si>
  <si>
    <t>42</t>
  </si>
  <si>
    <t>43</t>
  </si>
  <si>
    <t>44</t>
  </si>
  <si>
    <t>45</t>
  </si>
  <si>
    <t>Supply Officer I</t>
  </si>
  <si>
    <t>UCPB</t>
  </si>
  <si>
    <t>MINERVA L. BOONGALING</t>
  </si>
  <si>
    <t>Mun. Treasurer</t>
  </si>
  <si>
    <t>46</t>
  </si>
  <si>
    <t>RAQUEL A. ARAS</t>
  </si>
  <si>
    <t xml:space="preserve">   </t>
  </si>
  <si>
    <t>47</t>
  </si>
  <si>
    <t>48</t>
  </si>
  <si>
    <t>49</t>
  </si>
  <si>
    <t>50</t>
  </si>
  <si>
    <t>51</t>
  </si>
  <si>
    <t>52</t>
  </si>
  <si>
    <t>53</t>
  </si>
  <si>
    <t>JACQUILOU DIMARANAN</t>
  </si>
  <si>
    <t>ARLENE RIVERA</t>
  </si>
  <si>
    <t>1032 - HRMO</t>
  </si>
  <si>
    <t>FLORANTE C. SALVADOR JR.</t>
  </si>
  <si>
    <t>GIRLIE JAVIER EJERCITO</t>
  </si>
  <si>
    <t>ENGR. MICHAEL TORRALBA</t>
  </si>
  <si>
    <t>ROSELYN PAGTANANAN</t>
  </si>
  <si>
    <t>NATHANAEL BERNALES II</t>
  </si>
  <si>
    <t>FRANCIS CROMWELL LAVA</t>
  </si>
  <si>
    <t>Daily Rate</t>
  </si>
  <si>
    <t>Mothly Rate</t>
  </si>
  <si>
    <t xml:space="preserve">             -d</t>
  </si>
  <si>
    <t xml:space="preserve">            -d</t>
  </si>
  <si>
    <t>GELSON SAMPANG</t>
  </si>
  <si>
    <t>JOANA PATRIZHA MERAMBEL</t>
  </si>
  <si>
    <t>JOANNA PATRIZHA MERAMBEL</t>
  </si>
  <si>
    <t>(5) I HEREBY CERTIFY on my official oath that I have paid in cash to each official and employee whose name appears on the above roll the amount set opposite his name, under column 22, he having signed or marked his name under column 24 above, in my presence and at the time that payment was made to him, in acknowledgement of receipt of the money paid him.</t>
  </si>
  <si>
    <t>(6) I HEREBY CERTIFY on my official oath that each employee whose name appears on the above roll has been paid in cash or in check, and in no other mode, the amount shown under column 22 above, opposite his name. The total of the payments made by means this payroll amount to</t>
  </si>
  <si>
    <t xml:space="preserve">     Municipal Administrator</t>
  </si>
  <si>
    <t>JAY ALMONTERO</t>
  </si>
  <si>
    <t>APPLE DACDAC</t>
  </si>
  <si>
    <t>54</t>
  </si>
  <si>
    <t>55</t>
  </si>
  <si>
    <t>56</t>
  </si>
  <si>
    <t>EDUC</t>
  </si>
  <si>
    <t>Educ. Loan</t>
  </si>
  <si>
    <t>Educ</t>
  </si>
  <si>
    <t>57</t>
  </si>
  <si>
    <t>MICHAEL FRANCIS PAILAN</t>
  </si>
  <si>
    <t>MELAROSE PABILONIA</t>
  </si>
  <si>
    <t>NIÑO LAGRIMAS</t>
  </si>
  <si>
    <t>58</t>
  </si>
  <si>
    <t>59</t>
  </si>
  <si>
    <t>60</t>
  </si>
  <si>
    <t>PHILHEALTH</t>
  </si>
  <si>
    <t>PAG-IBIG CONTRIBUTION</t>
  </si>
  <si>
    <t>LIFE/RETIREMENT INSURANCE PREMIUM</t>
  </si>
  <si>
    <t>CONSOLOAN</t>
  </si>
  <si>
    <t>Educational Loan</t>
  </si>
  <si>
    <t>Emergency Loan</t>
  </si>
  <si>
    <t>Policy Loan (Regular)</t>
  </si>
  <si>
    <t>Ploicy Loan (Optional)</t>
  </si>
  <si>
    <t>GSIS</t>
  </si>
  <si>
    <t>ECAL / UMID</t>
  </si>
  <si>
    <t>GOVERNMENT SERVICE INSURANCE SYSTEM</t>
  </si>
  <si>
    <t>EMERGENCY LOAN</t>
  </si>
  <si>
    <t>POLICY    LOAN (Regular)</t>
  </si>
  <si>
    <t>Mun. Engr.</t>
  </si>
  <si>
    <t>ERLANDO A. SUBIAGA</t>
  </si>
  <si>
    <t>JANUARIO FERRY GARCIA</t>
  </si>
  <si>
    <t>61</t>
  </si>
  <si>
    <t>LANIE VILLA</t>
  </si>
  <si>
    <t>CAL.</t>
  </si>
  <si>
    <t>Pag Ibig</t>
  </si>
  <si>
    <t>CALAMITY</t>
  </si>
  <si>
    <t>EVELYN O. LAGRIMAS</t>
  </si>
  <si>
    <t>PAG-IBIG</t>
  </si>
  <si>
    <t xml:space="preserve"> -do-</t>
  </si>
  <si>
    <t>ARLENE JAVIER</t>
  </si>
  <si>
    <t>LEI ARNIE L. ABRIGO</t>
  </si>
  <si>
    <t>MARVIN PINILI</t>
  </si>
  <si>
    <t>Hazard Pay</t>
  </si>
  <si>
    <t>MARVIN P. PINILI</t>
  </si>
  <si>
    <t>ENGR. IMELDA C. IRANON</t>
  </si>
  <si>
    <t>JAY KEENSON C. ACEBUCHE</t>
  </si>
  <si>
    <t>Data Encoder IV</t>
  </si>
  <si>
    <t>DANIEL BUNGABONG</t>
  </si>
  <si>
    <t>JUVY GRACE ABARQUEZ</t>
  </si>
  <si>
    <t>JUVY GRACE DB ABARQUEZ</t>
  </si>
  <si>
    <t>RONALD FULLEROS</t>
  </si>
  <si>
    <t>62</t>
  </si>
  <si>
    <t>FELVIC Z. QUIZON</t>
  </si>
  <si>
    <t>FELVIC QUIZON</t>
  </si>
  <si>
    <t>RUTH GRACE WALO</t>
  </si>
  <si>
    <t>63</t>
  </si>
  <si>
    <t>64</t>
  </si>
  <si>
    <t xml:space="preserve">             - d</t>
  </si>
  <si>
    <t>REGIE MANALO</t>
  </si>
  <si>
    <t>RUBY A. DIMALANTA</t>
  </si>
  <si>
    <t xml:space="preserve">CARMELA JAVERINA </t>
  </si>
  <si>
    <t>HERMINIO WATSON</t>
  </si>
  <si>
    <t>Foreman B</t>
  </si>
  <si>
    <t>JAY- ARR MANALO</t>
  </si>
  <si>
    <t>JAY - AR MANALO</t>
  </si>
  <si>
    <t>ALVIN VILLANUEVA</t>
  </si>
  <si>
    <t>Admin Aide I</t>
  </si>
  <si>
    <t>JOWEL PALACOL</t>
  </si>
  <si>
    <t>MICHELLE CASTILLO</t>
  </si>
  <si>
    <t xml:space="preserve">LYKA NADERA </t>
  </si>
  <si>
    <t>ARGELYN DAVAC</t>
  </si>
  <si>
    <t>65</t>
  </si>
  <si>
    <t>66</t>
  </si>
  <si>
    <t>NOWEL LERON</t>
  </si>
  <si>
    <t>LYKA NADERA</t>
  </si>
  <si>
    <t>RIZALINO DE CASTRO</t>
  </si>
  <si>
    <t>CHRISTIAN ABRANTES</t>
  </si>
  <si>
    <t>JEFFERSON CABREZA</t>
  </si>
  <si>
    <t xml:space="preserve"> Data Encoder III</t>
  </si>
  <si>
    <t>PRINCE OLIVER G. FERNANDEZ</t>
  </si>
  <si>
    <t xml:space="preserve"> ALVIN VILLANUEVA</t>
  </si>
  <si>
    <t xml:space="preserve"> JOWEL PALACOL</t>
  </si>
  <si>
    <t xml:space="preserve"> RIZALINO DE CASTRO</t>
  </si>
  <si>
    <t>Optional</t>
  </si>
  <si>
    <t xml:space="preserve"> MICHELLE CASTILLO</t>
  </si>
  <si>
    <t>FRED V. CAPISTRANO</t>
  </si>
  <si>
    <t>RODERICK  NOMBRE</t>
  </si>
  <si>
    <t>DR. PETER CASIUS M. TRINIDAD</t>
  </si>
  <si>
    <t>PETER CASIUS M. TRINIDAD</t>
  </si>
  <si>
    <t xml:space="preserve"> REGIE MANALO</t>
  </si>
  <si>
    <t>TAMMY O. BENELADA</t>
  </si>
  <si>
    <t>for deduction Oct. 16-30,  2016 PL Reg. 800</t>
  </si>
  <si>
    <t>Arch. MANSLEY G. KIMHOKO</t>
  </si>
  <si>
    <t xml:space="preserve"> Nov. 2016</t>
  </si>
  <si>
    <t>BON-TAG ANI-QUISMUNDO</t>
  </si>
  <si>
    <t>MARIZ TORRES</t>
  </si>
  <si>
    <t>JERICO CALCETAS</t>
  </si>
  <si>
    <t>JAIME PANGUITO</t>
  </si>
  <si>
    <t>JOANNA ELIAZAR</t>
  </si>
  <si>
    <t>HERLYN CABALLES</t>
  </si>
  <si>
    <t>REGGIE PACHECO</t>
  </si>
  <si>
    <t>GLORIANA ELIS B. GOMA</t>
  </si>
  <si>
    <t>ZHALEE MARIE BALETE</t>
  </si>
  <si>
    <t>SNOOKY ENSINAS</t>
  </si>
  <si>
    <t>MARIA YSOBELLE CABALLES</t>
  </si>
  <si>
    <t>RAMIL ABLIR</t>
  </si>
  <si>
    <t>JOHN CHRISTIAM ABARQUEZ</t>
  </si>
  <si>
    <t>DORIE LERON</t>
  </si>
  <si>
    <t>ROGELIO CONTEGINO</t>
  </si>
  <si>
    <t>TENNESEE WYLIE BALETE</t>
  </si>
  <si>
    <t>MARK JOSEPH BALOTA</t>
  </si>
  <si>
    <t>ALDRIN BUENA</t>
  </si>
  <si>
    <t>JONATHAN AZULA</t>
  </si>
  <si>
    <t>ROMANO ALMERA</t>
  </si>
  <si>
    <t>NESTOR GABALENO</t>
  </si>
  <si>
    <t>ERIK JAVIER</t>
  </si>
  <si>
    <t>LED VENI PENIDO</t>
  </si>
  <si>
    <t>RONEL CABREZA</t>
  </si>
  <si>
    <t>VICTOR MIRANDO</t>
  </si>
  <si>
    <t>NIÑO VALDELLON</t>
  </si>
  <si>
    <t>JAYSON AZULA</t>
  </si>
  <si>
    <t>20% LDC</t>
  </si>
  <si>
    <t>ALFREDO GONZALES</t>
  </si>
  <si>
    <t>RODANTE LORENZANA</t>
  </si>
  <si>
    <t>RAMON WAPERINA</t>
  </si>
  <si>
    <t>ROBERTO BRECINIO</t>
  </si>
  <si>
    <r>
      <t>Municipal</t>
    </r>
    <r>
      <rPr>
        <b/>
        <sz val="16"/>
        <rFont val="Tahoma"/>
        <family val="2"/>
      </rPr>
      <t xml:space="preserve">          </t>
    </r>
    <r>
      <rPr>
        <b/>
        <sz val="20"/>
        <rFont val="Tahoma"/>
        <family val="2"/>
      </rPr>
      <t xml:space="preserve">   P    A   Y     R    O    L    L</t>
    </r>
  </si>
  <si>
    <r>
      <t xml:space="preserve">WE HEREBY ACKNOWLEDGE TO HAVE RECEIVED FROM  </t>
    </r>
    <r>
      <rPr>
        <b/>
        <sz val="10"/>
        <rFont val="Tahoma"/>
        <family val="2"/>
      </rPr>
      <t>MINERVA L. BOONGALING</t>
    </r>
    <r>
      <rPr>
        <b/>
        <u/>
        <sz val="10"/>
        <rFont val="Tahoma"/>
        <family val="2"/>
      </rPr>
      <t>,</t>
    </r>
    <r>
      <rPr>
        <sz val="10"/>
        <rFont val="Tahoma"/>
        <family val="2"/>
      </rPr>
      <t xml:space="preserve">       TREASURER OF      </t>
    </r>
    <r>
      <rPr>
        <b/>
        <u/>
        <sz val="10"/>
        <rFont val="Tahoma"/>
        <family val="2"/>
      </rPr>
      <t>PAGSANJAN, LAGUNA</t>
    </r>
    <r>
      <rPr>
        <sz val="10"/>
        <rFont val="Tahoma"/>
        <family val="2"/>
      </rPr>
      <t xml:space="preserve">      THE SUMS HEREIN SPECIFIED OPPOSITES OUR RESPECTIVE NAMES, THE SAME BEING FULL COMPENSATION FOR OUR SERVICES RENDERED DURING THE PERIOD STATED BELOW, TO THE CORRECTNESS OF WHICH WE HEREBY SEVERALLY</t>
    </r>
  </si>
  <si>
    <t>FRENZIE GARANTUZA</t>
  </si>
  <si>
    <t>KELVIN ABAQUIN</t>
  </si>
  <si>
    <t>MARLON PAMATMAT</t>
  </si>
  <si>
    <t>1016-1021-1022</t>
  </si>
  <si>
    <t>Jan. 16-31, 2017</t>
  </si>
  <si>
    <t>1011</t>
  </si>
  <si>
    <t>1031</t>
  </si>
  <si>
    <t>1030</t>
  </si>
  <si>
    <t>1071</t>
  </si>
  <si>
    <t>1081</t>
  </si>
  <si>
    <t>1091</t>
  </si>
  <si>
    <t>1101</t>
  </si>
  <si>
    <t>4411</t>
  </si>
  <si>
    <t>6531</t>
  </si>
  <si>
    <t>7611</t>
  </si>
  <si>
    <t>8711</t>
  </si>
  <si>
    <t>8731</t>
  </si>
  <si>
    <t>8751</t>
  </si>
  <si>
    <t>8841</t>
  </si>
  <si>
    <t>8852</t>
  </si>
  <si>
    <t>(4) APPROVED:</t>
  </si>
  <si>
    <t>JAYRALD CABREGA</t>
  </si>
  <si>
    <t>LAUNDRY</t>
  </si>
  <si>
    <t>HAZARD PAY</t>
  </si>
  <si>
    <t>SUBSISTENCE</t>
  </si>
  <si>
    <t>Municipal  Vice Mayor</t>
  </si>
  <si>
    <t>KEVIN MAR MORENO</t>
  </si>
  <si>
    <t>LORELYN SAGALES</t>
  </si>
  <si>
    <t>MARY JANE ONGSANSOY</t>
  </si>
  <si>
    <t>RODERICK TOBIAS</t>
  </si>
  <si>
    <t>TOTAL</t>
  </si>
  <si>
    <t>No. of</t>
  </si>
  <si>
    <t>Days</t>
  </si>
  <si>
    <t>No. of Days</t>
  </si>
  <si>
    <t>days</t>
  </si>
  <si>
    <t>PS</t>
  </si>
  <si>
    <t>GS</t>
  </si>
  <si>
    <t>GSIS contribution</t>
  </si>
  <si>
    <t>Philhleath Cont</t>
  </si>
  <si>
    <t>APPROVED:</t>
  </si>
  <si>
    <t>Municipal Vice Mayor</t>
  </si>
  <si>
    <t>Municipal Administrator</t>
  </si>
  <si>
    <t>CANDY LOU DEL ROSARIO</t>
  </si>
  <si>
    <t>17.5</t>
  </si>
  <si>
    <t>5% DISASTER PREPAREDNESS-Mobilization of Emergency Response Team</t>
  </si>
  <si>
    <t>Grand Total</t>
  </si>
  <si>
    <t>No. of days</t>
  </si>
  <si>
    <t>No.</t>
  </si>
  <si>
    <t>of days</t>
  </si>
  <si>
    <t>Adjustment</t>
  </si>
  <si>
    <t xml:space="preserve"> Mar. 1-15, 2017</t>
  </si>
  <si>
    <t>Mar</t>
  </si>
  <si>
    <t>March 2017</t>
  </si>
  <si>
    <t>HERMINIO WATSHON</t>
  </si>
  <si>
    <t>Mar. 1-15, 2017</t>
  </si>
  <si>
    <t>Mar. 16-31, 2017</t>
  </si>
  <si>
    <t>DR. LYRA LERON TORRES</t>
  </si>
  <si>
    <t>Municipal Health Officer</t>
  </si>
  <si>
    <t>Mar. 16-28, 2017</t>
  </si>
  <si>
    <t>March 1-15, 2017</t>
  </si>
  <si>
    <t xml:space="preserve"> Mar. 16-31</t>
  </si>
  <si>
    <t>20% DEVELOPMENT FUND-Solid Waste Management Environmental Services</t>
  </si>
  <si>
    <t>ALBERT ELCA</t>
  </si>
  <si>
    <t>RICHARD MONTESUR</t>
  </si>
  <si>
    <t>RIVERA ANGELO</t>
  </si>
  <si>
    <t>NOEL ABEGONZA</t>
  </si>
  <si>
    <t>FLORANTE JOSE</t>
  </si>
  <si>
    <t>JOEMAR B. PANTONIA</t>
  </si>
  <si>
    <t>Municipal Planning &amp; Devt. Coordinator</t>
  </si>
  <si>
    <t>Jerome Lava</t>
  </si>
  <si>
    <t>Rhonnie  Cosio</t>
  </si>
  <si>
    <t>Mark Paul Monteiro</t>
  </si>
  <si>
    <t>Hercules Glodoveza</t>
  </si>
  <si>
    <t>9941 LDRRMO</t>
  </si>
  <si>
    <t>NORMAN V. NICANDRO</t>
  </si>
  <si>
    <t>MARILIZ M. TRINIDAD</t>
  </si>
  <si>
    <t>ANDRES H. SIERRAS</t>
  </si>
  <si>
    <t>LORELYN D. SAGALES</t>
  </si>
  <si>
    <t>SWOII</t>
  </si>
  <si>
    <t>ARCH. MANSLEY G. KIMHOKO</t>
  </si>
  <si>
    <t xml:space="preserve">        Municipal Tourism Officer </t>
  </si>
  <si>
    <t>Municipal  Tourism Officer</t>
  </si>
  <si>
    <t>ROMANO A. ALMERA</t>
  </si>
  <si>
    <t>NOWEL S. LERON</t>
  </si>
  <si>
    <t xml:space="preserve"> Record Ofcr. I</t>
  </si>
  <si>
    <t>9941- MDRRM</t>
  </si>
  <si>
    <t xml:space="preserve"> Clerk IV</t>
  </si>
  <si>
    <t>GELZON F. SAMPANG</t>
  </si>
  <si>
    <t>ENGR. ROSANDRE T. ABRANTES</t>
  </si>
  <si>
    <t>1011- OM</t>
  </si>
  <si>
    <t>1091-MTO</t>
  </si>
  <si>
    <t xml:space="preserve">LEA LITAN  </t>
  </si>
  <si>
    <t>1061- VM</t>
  </si>
  <si>
    <t>ANTONIO AQUINO</t>
  </si>
  <si>
    <t>KATLEEN CZINA CAPISTRANO</t>
  </si>
  <si>
    <t>SK President</t>
  </si>
  <si>
    <t>ABC President</t>
  </si>
  <si>
    <t>GOVT SHARE</t>
  </si>
  <si>
    <t>CONSO LOAN</t>
  </si>
  <si>
    <t>TENNESEE WYLEE BALETE</t>
  </si>
  <si>
    <t>Farm Supervisor</t>
  </si>
  <si>
    <t>MARIZ SALVATIERRA</t>
  </si>
  <si>
    <t>Local DRRM Asst.</t>
  </si>
  <si>
    <t>Admin. Aide III</t>
  </si>
  <si>
    <t>KEVIN MAR Z. MORENO</t>
  </si>
  <si>
    <t>FEBRALYN R. QUELISTE</t>
  </si>
  <si>
    <t>JONAS B. LLAMAS</t>
  </si>
  <si>
    <t>HERLYN A. CABALLES</t>
  </si>
  <si>
    <t>MARGIE K. TORRALBA</t>
  </si>
  <si>
    <t>FLORANTE P. JOSE</t>
  </si>
  <si>
    <t>ERNESTO P. OBIAL JR.</t>
  </si>
  <si>
    <t>LYKA B. NADERA</t>
  </si>
  <si>
    <t>HERMINIO C. WATSON</t>
  </si>
  <si>
    <t>RONALD D. FULLEROS</t>
  </si>
  <si>
    <t>RUTH GRACE C. WALO</t>
  </si>
  <si>
    <t>DORIE P. LERON</t>
  </si>
  <si>
    <t>RODNEY L. FABROADA</t>
  </si>
  <si>
    <t>NOEL C. ABEGONZA</t>
  </si>
  <si>
    <t>MELWIN O. ALMONTE</t>
  </si>
  <si>
    <t>MARWIN C. ESCOTE</t>
  </si>
  <si>
    <t>HAROLD L. EREÑO</t>
  </si>
  <si>
    <t>FRANCISCO L. TOBIAS</t>
  </si>
  <si>
    <t>JAY ARR P. MANALO</t>
  </si>
  <si>
    <t>REGIE N. MANALO</t>
  </si>
  <si>
    <t>LED VENI B. PENIDO</t>
  </si>
  <si>
    <t>LANIE F. VILLA</t>
  </si>
  <si>
    <t>JOSEPH WARREN P. COLLADILLA</t>
  </si>
  <si>
    <t>MARK PAUL A. MONTEIRO</t>
  </si>
  <si>
    <t>KELVIN Y. ABAQUIN</t>
  </si>
  <si>
    <t>RONNEL E. CABREZA</t>
  </si>
  <si>
    <t>Bookbinder IV</t>
  </si>
  <si>
    <t>ANDRES H. SIERAS</t>
  </si>
  <si>
    <t>ARLENE P. JAVIER</t>
  </si>
  <si>
    <t>ELREEN CASTILLO</t>
  </si>
  <si>
    <t>8731-MENRO</t>
  </si>
  <si>
    <t>1041- MPDC</t>
  </si>
  <si>
    <t>4411 -MHO</t>
  </si>
  <si>
    <t>JOEMAR PANTONIA</t>
  </si>
  <si>
    <t>CARA M. MANAO</t>
  </si>
  <si>
    <t>MARIZ B. TORREZ</t>
  </si>
  <si>
    <t>JUDILYN B. CLARITO</t>
  </si>
  <si>
    <t>NOWELL M. SANCHEZ</t>
  </si>
  <si>
    <t>7611 -MSWD</t>
  </si>
  <si>
    <t>TERRYL GAMIT TALABONG</t>
  </si>
  <si>
    <t xml:space="preserve">MELVIN B. MADRIAGA </t>
  </si>
  <si>
    <t>RACHELLE ABELLA SOLITARIO</t>
  </si>
  <si>
    <t>MARILIZ MONINA TRINIDAD</t>
  </si>
  <si>
    <t>Private Secretary II</t>
  </si>
  <si>
    <t>SNOOKY H. ENCINAS</t>
  </si>
  <si>
    <t>DINO PAOLO L. GUAN</t>
  </si>
  <si>
    <t>ANGELO RIVERA</t>
  </si>
  <si>
    <t>ROFEL D. YULATIC</t>
  </si>
  <si>
    <t>ALDRIN G. MACALALAD</t>
  </si>
  <si>
    <t>Executive Asst. II</t>
  </si>
  <si>
    <t>ROSE R. LAVA</t>
  </si>
  <si>
    <t>NORMAN EFREN L.  LLAMAS</t>
  </si>
  <si>
    <t>Admin. Aide IV</t>
  </si>
  <si>
    <t>1061 - General Service Office</t>
  </si>
  <si>
    <t>Budget Officer</t>
  </si>
  <si>
    <t>ERNESTO T. ILANO</t>
  </si>
  <si>
    <t>6531 - GSO Streetlighting</t>
  </si>
  <si>
    <t>7999 - Local Youth &amp; Sports Devt. Office</t>
  </si>
  <si>
    <t>NORMAN NICANDRO</t>
  </si>
  <si>
    <t>Mun. Civil Registrar</t>
  </si>
  <si>
    <t>Tourism Operations Officer II</t>
  </si>
  <si>
    <t>Mun. Tourism Operations Officer</t>
  </si>
  <si>
    <t>8811 - Market (OM)</t>
  </si>
  <si>
    <t>8841 - Cemetery (OM)</t>
  </si>
  <si>
    <t>REMY PASSION</t>
  </si>
  <si>
    <t>JOHNY PORCOPIO</t>
  </si>
  <si>
    <t>Private Sec. I</t>
  </si>
  <si>
    <t>GFAL</t>
  </si>
  <si>
    <t>POLICY    LOAN (Optional)</t>
  </si>
  <si>
    <t>Social Welfare Aide I</t>
  </si>
  <si>
    <t>Data Encoder III</t>
  </si>
  <si>
    <t>MELAROSE P. NADERA</t>
  </si>
  <si>
    <t>JOANA PATRIZHA SANTIAGO</t>
  </si>
  <si>
    <t>TAMMY BENELADA</t>
  </si>
  <si>
    <t>JOHN GOLDWYN LIMLENGCO</t>
  </si>
  <si>
    <t>JEROME LAVA</t>
  </si>
  <si>
    <t>NADINE BERNADINO</t>
  </si>
  <si>
    <t>PAG-IBIG FUND</t>
  </si>
  <si>
    <t>W/HOLDING TAX</t>
  </si>
  <si>
    <t>Policy Loan (optionall)</t>
  </si>
  <si>
    <t>Assessment Clerk II</t>
  </si>
  <si>
    <t>MARCEL JOHN VELASCO</t>
  </si>
  <si>
    <t>NiÑO LAGRIMAS</t>
  </si>
  <si>
    <t>MGDH I</t>
  </si>
  <si>
    <t>Approved by:</t>
  </si>
  <si>
    <t>JESSA MANALASTAS</t>
  </si>
  <si>
    <t>Tax Mapping Aide</t>
  </si>
  <si>
    <t>MARIA YZOBELLE CABALLES</t>
  </si>
  <si>
    <t>Admin. Aide III (Clerk)</t>
  </si>
  <si>
    <t>MA. GUADALUPE E. RUFINO</t>
  </si>
  <si>
    <t>LORELIE L. AMBROSIO</t>
  </si>
  <si>
    <t>VICTOR D. MIRANDO JR.</t>
  </si>
  <si>
    <t>LOIDA R. ABLIR</t>
  </si>
  <si>
    <t>BOBBY GOJAS</t>
  </si>
  <si>
    <t>GRAND TOTAL</t>
  </si>
  <si>
    <t>GELINE  F. CIMANES</t>
  </si>
  <si>
    <t>RHONNIE J. COSIO</t>
  </si>
  <si>
    <t>JAYRALD S. CABREGA</t>
  </si>
  <si>
    <t>DIANA D. DIZON</t>
  </si>
  <si>
    <t>Admin. Aide I</t>
  </si>
  <si>
    <t>Admin. Asst. IV</t>
  </si>
  <si>
    <t>JOHN ARNIE S. QUISMUNDO</t>
  </si>
  <si>
    <t>COMPUTER LOAN</t>
  </si>
  <si>
    <t>Admin Assistant II</t>
  </si>
  <si>
    <t xml:space="preserve">Social Welfare Aide </t>
  </si>
  <si>
    <t>BELINDA ZAIDE*</t>
  </si>
  <si>
    <t xml:space="preserve"> KIZZIE M. BABAAN</t>
  </si>
  <si>
    <t xml:space="preserve"> Social Welfare Asst.</t>
  </si>
  <si>
    <t>THERESA AUTENCIO</t>
  </si>
  <si>
    <t>Lic. Inspector</t>
  </si>
  <si>
    <t>Social Welfare Asst.</t>
  </si>
  <si>
    <t>Name</t>
  </si>
  <si>
    <t>Designation</t>
  </si>
  <si>
    <t>Month</t>
  </si>
  <si>
    <t>Rate</t>
  </si>
  <si>
    <t>Government Service Insurance System</t>
  </si>
  <si>
    <t>Pol. Loan (Reg.)</t>
  </si>
  <si>
    <t>Computer Loan</t>
  </si>
  <si>
    <t>Conso Loan</t>
  </si>
  <si>
    <t>MPLoan</t>
  </si>
  <si>
    <t>Life and Retirement</t>
  </si>
  <si>
    <t>Total</t>
  </si>
  <si>
    <t>OTHER</t>
  </si>
  <si>
    <t>NET</t>
  </si>
  <si>
    <t>Salary</t>
  </si>
  <si>
    <t>RECAP: PERSONAL</t>
  </si>
  <si>
    <t>RECAP: GS (OBR)</t>
  </si>
  <si>
    <t>CHECKING</t>
  </si>
  <si>
    <t xml:space="preserve"> Mar. 2021</t>
  </si>
  <si>
    <t>Pol. Loan (Opt.)</t>
  </si>
  <si>
    <t>WITHHOLDING TAX</t>
  </si>
  <si>
    <t>TOTAL PAGE 1</t>
  </si>
  <si>
    <t>TOTAL PAGE 2</t>
  </si>
  <si>
    <t>TOTAL PAGE 3</t>
  </si>
  <si>
    <t>TOTAL PAGE 4</t>
  </si>
  <si>
    <t>TOTAL SB</t>
  </si>
  <si>
    <t>State Insurance</t>
  </si>
  <si>
    <t>Pag - ibig</t>
  </si>
  <si>
    <t>MPLOAN</t>
  </si>
  <si>
    <t>STATE INSURANCE</t>
  </si>
  <si>
    <t>ACCTS PAYBLE</t>
  </si>
  <si>
    <t>SALARY DIFFERENTIAL Jan. &amp; February 2021</t>
  </si>
  <si>
    <t>POLICY LOAN REGULAR</t>
  </si>
  <si>
    <t>Policy Loan (Regularl)</t>
  </si>
  <si>
    <t>Policy Loan (Opitional)</t>
  </si>
  <si>
    <t>ACCTS PAYABLE</t>
  </si>
  <si>
    <t>Pag-ibig</t>
  </si>
  <si>
    <t>ECAL/ UMID</t>
  </si>
  <si>
    <t xml:space="preserve">         -d</t>
  </si>
  <si>
    <t xml:space="preserve"> Nurse I</t>
  </si>
  <si>
    <t>DIANA D. GARCIA</t>
  </si>
  <si>
    <t>PERA</t>
  </si>
  <si>
    <t>Clothing Allow</t>
  </si>
  <si>
    <t>1011 - OM</t>
  </si>
  <si>
    <t>JUANITO AGAWIN</t>
  </si>
  <si>
    <t>August 1-31, 2021</t>
  </si>
  <si>
    <t>CHRISTOPHER TOBIAS</t>
  </si>
  <si>
    <t>JOSELITO CASAS</t>
  </si>
  <si>
    <t xml:space="preserve"> GRAND TOTAL</t>
  </si>
  <si>
    <t>ECC</t>
  </si>
  <si>
    <t xml:space="preserve"> Oct. 1-15, 2021</t>
  </si>
  <si>
    <t>Differential          (Jan. 16-31/2022)</t>
  </si>
  <si>
    <t>Local Legislative Staff I</t>
  </si>
  <si>
    <t>MONTHLY RATE OF PAY</t>
  </si>
  <si>
    <t>MedTech</t>
  </si>
  <si>
    <t>POLICY LOAN (Regular)</t>
  </si>
  <si>
    <t>SMART</t>
  </si>
  <si>
    <t>Local Assessment Operations Officer II</t>
  </si>
  <si>
    <t>Adjustmnt (6mos)</t>
  </si>
  <si>
    <t xml:space="preserve"> Municipal             P    A   Y     R    O    L    L</t>
  </si>
  <si>
    <t>DIFFERENTIAL SAL. (JAN.-SEPT., 2022)</t>
  </si>
  <si>
    <t>Oct. 16-31, 2022</t>
  </si>
  <si>
    <t>Asst. Mun. Treasurer</t>
  </si>
  <si>
    <t xml:space="preserve">        Mun. Treasurer</t>
  </si>
  <si>
    <t xml:space="preserve">              MINERVA L. BOONGALING</t>
  </si>
  <si>
    <t xml:space="preserve">                        Mun. Treasurer</t>
  </si>
  <si>
    <t>ELDA MADRIAGA</t>
  </si>
  <si>
    <t>POLICY REG</t>
  </si>
  <si>
    <t>PAT</t>
  </si>
  <si>
    <t>JUN CONECHADO</t>
  </si>
  <si>
    <t>OR</t>
  </si>
  <si>
    <t>REFUND</t>
  </si>
  <si>
    <t>JR MANALO</t>
  </si>
  <si>
    <t>CPL</t>
  </si>
  <si>
    <t>MELAROSE</t>
  </si>
  <si>
    <t>RUBY</t>
  </si>
  <si>
    <t>ROSALIE</t>
  </si>
  <si>
    <t xml:space="preserve">                              LRCO III</t>
  </si>
  <si>
    <t>Assessment Clerk III</t>
  </si>
  <si>
    <t>Computer Operator IV</t>
  </si>
  <si>
    <t xml:space="preserve">                                                                                                                                                                                                                                                                                                                                                                                                                                                                                                                                                                                                                                                                                  </t>
  </si>
  <si>
    <t xml:space="preserve"> Nurse II</t>
  </si>
  <si>
    <t>Policy Loan (Reg)</t>
  </si>
  <si>
    <t>Mgt. and Audit Analyst</t>
  </si>
  <si>
    <t>1016- VM</t>
  </si>
  <si>
    <t>Proj. Dev't. Officer III</t>
  </si>
  <si>
    <t>Midwife IV</t>
  </si>
  <si>
    <t>Nursing Attendant II</t>
  </si>
  <si>
    <t>Sanitary Inspector I</t>
  </si>
  <si>
    <t>Sanitary Inspector II</t>
  </si>
  <si>
    <t>Eng'g. Aide II</t>
  </si>
  <si>
    <t>Record Ofcr. I</t>
  </si>
  <si>
    <t xml:space="preserve"> Municipal Mayor</t>
  </si>
  <si>
    <t>Other Income (over deduction) CTC</t>
  </si>
  <si>
    <t>Admin Officer V</t>
  </si>
  <si>
    <t>Farm Foreman</t>
  </si>
  <si>
    <t>Budget Officer I</t>
  </si>
  <si>
    <t>Admin. Asst. II</t>
  </si>
  <si>
    <t>Acctg. Clerk II</t>
  </si>
  <si>
    <t>PERA (SEPT.)</t>
  </si>
  <si>
    <t xml:space="preserve">                                                                                                                                                                                                                                                                                                                                                                                                                                                                                                                                                                                                                                                                                                                </t>
  </si>
  <si>
    <t>Zoning Officer I</t>
  </si>
  <si>
    <t>Engr. II</t>
  </si>
  <si>
    <t>MSWDO- OIC</t>
  </si>
  <si>
    <t>Admin Asst.V</t>
  </si>
  <si>
    <t>Agriculturist I</t>
  </si>
  <si>
    <t>Agriculturist II- OIC Mun. Agriculturist</t>
  </si>
  <si>
    <t>MPL Lite</t>
  </si>
  <si>
    <t>BAC Sec./ Admin Officer IV</t>
  </si>
  <si>
    <t>1011-BAC</t>
  </si>
  <si>
    <t>SWOII- OIC MSWDO</t>
  </si>
  <si>
    <t>Bookbinder III</t>
  </si>
  <si>
    <t>Due fr O&amp;E</t>
  </si>
  <si>
    <t xml:space="preserve">MGDH I </t>
  </si>
  <si>
    <t>Mun. Budget Officer</t>
  </si>
  <si>
    <t>MP2</t>
  </si>
  <si>
    <t>HON. JANUARIO FERRY G. GARCIA</t>
  </si>
  <si>
    <t>RA</t>
  </si>
  <si>
    <t>TA</t>
  </si>
  <si>
    <t>PERA   (AUG.)</t>
  </si>
  <si>
    <t xml:space="preserve"> Municipal  Mayor</t>
  </si>
  <si>
    <t>HON. ROD H. FERNANDEZ</t>
  </si>
  <si>
    <t>LRP</t>
  </si>
  <si>
    <t>W/holding Tax</t>
  </si>
  <si>
    <t>Mun. Administrator</t>
  </si>
  <si>
    <t>1031- ADMIN</t>
  </si>
  <si>
    <t>Private Sec. II</t>
  </si>
  <si>
    <t>Personal Driver</t>
  </si>
  <si>
    <t>Feb. 1-15, 2026</t>
  </si>
  <si>
    <t>Feb.16-28, 2026</t>
  </si>
  <si>
    <t>1032- HRMO</t>
  </si>
  <si>
    <t>Jan. 16-31,2026</t>
  </si>
  <si>
    <t>1091- MTO</t>
  </si>
  <si>
    <t>4411- MHO</t>
  </si>
  <si>
    <t>7611- MSWD</t>
  </si>
  <si>
    <t>8731- MENRO</t>
  </si>
  <si>
    <t>8751- ENGINEERING</t>
  </si>
  <si>
    <t>8852- TOURISM</t>
  </si>
  <si>
    <t>Differential</t>
  </si>
  <si>
    <t>1016-OVM</t>
  </si>
  <si>
    <t>Executive Asst. I</t>
  </si>
  <si>
    <t>PERA        (FEB.)</t>
  </si>
  <si>
    <t>PERA         (FEB.)</t>
  </si>
  <si>
    <t>Feb. 1-28,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</si>
</sst>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quot;Php&quot;* #,##0.00_);_(&quot;Php&quot;* \(#,##0.00\);_(&quot;Php&quot;* &quot;-&quot;??_);_(@_)"/>
  </numFmts>
  <fonts count="101" x14ac:knownFonts="1">
    <font>
      <sz val="10"/>
      <name val="Arial"/>
    </font>
    <font>
      <b/>
      <u/>
      <sz val="16"/>
      <name val="Arial"/>
      <family val="2"/>
    </font>
    <font>
      <b/>
      <sz val="16"/>
      <name val="Arial"/>
      <family val="2"/>
    </font>
    <font>
      <b/>
      <sz val="20"/>
      <name val="Arial"/>
      <family val="2"/>
    </font>
    <font>
      <sz val="8"/>
      <name val="Arial"/>
      <family val="2"/>
    </font>
    <font>
      <b/>
      <u/>
      <sz val="10"/>
      <name val="Arial"/>
      <family val="2"/>
    </font>
    <font>
      <sz val="7"/>
      <name val="Arial"/>
      <family val="2"/>
    </font>
    <font>
      <sz val="10"/>
      <name val="Arial"/>
      <family val="2"/>
    </font>
    <font>
      <b/>
      <sz val="10"/>
      <name val="Arial"/>
      <family val="2"/>
    </font>
    <font>
      <sz val="9"/>
      <name val="Arial"/>
      <family val="2"/>
    </font>
    <font>
      <b/>
      <sz val="9"/>
      <name val="Arial"/>
      <family val="2"/>
    </font>
    <font>
      <sz val="6"/>
      <name val="Arial"/>
      <family val="2"/>
    </font>
    <font>
      <b/>
      <sz val="7"/>
      <name val="Arial"/>
      <family val="2"/>
    </font>
    <font>
      <b/>
      <vertAlign val="subscript"/>
      <sz val="8"/>
      <name val="Arial"/>
      <family val="2"/>
    </font>
    <font>
      <vertAlign val="subscript"/>
      <sz val="8"/>
      <name val="Arial"/>
      <family val="2"/>
    </font>
    <font>
      <b/>
      <sz val="10"/>
      <name val="Times New Roman"/>
      <family val="1"/>
    </font>
    <font>
      <sz val="10"/>
      <name val="Times New Roman"/>
      <family val="1"/>
    </font>
    <font>
      <b/>
      <sz val="7"/>
      <name val="Times New Roman"/>
      <family val="1"/>
    </font>
    <font>
      <b/>
      <u/>
      <sz val="14"/>
      <name val="Arial"/>
      <family val="2"/>
    </font>
    <font>
      <b/>
      <sz val="11"/>
      <name val="Arial"/>
      <family val="2"/>
    </font>
    <font>
      <sz val="11"/>
      <name val="Arial"/>
      <family val="2"/>
    </font>
    <font>
      <b/>
      <sz val="8"/>
      <name val="Times New Roman"/>
      <family val="1"/>
    </font>
    <font>
      <sz val="9"/>
      <name val="Times New Roman"/>
      <family val="1"/>
    </font>
    <font>
      <sz val="8"/>
      <name val="Arial"/>
      <family val="2"/>
    </font>
    <font>
      <sz val="11"/>
      <name val="Times New Roman"/>
      <family val="1"/>
    </font>
    <font>
      <b/>
      <sz val="11"/>
      <name val="Times New Roman"/>
      <family val="1"/>
    </font>
    <font>
      <b/>
      <sz val="12"/>
      <name val="Arial"/>
      <family val="2"/>
    </font>
    <font>
      <sz val="10"/>
      <name val="Tahoma"/>
      <family val="2"/>
    </font>
    <font>
      <sz val="9"/>
      <name val="Tahoma"/>
      <family val="2"/>
    </font>
    <font>
      <sz val="8"/>
      <name val="Tahoma"/>
      <family val="2"/>
    </font>
    <font>
      <vertAlign val="subscript"/>
      <sz val="9"/>
      <name val="Tahoma"/>
      <family val="2"/>
    </font>
    <font>
      <sz val="11"/>
      <name val="Tahoma"/>
      <family val="2"/>
    </font>
    <font>
      <b/>
      <sz val="9"/>
      <name val="Tahoma"/>
      <family val="2"/>
    </font>
    <font>
      <b/>
      <sz val="8"/>
      <name val="Arial"/>
      <family val="2"/>
    </font>
    <font>
      <b/>
      <i/>
      <sz val="9"/>
      <name val="Tahoma"/>
      <family val="2"/>
    </font>
    <font>
      <vertAlign val="subscript"/>
      <sz val="12"/>
      <name val="Arial"/>
      <family val="2"/>
    </font>
    <font>
      <b/>
      <vertAlign val="subscript"/>
      <sz val="12"/>
      <name val="Arial"/>
      <family val="2"/>
    </font>
    <font>
      <b/>
      <vertAlign val="subscript"/>
      <sz val="10"/>
      <name val="Arial"/>
      <family val="2"/>
    </font>
    <font>
      <vertAlign val="subscript"/>
      <sz val="10"/>
      <name val="Arial"/>
      <family val="2"/>
    </font>
    <font>
      <sz val="10"/>
      <name val="Arial"/>
      <family val="2"/>
    </font>
    <font>
      <b/>
      <u/>
      <sz val="16"/>
      <name val="Tahoma"/>
      <family val="2"/>
    </font>
    <font>
      <b/>
      <sz val="16"/>
      <name val="Tahoma"/>
      <family val="2"/>
    </font>
    <font>
      <b/>
      <sz val="20"/>
      <name val="Tahoma"/>
      <family val="2"/>
    </font>
    <font>
      <b/>
      <sz val="10"/>
      <name val="Tahoma"/>
      <family val="2"/>
    </font>
    <font>
      <b/>
      <u/>
      <sz val="10"/>
      <name val="Tahoma"/>
      <family val="2"/>
    </font>
    <font>
      <sz val="7"/>
      <name val="Tahoma"/>
      <family val="2"/>
    </font>
    <font>
      <sz val="6"/>
      <name val="Tahoma"/>
      <family val="2"/>
    </font>
    <font>
      <b/>
      <sz val="7"/>
      <name val="Tahoma"/>
      <family val="2"/>
    </font>
    <font>
      <sz val="5"/>
      <name val="Tahoma"/>
      <family val="2"/>
    </font>
    <font>
      <b/>
      <vertAlign val="subscript"/>
      <sz val="8"/>
      <name val="Tahoma"/>
      <family val="2"/>
    </font>
    <font>
      <vertAlign val="subscript"/>
      <sz val="8"/>
      <name val="Tahoma"/>
      <family val="2"/>
    </font>
    <font>
      <sz val="10"/>
      <color rgb="FFFF0000"/>
      <name val="Tahoma"/>
      <family val="2"/>
    </font>
    <font>
      <sz val="7"/>
      <color rgb="FF002060"/>
      <name val="Arial"/>
      <family val="2"/>
    </font>
    <font>
      <b/>
      <vertAlign val="subscript"/>
      <sz val="8"/>
      <color rgb="FF002060"/>
      <name val="Arial"/>
      <family val="2"/>
    </font>
    <font>
      <vertAlign val="subscript"/>
      <sz val="9"/>
      <color rgb="FF002060"/>
      <name val="Tahoma"/>
      <family val="2"/>
    </font>
    <font>
      <sz val="9"/>
      <color rgb="FF002060"/>
      <name val="Tahoma"/>
      <family val="2"/>
    </font>
    <font>
      <b/>
      <sz val="9"/>
      <color rgb="FF002060"/>
      <name val="Tahoma"/>
      <family val="2"/>
    </font>
    <font>
      <sz val="8"/>
      <color rgb="FF002060"/>
      <name val="Arial"/>
      <family val="2"/>
    </font>
    <font>
      <sz val="10"/>
      <color rgb="FF002060"/>
      <name val="Arial"/>
      <family val="2"/>
    </font>
    <font>
      <sz val="9"/>
      <color indexed="81"/>
      <name val="Tahoma"/>
      <family val="2"/>
    </font>
    <font>
      <b/>
      <sz val="9"/>
      <color indexed="81"/>
      <name val="Tahoma"/>
      <family val="2"/>
    </font>
    <font>
      <b/>
      <sz val="9"/>
      <color rgb="FF002060"/>
      <name val="Arial"/>
      <family val="2"/>
    </font>
    <font>
      <sz val="6"/>
      <color rgb="FF002060"/>
      <name val="Arial"/>
      <family val="2"/>
    </font>
    <font>
      <b/>
      <sz val="7"/>
      <color rgb="FF002060"/>
      <name val="Arial"/>
      <family val="2"/>
    </font>
    <font>
      <b/>
      <sz val="8"/>
      <name val="Tahoma"/>
      <family val="2"/>
    </font>
    <font>
      <sz val="10"/>
      <color rgb="FF002060"/>
      <name val="Tahoma"/>
      <family val="2"/>
    </font>
    <font>
      <b/>
      <sz val="11"/>
      <color rgb="FF002060"/>
      <name val="Arial"/>
      <family val="2"/>
    </font>
    <font>
      <b/>
      <sz val="11"/>
      <name val="Tahoma"/>
      <family val="2"/>
    </font>
    <font>
      <b/>
      <sz val="14"/>
      <name val="Arial"/>
      <family val="2"/>
    </font>
    <font>
      <b/>
      <i/>
      <sz val="11"/>
      <name val="Tahoma"/>
      <family val="2"/>
    </font>
    <font>
      <sz val="11"/>
      <color rgb="FF002060"/>
      <name val="Tahoma"/>
      <family val="2"/>
    </font>
    <font>
      <b/>
      <sz val="11"/>
      <color rgb="FF002060"/>
      <name val="Tahoma"/>
      <family val="2"/>
    </font>
    <font>
      <sz val="14"/>
      <name val="Tahoma"/>
      <family val="2"/>
    </font>
    <font>
      <sz val="14"/>
      <color rgb="FF002060"/>
      <name val="Tahoma"/>
      <family val="2"/>
    </font>
    <font>
      <sz val="14"/>
      <name val="Arial"/>
      <family val="2"/>
    </font>
    <font>
      <b/>
      <sz val="14"/>
      <name val="Tahoma"/>
      <family val="2"/>
    </font>
    <font>
      <b/>
      <sz val="14"/>
      <color rgb="FF002060"/>
      <name val="Tahoma"/>
      <family val="2"/>
    </font>
    <font>
      <b/>
      <vertAlign val="subscript"/>
      <sz val="9"/>
      <name val="Tahoma"/>
      <family val="2"/>
    </font>
    <font>
      <b/>
      <i/>
      <sz val="10"/>
      <name val="Tahoma"/>
      <family val="2"/>
    </font>
    <font>
      <b/>
      <i/>
      <sz val="12"/>
      <name val="Tahoma"/>
      <family val="2"/>
    </font>
    <font>
      <vertAlign val="subscript"/>
      <sz val="10"/>
      <name val="Tahoma"/>
      <family val="2"/>
    </font>
    <font>
      <vertAlign val="subscript"/>
      <sz val="10"/>
      <color rgb="FF002060"/>
      <name val="Tahoma"/>
      <family val="2"/>
    </font>
    <font>
      <b/>
      <sz val="10"/>
      <color rgb="FF002060"/>
      <name val="Tahoma"/>
      <family val="2"/>
    </font>
    <font>
      <sz val="7.5"/>
      <name val="Arial"/>
      <family val="2"/>
    </font>
    <font>
      <b/>
      <vertAlign val="subscript"/>
      <sz val="10"/>
      <name val="Tahoma"/>
      <family val="2"/>
    </font>
    <font>
      <b/>
      <vertAlign val="subscript"/>
      <sz val="10"/>
      <color rgb="FF002060"/>
      <name val="Arial"/>
      <family val="2"/>
    </font>
    <font>
      <sz val="10"/>
      <color theme="1"/>
      <name val="Tahoma"/>
      <family val="2"/>
    </font>
    <font>
      <sz val="11"/>
      <color rgb="FF9C5700"/>
      <name val="Calibri"/>
      <family val="2"/>
      <scheme val="minor"/>
    </font>
    <font>
      <u/>
      <sz val="8"/>
      <name val="Arial"/>
      <family val="2"/>
    </font>
    <font>
      <sz val="8"/>
      <name val="Arial"/>
      <family val="2"/>
    </font>
    <font>
      <vertAlign val="subscript"/>
      <sz val="14"/>
      <name val="Arial"/>
      <family val="2"/>
    </font>
    <font>
      <vertAlign val="subscript"/>
      <sz val="16"/>
      <name val="Arial"/>
      <family val="2"/>
    </font>
    <font>
      <sz val="12"/>
      <name val="Arial"/>
      <family val="2"/>
    </font>
    <font>
      <sz val="7"/>
      <name val="Times New Roman"/>
      <family val="1"/>
    </font>
    <font>
      <b/>
      <sz val="10"/>
      <color rgb="FFFF0000"/>
      <name val="Arial"/>
      <family val="2"/>
    </font>
    <font>
      <b/>
      <sz val="12"/>
      <name val="Times New Roman"/>
      <family val="1"/>
    </font>
    <font>
      <b/>
      <vertAlign val="subscript"/>
      <sz val="11"/>
      <name val="Tahoma"/>
      <family val="2"/>
    </font>
    <font>
      <sz val="8"/>
      <name val="Times New Roman"/>
      <family val="1"/>
    </font>
    <font>
      <b/>
      <i/>
      <sz val="10"/>
      <name val="Arial"/>
      <family val="2"/>
    </font>
    <font>
      <sz val="8"/>
      <name val="Arial"/>
      <family val="2"/>
    </font>
    <font>
      <sz val="8"/>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rgb="FF66FFFF"/>
        <bgColor indexed="64"/>
      </patternFill>
    </fill>
  </fills>
  <borders count="64">
    <border>
      <left/>
      <right/>
      <top/>
      <bottom/>
      <diagonal/>
    </border>
    <border>
      <left/>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top style="thin">
        <color indexed="64"/>
      </top>
      <bottom/>
      <diagonal/>
    </border>
    <border>
      <left style="double">
        <color indexed="64"/>
      </left>
      <right style="double">
        <color indexed="64"/>
      </right>
      <top style="thin">
        <color indexed="64"/>
      </top>
      <bottom/>
      <diagonal/>
    </border>
    <border>
      <left style="double">
        <color indexed="64"/>
      </left>
      <right/>
      <top/>
      <bottom/>
      <diagonal/>
    </border>
    <border>
      <left style="double">
        <color indexed="64"/>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double">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double">
        <color indexed="64"/>
      </right>
      <top/>
      <bottom/>
      <diagonal/>
    </border>
    <border>
      <left style="thin">
        <color indexed="64"/>
      </left>
      <right/>
      <top style="double">
        <color indexed="64"/>
      </top>
      <bottom style="thin">
        <color indexed="64"/>
      </bottom>
      <diagonal/>
    </border>
    <border>
      <left/>
      <right/>
      <top/>
      <bottom style="double">
        <color indexed="64"/>
      </bottom>
      <diagonal/>
    </border>
    <border>
      <left/>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diagonal/>
    </border>
    <border>
      <left style="double">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top/>
      <bottom/>
      <diagonal/>
    </border>
    <border>
      <left style="thin">
        <color indexed="64"/>
      </left>
      <right style="double">
        <color indexed="64"/>
      </right>
      <top/>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diagonal/>
    </border>
    <border>
      <left style="double">
        <color indexed="64"/>
      </left>
      <right style="double">
        <color indexed="64"/>
      </right>
      <top style="double">
        <color indexed="64"/>
      </top>
      <bottom style="thin">
        <color indexed="64"/>
      </bottom>
      <diagonal/>
    </border>
    <border>
      <left/>
      <right style="double">
        <color indexed="64"/>
      </right>
      <top style="double">
        <color indexed="64"/>
      </top>
      <bottom/>
      <diagonal/>
    </border>
    <border>
      <left style="thin">
        <color indexed="64"/>
      </left>
      <right style="thin">
        <color indexed="64"/>
      </right>
      <top/>
      <bottom style="medium">
        <color indexed="64"/>
      </bottom>
      <diagonal/>
    </border>
    <border>
      <left style="double">
        <color indexed="64"/>
      </left>
      <right style="thin">
        <color indexed="64"/>
      </right>
      <top style="double">
        <color indexed="64"/>
      </top>
      <bottom style="thin">
        <color indexed="64"/>
      </bottom>
      <diagonal/>
    </border>
    <border>
      <left style="double">
        <color indexed="64"/>
      </left>
      <right/>
      <top style="thin">
        <color indexed="64"/>
      </top>
      <bottom style="double">
        <color indexed="64"/>
      </bottom>
      <diagonal/>
    </border>
    <border>
      <left style="thin">
        <color indexed="64"/>
      </left>
      <right style="thin">
        <color indexed="64"/>
      </right>
      <top style="double">
        <color indexed="64"/>
      </top>
      <bottom/>
      <diagonal/>
    </border>
    <border>
      <left style="double">
        <color indexed="64"/>
      </left>
      <right style="thin">
        <color indexed="64"/>
      </right>
      <top/>
      <bottom style="thin">
        <color indexed="64"/>
      </bottom>
      <diagonal/>
    </border>
    <border>
      <left/>
      <right/>
      <top style="thin">
        <color indexed="64"/>
      </top>
      <bottom style="double">
        <color indexed="64"/>
      </bottom>
      <diagonal/>
    </border>
    <border>
      <left style="double">
        <color indexed="64"/>
      </left>
      <right/>
      <top/>
      <bottom style="double">
        <color indexed="64"/>
      </bottom>
      <diagonal/>
    </border>
    <border>
      <left style="thin">
        <color indexed="64"/>
      </left>
      <right/>
      <top style="thin">
        <color indexed="64"/>
      </top>
      <bottom/>
      <diagonal/>
    </border>
    <border>
      <left style="double">
        <color indexed="64"/>
      </left>
      <right style="double">
        <color indexed="64"/>
      </right>
      <top style="thin">
        <color indexed="64"/>
      </top>
      <bottom style="thin">
        <color indexed="64"/>
      </bottom>
      <diagonal/>
    </border>
    <border>
      <left/>
      <right style="double">
        <color indexed="64"/>
      </right>
      <top/>
      <bottom style="double">
        <color indexed="64"/>
      </bottom>
      <diagonal/>
    </border>
    <border>
      <left/>
      <right style="double">
        <color indexed="64"/>
      </right>
      <top style="thin">
        <color indexed="64"/>
      </top>
      <bottom style="double">
        <color indexed="64"/>
      </bottom>
      <diagonal/>
    </border>
    <border>
      <left/>
      <right style="thin">
        <color indexed="64"/>
      </right>
      <top style="double">
        <color indexed="64"/>
      </top>
      <bottom style="thin">
        <color indexed="64"/>
      </bottom>
      <diagonal/>
    </border>
  </borders>
  <cellStyleXfs count="3">
    <xf numFmtId="0" fontId="0" fillId="0" borderId="0"/>
    <xf numFmtId="43" fontId="39" fillId="0" borderId="0" applyFont="0" applyFill="0" applyBorder="0" applyAlignment="0" applyProtection="0"/>
    <xf numFmtId="0" fontId="87" fillId="4" borderId="0" applyNumberFormat="0" applyBorder="0" applyAlignment="0" applyProtection="0"/>
  </cellStyleXfs>
  <cellXfs count="1125">
    <xf numFmtId="0" fontId="0" fillId="0" borderId="0" xfId="0"/>
    <xf numFmtId="0" fontId="4" fillId="0" borderId="0" xfId="0" applyFont="1"/>
    <xf numFmtId="0" fontId="6" fillId="0" borderId="1" xfId="0" applyFont="1" applyBorder="1"/>
    <xf numFmtId="0" fontId="6" fillId="0" borderId="2" xfId="0" applyFont="1" applyBorder="1"/>
    <xf numFmtId="0" fontId="6" fillId="0" borderId="0" xfId="0" applyFont="1"/>
    <xf numFmtId="0" fontId="6" fillId="0" borderId="4" xfId="0" applyFont="1" applyBorder="1" applyAlignment="1">
      <alignment horizontal="center"/>
    </xf>
    <xf numFmtId="0" fontId="6" fillId="0" borderId="5" xfId="0" applyFont="1" applyBorder="1" applyAlignment="1">
      <alignment horizontal="center"/>
    </xf>
    <xf numFmtId="0" fontId="6" fillId="0" borderId="3" xfId="0" applyFont="1" applyBorder="1" applyAlignment="1">
      <alignment horizontal="left"/>
    </xf>
    <xf numFmtId="0" fontId="6" fillId="0" borderId="0" xfId="0" applyFont="1" applyAlignment="1">
      <alignment horizontal="left"/>
    </xf>
    <xf numFmtId="0" fontId="6" fillId="0" borderId="5" xfId="0" applyFont="1" applyBorder="1" applyAlignment="1">
      <alignment horizontal="left"/>
    </xf>
    <xf numFmtId="0" fontId="6" fillId="0" borderId="6" xfId="0" applyFont="1" applyBorder="1" applyAlignment="1">
      <alignment horizontal="center"/>
    </xf>
    <xf numFmtId="0" fontId="6" fillId="0" borderId="0" xfId="0" applyFont="1" applyAlignment="1">
      <alignment horizontal="left" wrapText="1"/>
    </xf>
    <xf numFmtId="0" fontId="12" fillId="0" borderId="3" xfId="0" applyFont="1" applyBorder="1" applyAlignment="1">
      <alignment horizontal="center" wrapText="1"/>
    </xf>
    <xf numFmtId="0" fontId="13" fillId="0" borderId="7" xfId="0" applyFont="1" applyBorder="1" applyAlignment="1">
      <alignment horizontal="center"/>
    </xf>
    <xf numFmtId="0" fontId="13" fillId="0" borderId="7" xfId="0" applyFont="1" applyBorder="1" applyAlignment="1">
      <alignment horizontal="center" wrapText="1"/>
    </xf>
    <xf numFmtId="0" fontId="14" fillId="0" borderId="0" xfId="0" applyFont="1" applyAlignment="1">
      <alignment horizontal="center"/>
    </xf>
    <xf numFmtId="0" fontId="4" fillId="0" borderId="11" xfId="0" applyFont="1" applyBorder="1"/>
    <xf numFmtId="0" fontId="4" fillId="0" borderId="0" xfId="0" applyFont="1" applyAlignment="1">
      <alignment horizontal="left"/>
    </xf>
    <xf numFmtId="4" fontId="4" fillId="0" borderId="0" xfId="0" applyNumberFormat="1" applyFont="1"/>
    <xf numFmtId="0" fontId="17" fillId="0" borderId="0" xfId="0" applyFont="1"/>
    <xf numFmtId="4" fontId="8" fillId="0" borderId="11" xfId="0" applyNumberFormat="1" applyFont="1" applyBorder="1"/>
    <xf numFmtId="0" fontId="13" fillId="0" borderId="11" xfId="0" applyFont="1" applyBorder="1" applyAlignment="1">
      <alignment horizontal="center"/>
    </xf>
    <xf numFmtId="0" fontId="13" fillId="0" borderId="9" xfId="0" applyFont="1" applyBorder="1" applyAlignment="1">
      <alignment horizontal="center"/>
    </xf>
    <xf numFmtId="49" fontId="27" fillId="0" borderId="8" xfId="0" applyNumberFormat="1" applyFont="1" applyBorder="1"/>
    <xf numFmtId="43" fontId="28" fillId="0" borderId="8" xfId="0" quotePrefix="1" applyNumberFormat="1" applyFont="1" applyBorder="1"/>
    <xf numFmtId="43" fontId="28" fillId="0" borderId="8" xfId="0" applyNumberFormat="1" applyFont="1" applyBorder="1"/>
    <xf numFmtId="43" fontId="28" fillId="0" borderId="10" xfId="0" applyNumberFormat="1" applyFont="1" applyBorder="1"/>
    <xf numFmtId="43" fontId="28" fillId="0" borderId="10" xfId="0" quotePrefix="1" applyNumberFormat="1" applyFont="1" applyBorder="1"/>
    <xf numFmtId="43" fontId="28" fillId="0" borderId="14" xfId="0" applyNumberFormat="1" applyFont="1" applyBorder="1"/>
    <xf numFmtId="43" fontId="28" fillId="0" borderId="14" xfId="0" quotePrefix="1" applyNumberFormat="1" applyFont="1" applyBorder="1"/>
    <xf numFmtId="0" fontId="28" fillId="0" borderId="10" xfId="0" applyFont="1" applyBorder="1" applyAlignment="1">
      <alignment horizontal="left"/>
    </xf>
    <xf numFmtId="0" fontId="27" fillId="0" borderId="14" xfId="0" applyFont="1" applyBorder="1" applyAlignment="1">
      <alignment horizontal="left"/>
    </xf>
    <xf numFmtId="0" fontId="27" fillId="0" borderId="10" xfId="0" applyFont="1" applyBorder="1"/>
    <xf numFmtId="4" fontId="28" fillId="0" borderId="10" xfId="0" applyNumberFormat="1" applyFont="1" applyBorder="1"/>
    <xf numFmtId="0" fontId="27" fillId="0" borderId="14" xfId="0" applyFont="1" applyBorder="1"/>
    <xf numFmtId="43" fontId="4" fillId="0" borderId="0" xfId="0" applyNumberFormat="1" applyFont="1"/>
    <xf numFmtId="43" fontId="28" fillId="0" borderId="19" xfId="0" applyNumberFormat="1" applyFont="1" applyBorder="1"/>
    <xf numFmtId="43" fontId="28" fillId="0" borderId="19" xfId="0" quotePrefix="1" applyNumberFormat="1" applyFont="1" applyBorder="1"/>
    <xf numFmtId="43" fontId="28" fillId="0" borderId="12" xfId="0" applyNumberFormat="1" applyFont="1" applyBorder="1"/>
    <xf numFmtId="43" fontId="28" fillId="0" borderId="18" xfId="0" applyNumberFormat="1" applyFont="1" applyBorder="1"/>
    <xf numFmtId="0" fontId="28" fillId="0" borderId="14" xfId="0" applyFont="1" applyBorder="1" applyAlignment="1">
      <alignment horizontal="left"/>
    </xf>
    <xf numFmtId="43" fontId="30" fillId="0" borderId="8" xfId="0" applyNumberFormat="1" applyFont="1" applyBorder="1" applyAlignment="1">
      <alignment horizontal="center"/>
    </xf>
    <xf numFmtId="43" fontId="30" fillId="0" borderId="8" xfId="0" applyNumberFormat="1" applyFont="1" applyBorder="1" applyAlignment="1">
      <alignment horizontal="center" wrapText="1"/>
    </xf>
    <xf numFmtId="0" fontId="28" fillId="0" borderId="24" xfId="0" applyFont="1" applyBorder="1"/>
    <xf numFmtId="0" fontId="27" fillId="0" borderId="10" xfId="0" applyFont="1" applyBorder="1" applyAlignment="1">
      <alignment horizontal="left"/>
    </xf>
    <xf numFmtId="4" fontId="27" fillId="0" borderId="10" xfId="0" applyNumberFormat="1" applyFont="1" applyBorder="1"/>
    <xf numFmtId="0" fontId="27" fillId="0" borderId="12" xfId="0" applyFont="1" applyBorder="1" applyAlignment="1">
      <alignment horizontal="left"/>
    </xf>
    <xf numFmtId="4" fontId="27" fillId="0" borderId="12" xfId="0" applyNumberFormat="1" applyFont="1" applyBorder="1"/>
    <xf numFmtId="49" fontId="28" fillId="0" borderId="26" xfId="0" applyNumberFormat="1" applyFont="1" applyBorder="1" applyAlignment="1">
      <alignment horizontal="center"/>
    </xf>
    <xf numFmtId="43" fontId="4" fillId="0" borderId="15" xfId="0" applyNumberFormat="1" applyFont="1" applyBorder="1"/>
    <xf numFmtId="0" fontId="28" fillId="2" borderId="8" xfId="0" applyFont="1" applyFill="1" applyBorder="1" applyAlignment="1">
      <alignment horizontal="left"/>
    </xf>
    <xf numFmtId="0" fontId="28" fillId="2" borderId="10" xfId="0" applyFont="1" applyFill="1" applyBorder="1" applyAlignment="1">
      <alignment horizontal="left"/>
    </xf>
    <xf numFmtId="49" fontId="28" fillId="2" borderId="8" xfId="0" applyNumberFormat="1" applyFont="1" applyFill="1" applyBorder="1" applyAlignment="1">
      <alignment horizontal="left"/>
    </xf>
    <xf numFmtId="0" fontId="31" fillId="0" borderId="10" xfId="0" applyFont="1" applyBorder="1"/>
    <xf numFmtId="43" fontId="27" fillId="0" borderId="10" xfId="0" quotePrefix="1" applyNumberFormat="1" applyFont="1" applyBorder="1"/>
    <xf numFmtId="43" fontId="27" fillId="0" borderId="8" xfId="0" applyNumberFormat="1" applyFont="1" applyBorder="1"/>
    <xf numFmtId="43" fontId="27" fillId="0" borderId="10" xfId="0" applyNumberFormat="1" applyFont="1" applyBorder="1"/>
    <xf numFmtId="43" fontId="27" fillId="0" borderId="8" xfId="0" quotePrefix="1" applyNumberFormat="1" applyFont="1" applyBorder="1"/>
    <xf numFmtId="43" fontId="27" fillId="0" borderId="12" xfId="0" applyNumberFormat="1" applyFont="1" applyBorder="1"/>
    <xf numFmtId="43" fontId="27" fillId="0" borderId="12" xfId="0" quotePrefix="1" applyNumberFormat="1" applyFont="1" applyBorder="1"/>
    <xf numFmtId="43" fontId="27" fillId="0" borderId="19" xfId="0" applyNumberFormat="1" applyFont="1" applyBorder="1"/>
    <xf numFmtId="43" fontId="27" fillId="0" borderId="18" xfId="0" applyNumberFormat="1" applyFont="1" applyBorder="1"/>
    <xf numFmtId="43" fontId="27" fillId="0" borderId="18" xfId="0" quotePrefix="1" applyNumberFormat="1" applyFont="1" applyBorder="1"/>
    <xf numFmtId="43" fontId="4" fillId="0" borderId="13" xfId="0" applyNumberFormat="1" applyFont="1" applyBorder="1"/>
    <xf numFmtId="43" fontId="27" fillId="0" borderId="21" xfId="0" applyNumberFormat="1" applyFont="1" applyBorder="1"/>
    <xf numFmtId="43" fontId="32" fillId="0" borderId="14" xfId="0" applyNumberFormat="1" applyFont="1" applyBorder="1"/>
    <xf numFmtId="0" fontId="34" fillId="2" borderId="8" xfId="0" applyFont="1" applyFill="1" applyBorder="1" applyAlignment="1">
      <alignment horizontal="left"/>
    </xf>
    <xf numFmtId="0" fontId="34" fillId="2" borderId="10" xfId="0" applyFont="1" applyFill="1" applyBorder="1" applyAlignment="1">
      <alignment horizontal="left"/>
    </xf>
    <xf numFmtId="43" fontId="32" fillId="0" borderId="14" xfId="0" quotePrefix="1" applyNumberFormat="1" applyFont="1" applyBorder="1"/>
    <xf numFmtId="43" fontId="28" fillId="0" borderId="24" xfId="0" applyNumberFormat="1" applyFont="1" applyBorder="1"/>
    <xf numFmtId="43" fontId="13" fillId="0" borderId="10" xfId="0" applyNumberFormat="1" applyFont="1" applyBorder="1" applyAlignment="1">
      <alignment horizontal="center"/>
    </xf>
    <xf numFmtId="43" fontId="28" fillId="0" borderId="10" xfId="0" quotePrefix="1" applyNumberFormat="1" applyFont="1" applyBorder="1" applyAlignment="1">
      <alignment horizontal="right"/>
    </xf>
    <xf numFmtId="43" fontId="28" fillId="0" borderId="23" xfId="0" applyNumberFormat="1" applyFont="1" applyBorder="1"/>
    <xf numFmtId="43" fontId="28" fillId="0" borderId="8" xfId="0" quotePrefix="1" applyNumberFormat="1" applyFont="1" applyBorder="1" applyAlignment="1">
      <alignment horizontal="right"/>
    </xf>
    <xf numFmtId="43" fontId="13" fillId="0" borderId="8" xfId="0" applyNumberFormat="1" applyFont="1" applyBorder="1" applyAlignment="1">
      <alignment horizontal="center"/>
    </xf>
    <xf numFmtId="43" fontId="28" fillId="0" borderId="8" xfId="0" applyNumberFormat="1" applyFont="1" applyBorder="1" applyAlignment="1">
      <alignment shrinkToFit="1"/>
    </xf>
    <xf numFmtId="43" fontId="28" fillId="0" borderId="8" xfId="0" applyNumberFormat="1" applyFont="1" applyBorder="1" applyAlignment="1">
      <alignment horizontal="right"/>
    </xf>
    <xf numFmtId="43" fontId="28" fillId="0" borderId="25" xfId="0" applyNumberFormat="1" applyFont="1" applyBorder="1" applyAlignment="1">
      <alignment horizontal="center"/>
    </xf>
    <xf numFmtId="43" fontId="28" fillId="2" borderId="8" xfId="0" applyNumberFormat="1" applyFont="1" applyFill="1" applyBorder="1" applyAlignment="1">
      <alignment horizontal="left"/>
    </xf>
    <xf numFmtId="43" fontId="30" fillId="0" borderId="23" xfId="0" applyNumberFormat="1" applyFont="1" applyBorder="1" applyAlignment="1">
      <alignment horizontal="center"/>
    </xf>
    <xf numFmtId="43" fontId="28" fillId="2" borderId="10" xfId="0" applyNumberFormat="1" applyFont="1" applyFill="1" applyBorder="1" applyAlignment="1">
      <alignment horizontal="left"/>
    </xf>
    <xf numFmtId="43" fontId="28" fillId="2" borderId="10" xfId="0" applyNumberFormat="1" applyFont="1" applyFill="1" applyBorder="1" applyAlignment="1">
      <alignment horizontal="left" shrinkToFit="1"/>
    </xf>
    <xf numFmtId="43" fontId="28" fillId="0" borderId="10" xfId="0" applyNumberFormat="1" applyFont="1" applyBorder="1" applyAlignment="1">
      <alignment horizontal="left"/>
    </xf>
    <xf numFmtId="43" fontId="32" fillId="0" borderId="14" xfId="0" applyNumberFormat="1" applyFont="1" applyBorder="1" applyAlignment="1">
      <alignment horizontal="left"/>
    </xf>
    <xf numFmtId="43" fontId="35" fillId="0" borderId="0" xfId="0" applyNumberFormat="1" applyFont="1" applyAlignment="1">
      <alignment horizontal="center"/>
    </xf>
    <xf numFmtId="43" fontId="36" fillId="0" borderId="10" xfId="0" applyNumberFormat="1" applyFont="1" applyBorder="1" applyAlignment="1">
      <alignment horizontal="center"/>
    </xf>
    <xf numFmtId="43" fontId="28" fillId="2" borderId="10" xfId="0" applyNumberFormat="1" applyFont="1" applyFill="1" applyBorder="1" applyAlignment="1">
      <alignment horizontal="left" vertical="center"/>
    </xf>
    <xf numFmtId="43" fontId="28" fillId="0" borderId="10" xfId="0" applyNumberFormat="1" applyFont="1" applyBorder="1" applyAlignment="1">
      <alignment horizontal="left" vertical="center"/>
    </xf>
    <xf numFmtId="43" fontId="7" fillId="0" borderId="0" xfId="0" applyNumberFormat="1" applyFont="1"/>
    <xf numFmtId="43" fontId="28" fillId="0" borderId="46" xfId="0" applyNumberFormat="1" applyFont="1" applyBorder="1"/>
    <xf numFmtId="43" fontId="28" fillId="0" borderId="32" xfId="0" applyNumberFormat="1" applyFont="1" applyBorder="1"/>
    <xf numFmtId="43" fontId="28" fillId="0" borderId="33" xfId="0" applyNumberFormat="1" applyFont="1" applyBorder="1"/>
    <xf numFmtId="43" fontId="32" fillId="0" borderId="28" xfId="0" quotePrefix="1" applyNumberFormat="1" applyFont="1" applyBorder="1"/>
    <xf numFmtId="43" fontId="13" fillId="0" borderId="23" xfId="0" applyNumberFormat="1" applyFont="1" applyBorder="1" applyAlignment="1">
      <alignment horizontal="center"/>
    </xf>
    <xf numFmtId="43" fontId="7" fillId="0" borderId="24" xfId="0" applyNumberFormat="1" applyFont="1" applyBorder="1"/>
    <xf numFmtId="43" fontId="8" fillId="0" borderId="24" xfId="0" applyNumberFormat="1" applyFont="1" applyBorder="1"/>
    <xf numFmtId="43" fontId="7" fillId="0" borderId="29" xfId="0" applyNumberFormat="1" applyFont="1" applyBorder="1"/>
    <xf numFmtId="43" fontId="32" fillId="0" borderId="14" xfId="0" applyNumberFormat="1" applyFont="1" applyBorder="1" applyAlignment="1">
      <alignment vertical="center"/>
    </xf>
    <xf numFmtId="0" fontId="37" fillId="0" borderId="0" xfId="0" applyFont="1" applyAlignment="1">
      <alignment horizontal="center"/>
    </xf>
    <xf numFmtId="0" fontId="13" fillId="0" borderId="3" xfId="0" applyFont="1" applyBorder="1" applyAlignment="1">
      <alignment horizontal="center"/>
    </xf>
    <xf numFmtId="0" fontId="13" fillId="0" borderId="0" xfId="0" applyFont="1" applyAlignment="1">
      <alignment horizontal="center"/>
    </xf>
    <xf numFmtId="43" fontId="36" fillId="0" borderId="23" xfId="0" applyNumberFormat="1" applyFont="1" applyBorder="1" applyAlignment="1">
      <alignment horizontal="center"/>
    </xf>
    <xf numFmtId="0" fontId="38" fillId="3" borderId="0" xfId="0" applyFont="1" applyFill="1" applyAlignment="1">
      <alignment horizontal="center"/>
    </xf>
    <xf numFmtId="43" fontId="28" fillId="0" borderId="10" xfId="0" quotePrefix="1" applyNumberFormat="1" applyFont="1" applyBorder="1" applyAlignment="1">
      <alignment horizontal="left" vertical="center"/>
    </xf>
    <xf numFmtId="0" fontId="4" fillId="0" borderId="0" xfId="0" applyFont="1" applyAlignment="1">
      <alignment horizontal="left" vertical="top" wrapText="1"/>
    </xf>
    <xf numFmtId="0" fontId="4" fillId="0" borderId="0" xfId="0" applyFont="1" applyAlignment="1">
      <alignment horizontal="center"/>
    </xf>
    <xf numFmtId="0" fontId="6" fillId="0" borderId="0" xfId="0" applyFont="1" applyAlignment="1">
      <alignment horizontal="center"/>
    </xf>
    <xf numFmtId="0" fontId="6" fillId="0" borderId="3" xfId="0" applyFont="1" applyBorder="1" applyAlignment="1">
      <alignment horizontal="left" wrapText="1"/>
    </xf>
    <xf numFmtId="0" fontId="6" fillId="0" borderId="31" xfId="0" applyFont="1" applyBorder="1" applyAlignment="1">
      <alignment horizontal="center"/>
    </xf>
    <xf numFmtId="0" fontId="6" fillId="0" borderId="3" xfId="0" applyFont="1" applyBorder="1" applyAlignment="1">
      <alignment horizontal="center"/>
    </xf>
    <xf numFmtId="0" fontId="2" fillId="0" borderId="1" xfId="0" applyFont="1" applyBorder="1" applyAlignment="1">
      <alignment horizontal="center"/>
    </xf>
    <xf numFmtId="0" fontId="6" fillId="0" borderId="4" xfId="0" applyFont="1" applyBorder="1" applyAlignment="1">
      <alignment horizontal="center" vertical="center" wrapText="1"/>
    </xf>
    <xf numFmtId="0" fontId="4" fillId="0" borderId="3" xfId="0" applyFont="1" applyBorder="1" applyAlignment="1">
      <alignment horizontal="center"/>
    </xf>
    <xf numFmtId="0" fontId="6" fillId="0" borderId="3" xfId="0" applyFont="1" applyBorder="1" applyAlignment="1">
      <alignment horizontal="left" vertical="center" wrapText="1"/>
    </xf>
    <xf numFmtId="0" fontId="7" fillId="0" borderId="3" xfId="0" applyFont="1" applyBorder="1"/>
    <xf numFmtId="0" fontId="7" fillId="0" borderId="3" xfId="0" applyFont="1" applyBorder="1" applyAlignment="1">
      <alignment horizontal="left"/>
    </xf>
    <xf numFmtId="0" fontId="29" fillId="0" borderId="0" xfId="0" applyFont="1"/>
    <xf numFmtId="0" fontId="41" fillId="0" borderId="1" xfId="0" applyFont="1" applyBorder="1" applyAlignment="1">
      <alignment horizontal="center"/>
    </xf>
    <xf numFmtId="0" fontId="45" fillId="0" borderId="1" xfId="0" applyFont="1" applyBorder="1"/>
    <xf numFmtId="0" fontId="45" fillId="0" borderId="2" xfId="0" applyFont="1" applyBorder="1"/>
    <xf numFmtId="0" fontId="45" fillId="0" borderId="0" xfId="0" applyFont="1"/>
    <xf numFmtId="0" fontId="45" fillId="0" borderId="4" xfId="0" applyFont="1" applyBorder="1" applyAlignment="1">
      <alignment horizontal="center" vertical="center" wrapText="1"/>
    </xf>
    <xf numFmtId="0" fontId="45" fillId="0" borderId="4" xfId="0" applyFont="1" applyBorder="1" applyAlignment="1">
      <alignment horizontal="center"/>
    </xf>
    <xf numFmtId="0" fontId="45" fillId="0" borderId="5" xfId="0" applyFont="1" applyBorder="1" applyAlignment="1">
      <alignment horizontal="center"/>
    </xf>
    <xf numFmtId="0" fontId="45" fillId="0" borderId="3" xfId="0" applyFont="1" applyBorder="1" applyAlignment="1">
      <alignment horizontal="left"/>
    </xf>
    <xf numFmtId="0" fontId="45" fillId="0" borderId="0" xfId="0" applyFont="1" applyAlignment="1">
      <alignment horizontal="left"/>
    </xf>
    <xf numFmtId="0" fontId="45" fillId="0" borderId="5" xfId="0" applyFont="1" applyBorder="1" applyAlignment="1">
      <alignment horizontal="left"/>
    </xf>
    <xf numFmtId="0" fontId="45" fillId="0" borderId="0" xfId="0" applyFont="1" applyAlignment="1">
      <alignment horizontal="center"/>
    </xf>
    <xf numFmtId="0" fontId="45" fillId="0" borderId="6" xfId="0" applyFont="1" applyBorder="1" applyAlignment="1">
      <alignment horizontal="center"/>
    </xf>
    <xf numFmtId="0" fontId="45" fillId="0" borderId="0" xfId="0" applyFont="1" applyAlignment="1">
      <alignment horizontal="left" wrapText="1"/>
    </xf>
    <xf numFmtId="0" fontId="45" fillId="0" borderId="3" xfId="0" applyFont="1" applyBorder="1" applyAlignment="1">
      <alignment horizontal="left" wrapText="1"/>
    </xf>
    <xf numFmtId="0" fontId="28" fillId="0" borderId="0" xfId="0" applyFont="1" applyAlignment="1">
      <alignment horizontal="center"/>
    </xf>
    <xf numFmtId="0" fontId="27" fillId="0" borderId="3" xfId="0" applyFont="1" applyBorder="1"/>
    <xf numFmtId="0" fontId="27" fillId="0" borderId="3" xfId="0" applyFont="1" applyBorder="1" applyAlignment="1">
      <alignment horizontal="left"/>
    </xf>
    <xf numFmtId="0" fontId="47" fillId="0" borderId="3" xfId="0" applyFont="1" applyBorder="1" applyAlignment="1">
      <alignment horizontal="center" vertical="center"/>
    </xf>
    <xf numFmtId="0" fontId="47" fillId="0" borderId="3" xfId="0" applyFont="1" applyBorder="1" applyAlignment="1">
      <alignment horizontal="center" vertical="center" wrapText="1"/>
    </xf>
    <xf numFmtId="0" fontId="45" fillId="0" borderId="3" xfId="0" applyFont="1" applyBorder="1" applyAlignment="1">
      <alignment horizontal="left" vertical="center" wrapText="1"/>
    </xf>
    <xf numFmtId="0" fontId="45" fillId="0" borderId="3" xfId="0" applyFont="1" applyBorder="1" applyAlignment="1">
      <alignment horizontal="center" wrapText="1"/>
    </xf>
    <xf numFmtId="0" fontId="45" fillId="0" borderId="3" xfId="0" applyFont="1" applyBorder="1" applyAlignment="1">
      <alignment horizontal="center"/>
    </xf>
    <xf numFmtId="0" fontId="49" fillId="0" borderId="7" xfId="0" applyFont="1" applyBorder="1" applyAlignment="1">
      <alignment horizontal="center"/>
    </xf>
    <xf numFmtId="0" fontId="49" fillId="0" borderId="7" xfId="0" applyFont="1" applyBorder="1"/>
    <xf numFmtId="0" fontId="49" fillId="0" borderId="7" xfId="0" applyFont="1" applyBorder="1" applyAlignment="1">
      <alignment horizontal="center" wrapText="1"/>
    </xf>
    <xf numFmtId="0" fontId="49" fillId="0" borderId="3" xfId="0" applyFont="1" applyBorder="1" applyAlignment="1">
      <alignment horizontal="center"/>
    </xf>
    <xf numFmtId="0" fontId="50" fillId="0" borderId="0" xfId="0" applyFont="1" applyAlignment="1">
      <alignment horizontal="center"/>
    </xf>
    <xf numFmtId="49" fontId="29" fillId="0" borderId="8" xfId="0" applyNumberFormat="1" applyFont="1" applyBorder="1" applyAlignment="1">
      <alignment horizontal="center"/>
    </xf>
    <xf numFmtId="4" fontId="43" fillId="0" borderId="12" xfId="0" applyNumberFormat="1" applyFont="1" applyBorder="1"/>
    <xf numFmtId="43" fontId="43" fillId="0" borderId="12" xfId="0" applyNumberFormat="1" applyFont="1" applyBorder="1"/>
    <xf numFmtId="49" fontId="29" fillId="0" borderId="10" xfId="0" applyNumberFormat="1" applyFont="1" applyBorder="1" applyAlignment="1">
      <alignment horizontal="center"/>
    </xf>
    <xf numFmtId="0" fontId="49" fillId="0" borderId="17" xfId="0" applyFont="1" applyBorder="1" applyAlignment="1">
      <alignment horizontal="center"/>
    </xf>
    <xf numFmtId="0" fontId="49" fillId="0" borderId="27" xfId="0" applyFont="1" applyBorder="1" applyAlignment="1">
      <alignment horizontal="center"/>
    </xf>
    <xf numFmtId="0" fontId="43" fillId="0" borderId="12" xfId="0" applyFont="1" applyBorder="1" applyAlignment="1">
      <alignment horizontal="left"/>
    </xf>
    <xf numFmtId="49" fontId="27" fillId="0" borderId="10" xfId="0" applyNumberFormat="1" applyFont="1" applyBorder="1"/>
    <xf numFmtId="0" fontId="49" fillId="0" borderId="18" xfId="0" applyFont="1" applyBorder="1" applyAlignment="1">
      <alignment horizontal="center"/>
    </xf>
    <xf numFmtId="0" fontId="49" fillId="0" borderId="47" xfId="0" applyFont="1" applyBorder="1" applyAlignment="1">
      <alignment horizontal="center"/>
    </xf>
    <xf numFmtId="0" fontId="29" fillId="0" borderId="13" xfId="0" applyFont="1" applyBorder="1"/>
    <xf numFmtId="4" fontId="32" fillId="0" borderId="12" xfId="0" applyNumberFormat="1" applyFont="1" applyBorder="1"/>
    <xf numFmtId="4" fontId="43" fillId="0" borderId="14" xfId="0" applyNumberFormat="1" applyFont="1" applyBorder="1"/>
    <xf numFmtId="43" fontId="43" fillId="0" borderId="14" xfId="0" applyNumberFormat="1" applyFont="1" applyBorder="1"/>
    <xf numFmtId="4" fontId="27" fillId="0" borderId="14" xfId="0" applyNumberFormat="1" applyFont="1" applyBorder="1"/>
    <xf numFmtId="0" fontId="29" fillId="0" borderId="15" xfId="0" applyFont="1" applyBorder="1"/>
    <xf numFmtId="4" fontId="29" fillId="0" borderId="0" xfId="0" applyNumberFormat="1" applyFont="1"/>
    <xf numFmtId="0" fontId="43" fillId="0" borderId="0" xfId="0" applyFont="1" applyAlignment="1">
      <alignment horizontal="center"/>
    </xf>
    <xf numFmtId="0" fontId="27" fillId="0" borderId="0" xfId="0" applyFont="1"/>
    <xf numFmtId="0" fontId="29" fillId="0" borderId="0" xfId="0" applyFont="1" applyAlignment="1">
      <alignment horizontal="center"/>
    </xf>
    <xf numFmtId="0" fontId="29" fillId="0" borderId="0" xfId="0" applyFont="1" applyAlignment="1">
      <alignment horizontal="left"/>
    </xf>
    <xf numFmtId="0" fontId="29" fillId="0" borderId="0" xfId="0" applyFont="1" applyAlignment="1">
      <alignment horizontal="left" vertical="top"/>
    </xf>
    <xf numFmtId="0" fontId="47" fillId="0" borderId="0" xfId="0" applyFont="1"/>
    <xf numFmtId="49" fontId="27" fillId="0" borderId="10" xfId="0" applyNumberFormat="1" applyFont="1" applyBorder="1" applyAlignment="1">
      <alignment horizontal="right"/>
    </xf>
    <xf numFmtId="0" fontId="53" fillId="0" borderId="7" xfId="0" applyFont="1" applyBorder="1" applyAlignment="1">
      <alignment horizontal="center" wrapText="1"/>
    </xf>
    <xf numFmtId="43" fontId="55" fillId="0" borderId="10" xfId="0" applyNumberFormat="1" applyFont="1" applyBorder="1"/>
    <xf numFmtId="43" fontId="56" fillId="0" borderId="14" xfId="0" applyNumberFormat="1" applyFont="1" applyBorder="1"/>
    <xf numFmtId="43" fontId="55" fillId="0" borderId="18" xfId="0" applyNumberFormat="1" applyFont="1" applyBorder="1"/>
    <xf numFmtId="43" fontId="55" fillId="0" borderId="8" xfId="0" applyNumberFormat="1" applyFont="1" applyBorder="1"/>
    <xf numFmtId="43" fontId="55" fillId="0" borderId="12" xfId="0" applyNumberFormat="1" applyFont="1" applyBorder="1"/>
    <xf numFmtId="43" fontId="56" fillId="0" borderId="14" xfId="0" quotePrefix="1" applyNumberFormat="1" applyFont="1" applyBorder="1"/>
    <xf numFmtId="43" fontId="57" fillId="0" borderId="0" xfId="0" applyNumberFormat="1" applyFont="1"/>
    <xf numFmtId="0" fontId="57" fillId="0" borderId="0" xfId="0" applyFont="1"/>
    <xf numFmtId="0" fontId="53" fillId="0" borderId="7" xfId="0" applyFont="1" applyBorder="1" applyAlignment="1">
      <alignment horizontal="center"/>
    </xf>
    <xf numFmtId="43" fontId="54" fillId="0" borderId="8" xfId="0" applyNumberFormat="1" applyFont="1" applyBorder="1" applyAlignment="1">
      <alignment horizontal="center"/>
    </xf>
    <xf numFmtId="43" fontId="55" fillId="0" borderId="10" xfId="0" quotePrefix="1" applyNumberFormat="1" applyFont="1" applyBorder="1"/>
    <xf numFmtId="43" fontId="55" fillId="0" borderId="8" xfId="0" quotePrefix="1" applyNumberFormat="1" applyFont="1" applyBorder="1"/>
    <xf numFmtId="43" fontId="34" fillId="2" borderId="10" xfId="0" quotePrefix="1" applyNumberFormat="1" applyFont="1" applyFill="1" applyBorder="1" applyAlignment="1">
      <alignment horizontal="left" vertical="center"/>
    </xf>
    <xf numFmtId="43" fontId="28" fillId="2" borderId="8" xfId="0" quotePrefix="1" applyNumberFormat="1" applyFont="1" applyFill="1" applyBorder="1" applyAlignment="1">
      <alignment horizontal="left"/>
    </xf>
    <xf numFmtId="43" fontId="34" fillId="2" borderId="8" xfId="0" quotePrefix="1" applyNumberFormat="1" applyFont="1" applyFill="1" applyBorder="1" applyAlignment="1">
      <alignment horizontal="left"/>
    </xf>
    <xf numFmtId="43" fontId="28" fillId="2" borderId="10" xfId="0" quotePrefix="1" applyNumberFormat="1" applyFont="1" applyFill="1" applyBorder="1" applyAlignment="1">
      <alignment horizontal="left"/>
    </xf>
    <xf numFmtId="39" fontId="32" fillId="0" borderId="14" xfId="0" applyNumberFormat="1" applyFont="1" applyBorder="1"/>
    <xf numFmtId="0" fontId="52" fillId="0" borderId="3" xfId="0" applyFont="1" applyBorder="1" applyAlignment="1">
      <alignment horizontal="left" wrapText="1"/>
    </xf>
    <xf numFmtId="0" fontId="63" fillId="0" borderId="3" xfId="0" applyFont="1" applyBorder="1" applyAlignment="1">
      <alignment horizontal="center" wrapText="1"/>
    </xf>
    <xf numFmtId="43" fontId="55" fillId="0" borderId="10" xfId="0" applyNumberFormat="1" applyFont="1" applyBorder="1" applyAlignment="1">
      <alignment horizontal="left" vertical="center"/>
    </xf>
    <xf numFmtId="43" fontId="56" fillId="0" borderId="14" xfId="0" applyNumberFormat="1" applyFont="1" applyBorder="1" applyAlignment="1">
      <alignment vertical="center"/>
    </xf>
    <xf numFmtId="43" fontId="55" fillId="0" borderId="10" xfId="0" quotePrefix="1" applyNumberFormat="1" applyFont="1" applyBorder="1" applyAlignment="1">
      <alignment horizontal="left" vertical="center"/>
    </xf>
    <xf numFmtId="4" fontId="27" fillId="0" borderId="8" xfId="0" applyNumberFormat="1" applyFont="1" applyBorder="1"/>
    <xf numFmtId="4" fontId="43" fillId="0" borderId="10" xfId="0" applyNumberFormat="1" applyFont="1" applyBorder="1"/>
    <xf numFmtId="43" fontId="65" fillId="0" borderId="10" xfId="0" applyNumberFormat="1" applyFont="1" applyBorder="1"/>
    <xf numFmtId="0" fontId="32" fillId="0" borderId="10" xfId="0" applyFont="1" applyBorder="1" applyAlignment="1">
      <alignment horizontal="left"/>
    </xf>
    <xf numFmtId="43" fontId="55" fillId="0" borderId="19" xfId="0" applyNumberFormat="1" applyFont="1" applyBorder="1"/>
    <xf numFmtId="43" fontId="65" fillId="0" borderId="8" xfId="0" quotePrefix="1" applyNumberFormat="1" applyFont="1" applyBorder="1"/>
    <xf numFmtId="43" fontId="65" fillId="0" borderId="8" xfId="0" applyNumberFormat="1" applyFont="1" applyBorder="1"/>
    <xf numFmtId="43" fontId="65" fillId="0" borderId="12" xfId="0" applyNumberFormat="1" applyFont="1" applyBorder="1"/>
    <xf numFmtId="43" fontId="65" fillId="0" borderId="14" xfId="0" applyNumberFormat="1" applyFont="1" applyBorder="1"/>
    <xf numFmtId="43" fontId="65" fillId="0" borderId="18" xfId="0" applyNumberFormat="1" applyFont="1" applyBorder="1"/>
    <xf numFmtId="0" fontId="7" fillId="0" borderId="0" xfId="0" applyFont="1"/>
    <xf numFmtId="0" fontId="4" fillId="0" borderId="13" xfId="0" applyFont="1" applyBorder="1"/>
    <xf numFmtId="4" fontId="7" fillId="0" borderId="10" xfId="0" applyNumberFormat="1" applyFont="1" applyBorder="1"/>
    <xf numFmtId="4" fontId="8" fillId="0" borderId="10" xfId="0" applyNumberFormat="1" applyFont="1" applyBorder="1"/>
    <xf numFmtId="4" fontId="7" fillId="0" borderId="12" xfId="0" applyNumberFormat="1" applyFont="1" applyBorder="1"/>
    <xf numFmtId="4" fontId="7" fillId="0" borderId="14" xfId="0" applyNumberFormat="1" applyFont="1" applyBorder="1"/>
    <xf numFmtId="0" fontId="13" fillId="0" borderId="10" xfId="0" applyFont="1" applyBorder="1" applyAlignment="1">
      <alignment horizontal="center"/>
    </xf>
    <xf numFmtId="0" fontId="13" fillId="0" borderId="8" xfId="0" applyFont="1" applyBorder="1" applyAlignment="1">
      <alignment horizontal="center"/>
    </xf>
    <xf numFmtId="49" fontId="28" fillId="0" borderId="8" xfId="0" applyNumberFormat="1" applyFont="1" applyBorder="1"/>
    <xf numFmtId="0" fontId="28" fillId="0" borderId="10" xfId="0" applyFont="1" applyBorder="1"/>
    <xf numFmtId="0" fontId="28" fillId="0" borderId="14" xfId="0" applyFont="1" applyBorder="1"/>
    <xf numFmtId="43" fontId="28" fillId="0" borderId="12" xfId="0" quotePrefix="1" applyNumberFormat="1" applyFont="1" applyBorder="1"/>
    <xf numFmtId="0" fontId="28" fillId="0" borderId="10" xfId="0" quotePrefix="1" applyFont="1" applyBorder="1"/>
    <xf numFmtId="43" fontId="28" fillId="0" borderId="18" xfId="0" quotePrefix="1" applyNumberFormat="1" applyFont="1" applyBorder="1"/>
    <xf numFmtId="0" fontId="30" fillId="0" borderId="23" xfId="0" applyFont="1" applyBorder="1" applyAlignment="1">
      <alignment horizontal="center"/>
    </xf>
    <xf numFmtId="0" fontId="30" fillId="0" borderId="8" xfId="0" applyFont="1" applyBorder="1" applyAlignment="1">
      <alignment horizontal="center"/>
    </xf>
    <xf numFmtId="49" fontId="28" fillId="0" borderId="10" xfId="0" quotePrefix="1" applyNumberFormat="1" applyFont="1" applyBorder="1" applyAlignment="1">
      <alignment horizontal="right"/>
    </xf>
    <xf numFmtId="49" fontId="28" fillId="0" borderId="8" xfId="0" applyNumberFormat="1" applyFont="1" applyBorder="1" applyAlignment="1">
      <alignment shrinkToFit="1"/>
    </xf>
    <xf numFmtId="49" fontId="28" fillId="0" borderId="8" xfId="0" quotePrefix="1" applyNumberFormat="1" applyFont="1" applyBorder="1" applyAlignment="1">
      <alignment horizontal="right"/>
    </xf>
    <xf numFmtId="0" fontId="28" fillId="0" borderId="8" xfId="0" quotePrefix="1" applyFont="1" applyBorder="1"/>
    <xf numFmtId="49" fontId="28" fillId="0" borderId="8" xfId="0" applyNumberFormat="1" applyFont="1" applyBorder="1" applyAlignment="1">
      <alignment horizontal="right"/>
    </xf>
    <xf numFmtId="49" fontId="28" fillId="0" borderId="25" xfId="0" applyNumberFormat="1" applyFont="1" applyBorder="1" applyAlignment="1">
      <alignment horizontal="center"/>
    </xf>
    <xf numFmtId="0" fontId="28" fillId="0" borderId="23" xfId="0" applyFont="1" applyBorder="1"/>
    <xf numFmtId="43" fontId="4" fillId="0" borderId="11" xfId="0" applyNumberFormat="1" applyFont="1" applyBorder="1"/>
    <xf numFmtId="49" fontId="28" fillId="0" borderId="23" xfId="0" applyNumberFormat="1" applyFont="1" applyBorder="1" applyAlignment="1">
      <alignment shrinkToFit="1"/>
    </xf>
    <xf numFmtId="43" fontId="32" fillId="0" borderId="10" xfId="0" applyNumberFormat="1" applyFont="1" applyBorder="1"/>
    <xf numFmtId="43" fontId="32" fillId="0" borderId="18" xfId="0" applyNumberFormat="1" applyFont="1" applyBorder="1"/>
    <xf numFmtId="43" fontId="32" fillId="0" borderId="17" xfId="0" applyNumberFormat="1" applyFont="1" applyBorder="1"/>
    <xf numFmtId="0" fontId="32" fillId="0" borderId="23" xfId="0" applyFont="1" applyBorder="1"/>
    <xf numFmtId="49" fontId="32" fillId="0" borderId="10" xfId="0" quotePrefix="1" applyNumberFormat="1" applyFont="1" applyBorder="1" applyAlignment="1">
      <alignment horizontal="right"/>
    </xf>
    <xf numFmtId="0" fontId="8" fillId="0" borderId="23" xfId="0" applyFont="1" applyBorder="1" applyAlignment="1">
      <alignment horizontal="center" vertical="center" wrapText="1"/>
    </xf>
    <xf numFmtId="43" fontId="28" fillId="0" borderId="10" xfId="0" applyNumberFormat="1" applyFont="1" applyBorder="1" applyAlignment="1">
      <alignment vertical="center"/>
    </xf>
    <xf numFmtId="0" fontId="28" fillId="0" borderId="32" xfId="0" applyFont="1" applyBorder="1" applyAlignment="1">
      <alignment horizontal="center" vertical="center" wrapText="1"/>
    </xf>
    <xf numFmtId="43" fontId="54" fillId="0" borderId="8" xfId="0" applyNumberFormat="1" applyFont="1" applyBorder="1" applyAlignment="1">
      <alignment horizontal="center" wrapText="1"/>
    </xf>
    <xf numFmtId="43" fontId="56" fillId="0" borderId="18" xfId="0" applyNumberFormat="1" applyFont="1" applyBorder="1"/>
    <xf numFmtId="43" fontId="55" fillId="0" borderId="12" xfId="0" quotePrefix="1" applyNumberFormat="1" applyFont="1" applyBorder="1"/>
    <xf numFmtId="43" fontId="56" fillId="0" borderId="10" xfId="0" applyNumberFormat="1" applyFont="1" applyBorder="1"/>
    <xf numFmtId="0" fontId="52" fillId="0" borderId="0" xfId="0" applyFont="1"/>
    <xf numFmtId="43" fontId="56" fillId="0" borderId="8" xfId="0" quotePrefix="1" applyNumberFormat="1" applyFont="1" applyBorder="1"/>
    <xf numFmtId="43" fontId="55" fillId="0" borderId="12" xfId="1" applyFont="1" applyBorder="1"/>
    <xf numFmtId="43" fontId="55" fillId="0" borderId="14" xfId="0" applyNumberFormat="1" applyFont="1" applyBorder="1"/>
    <xf numFmtId="0" fontId="7" fillId="0" borderId="24" xfId="0" applyFont="1" applyBorder="1" applyAlignment="1">
      <alignment horizontal="center" vertical="center" wrapText="1"/>
    </xf>
    <xf numFmtId="0" fontId="34" fillId="0" borderId="8" xfId="0" applyFont="1" applyBorder="1" applyAlignment="1">
      <alignment horizontal="left"/>
    </xf>
    <xf numFmtId="0" fontId="28" fillId="0" borderId="8" xfId="0" applyFont="1" applyBorder="1" applyAlignment="1">
      <alignment horizontal="left"/>
    </xf>
    <xf numFmtId="0" fontId="32" fillId="0" borderId="8" xfId="0" applyFont="1" applyBorder="1" applyAlignment="1">
      <alignment horizontal="left"/>
    </xf>
    <xf numFmtId="49" fontId="28" fillId="0" borderId="8" xfId="0" applyNumberFormat="1" applyFont="1" applyBorder="1" applyAlignment="1">
      <alignment horizontal="left"/>
    </xf>
    <xf numFmtId="0" fontId="34" fillId="0" borderId="10" xfId="0" applyFont="1" applyBorder="1" applyAlignment="1">
      <alignment horizontal="left"/>
    </xf>
    <xf numFmtId="0" fontId="28" fillId="0" borderId="10" xfId="0" applyFont="1" applyBorder="1" applyAlignment="1">
      <alignment horizontal="left" shrinkToFit="1"/>
    </xf>
    <xf numFmtId="0" fontId="7" fillId="0" borderId="0" xfId="0" applyFont="1" applyAlignment="1">
      <alignment wrapText="1"/>
    </xf>
    <xf numFmtId="0" fontId="26" fillId="0" borderId="0" xfId="0" applyFont="1"/>
    <xf numFmtId="0" fontId="4" fillId="0" borderId="0" xfId="0" applyFont="1" applyAlignment="1">
      <alignment wrapText="1"/>
    </xf>
    <xf numFmtId="0" fontId="7" fillId="0" borderId="41" xfId="0" applyFont="1" applyBorder="1" applyAlignment="1">
      <alignment wrapText="1"/>
    </xf>
    <xf numFmtId="43" fontId="4" fillId="0" borderId="0" xfId="0" applyNumberFormat="1" applyFont="1" applyAlignment="1">
      <alignment wrapText="1"/>
    </xf>
    <xf numFmtId="49" fontId="28" fillId="0" borderId="10" xfId="0" applyNumberFormat="1" applyFont="1" applyBorder="1" applyAlignment="1">
      <alignment horizontal="right"/>
    </xf>
    <xf numFmtId="0" fontId="7" fillId="0" borderId="10" xfId="0" applyFont="1" applyBorder="1" applyAlignment="1">
      <alignment vertical="center" wrapText="1"/>
    </xf>
    <xf numFmtId="0" fontId="28" fillId="0" borderId="10" xfId="0" applyFont="1" applyBorder="1" applyAlignment="1">
      <alignment vertical="center" wrapText="1"/>
    </xf>
    <xf numFmtId="43" fontId="32" fillId="0" borderId="10" xfId="0" quotePrefix="1" applyNumberFormat="1" applyFont="1" applyBorder="1"/>
    <xf numFmtId="43" fontId="56" fillId="0" borderId="10" xfId="0" quotePrefix="1" applyNumberFormat="1" applyFont="1" applyBorder="1"/>
    <xf numFmtId="43" fontId="30" fillId="0" borderId="27" xfId="0" applyNumberFormat="1" applyFont="1" applyBorder="1" applyAlignment="1">
      <alignment horizontal="center"/>
    </xf>
    <xf numFmtId="43" fontId="32" fillId="0" borderId="32" xfId="0" applyNumberFormat="1" applyFont="1" applyBorder="1"/>
    <xf numFmtId="43" fontId="32" fillId="0" borderId="32" xfId="0" quotePrefix="1" applyNumberFormat="1" applyFont="1" applyBorder="1"/>
    <xf numFmtId="43" fontId="28" fillId="0" borderId="48" xfId="0" applyNumberFormat="1" applyFont="1" applyBorder="1"/>
    <xf numFmtId="0" fontId="69" fillId="0" borderId="10" xfId="0" applyFont="1" applyBorder="1" applyAlignment="1">
      <alignment horizontal="left"/>
    </xf>
    <xf numFmtId="43" fontId="70" fillId="0" borderId="8" xfId="0" applyNumberFormat="1" applyFont="1" applyBorder="1"/>
    <xf numFmtId="0" fontId="31" fillId="0" borderId="10" xfId="0" applyFont="1" applyBorder="1" applyAlignment="1">
      <alignment horizontal="left"/>
    </xf>
    <xf numFmtId="43" fontId="70" fillId="0" borderId="10" xfId="0" quotePrefix="1" applyNumberFormat="1" applyFont="1" applyBorder="1"/>
    <xf numFmtId="49" fontId="31" fillId="0" borderId="8" xfId="0" applyNumberFormat="1" applyFont="1" applyBorder="1" applyAlignment="1">
      <alignment shrinkToFit="1"/>
    </xf>
    <xf numFmtId="49" fontId="31" fillId="0" borderId="10" xfId="0" applyNumberFormat="1" applyFont="1" applyBorder="1" applyAlignment="1">
      <alignment horizontal="right"/>
    </xf>
    <xf numFmtId="43" fontId="67" fillId="0" borderId="10" xfId="0" quotePrefix="1" applyNumberFormat="1" applyFont="1" applyBorder="1"/>
    <xf numFmtId="43" fontId="71" fillId="0" borderId="10" xfId="0" quotePrefix="1" applyNumberFormat="1" applyFont="1" applyBorder="1"/>
    <xf numFmtId="43" fontId="67" fillId="0" borderId="11" xfId="0" quotePrefix="1" applyNumberFormat="1" applyFont="1" applyBorder="1"/>
    <xf numFmtId="0" fontId="31" fillId="0" borderId="32" xfId="0" applyFont="1" applyBorder="1"/>
    <xf numFmtId="43" fontId="31" fillId="0" borderId="8" xfId="0" applyNumberFormat="1" applyFont="1" applyBorder="1"/>
    <xf numFmtId="0" fontId="72" fillId="0" borderId="10" xfId="0" applyFont="1" applyBorder="1"/>
    <xf numFmtId="49" fontId="72" fillId="0" borderId="8" xfId="0" applyNumberFormat="1" applyFont="1" applyBorder="1"/>
    <xf numFmtId="43" fontId="73" fillId="0" borderId="8" xfId="0" applyNumberFormat="1" applyFont="1" applyBorder="1"/>
    <xf numFmtId="43" fontId="72" fillId="0" borderId="18" xfId="0" applyNumberFormat="1" applyFont="1" applyBorder="1"/>
    <xf numFmtId="43" fontId="73" fillId="0" borderId="18" xfId="0" applyNumberFormat="1" applyFont="1" applyBorder="1"/>
    <xf numFmtId="43" fontId="72" fillId="0" borderId="12" xfId="0" applyNumberFormat="1" applyFont="1" applyBorder="1"/>
    <xf numFmtId="43" fontId="72" fillId="0" borderId="9" xfId="0" applyNumberFormat="1" applyFont="1" applyBorder="1"/>
    <xf numFmtId="0" fontId="72" fillId="0" borderId="10" xfId="0" applyFont="1" applyBorder="1" applyAlignment="1">
      <alignment horizontal="left"/>
    </xf>
    <xf numFmtId="0" fontId="72" fillId="0" borderId="24" xfId="0" applyFont="1" applyBorder="1"/>
    <xf numFmtId="43" fontId="73" fillId="0" borderId="10" xfId="0" quotePrefix="1" applyNumberFormat="1" applyFont="1" applyBorder="1"/>
    <xf numFmtId="43" fontId="72" fillId="0" borderId="10" xfId="0" quotePrefix="1" applyNumberFormat="1" applyFont="1" applyBorder="1"/>
    <xf numFmtId="43" fontId="72" fillId="0" borderId="10" xfId="0" applyNumberFormat="1" applyFont="1" applyBorder="1"/>
    <xf numFmtId="43" fontId="73" fillId="0" borderId="10" xfId="0" applyNumberFormat="1" applyFont="1" applyBorder="1"/>
    <xf numFmtId="0" fontId="72" fillId="0" borderId="10" xfId="0" applyFont="1" applyBorder="1" applyAlignment="1">
      <alignment horizontal="left" shrinkToFit="1"/>
    </xf>
    <xf numFmtId="0" fontId="72" fillId="0" borderId="23" xfId="0" applyFont="1" applyBorder="1"/>
    <xf numFmtId="43" fontId="75" fillId="0" borderId="21" xfId="0" applyNumberFormat="1" applyFont="1" applyBorder="1"/>
    <xf numFmtId="43" fontId="76" fillId="0" borderId="21" xfId="0" applyNumberFormat="1" applyFont="1" applyBorder="1"/>
    <xf numFmtId="0" fontId="28" fillId="0" borderId="6" xfId="0" applyFont="1" applyBorder="1" applyAlignment="1">
      <alignment horizontal="center" vertical="top" wrapText="1"/>
    </xf>
    <xf numFmtId="0" fontId="28" fillId="0" borderId="6" xfId="0" applyFont="1" applyBorder="1" applyAlignment="1">
      <alignment horizontal="center" wrapText="1"/>
    </xf>
    <xf numFmtId="0" fontId="77" fillId="0" borderId="7" xfId="0" applyFont="1" applyBorder="1" applyAlignment="1">
      <alignment horizontal="center"/>
    </xf>
    <xf numFmtId="0" fontId="28" fillId="0" borderId="16" xfId="0" applyFont="1" applyBorder="1" applyAlignment="1">
      <alignment horizontal="center" vertical="top" wrapText="1"/>
    </xf>
    <xf numFmtId="0" fontId="28" fillId="0" borderId="6" xfId="0" applyFont="1" applyBorder="1" applyAlignment="1">
      <alignment horizontal="center"/>
    </xf>
    <xf numFmtId="0" fontId="28" fillId="0" borderId="12" xfId="0" applyFont="1" applyBorder="1" applyAlignment="1">
      <alignment horizontal="center"/>
    </xf>
    <xf numFmtId="0" fontId="32" fillId="0" borderId="14" xfId="0" applyFont="1" applyBorder="1" applyAlignment="1">
      <alignment horizontal="center"/>
    </xf>
    <xf numFmtId="0" fontId="28" fillId="0" borderId="0" xfId="0" applyFont="1" applyAlignment="1">
      <alignment horizontal="center" wrapText="1"/>
    </xf>
    <xf numFmtId="0" fontId="29" fillId="0" borderId="6" xfId="0" applyFont="1" applyBorder="1" applyAlignment="1">
      <alignment horizontal="center"/>
    </xf>
    <xf numFmtId="0" fontId="29" fillId="0" borderId="6" xfId="0" applyFont="1" applyBorder="1" applyAlignment="1">
      <alignment horizontal="center" vertical="top" wrapText="1"/>
    </xf>
    <xf numFmtId="0" fontId="78" fillId="0" borderId="12" xfId="0" applyFont="1" applyBorder="1" applyAlignment="1">
      <alignment horizontal="left"/>
    </xf>
    <xf numFmtId="0" fontId="7" fillId="0" borderId="3" xfId="0" applyFont="1" applyBorder="1" applyAlignment="1">
      <alignment horizontal="center"/>
    </xf>
    <xf numFmtId="0" fontId="11" fillId="0" borderId="3" xfId="0" applyFont="1" applyBorder="1" applyAlignment="1">
      <alignment horizontal="center" wrapText="1"/>
    </xf>
    <xf numFmtId="0" fontId="6" fillId="0" borderId="4" xfId="0" applyFont="1" applyBorder="1" applyAlignment="1">
      <alignment horizontal="center" wrapText="1"/>
    </xf>
    <xf numFmtId="0" fontId="6" fillId="0" borderId="6" xfId="0" applyFont="1" applyBorder="1" applyAlignment="1">
      <alignment horizontal="center" wrapText="1"/>
    </xf>
    <xf numFmtId="0" fontId="7" fillId="0" borderId="0" xfId="0" applyFont="1" applyAlignment="1">
      <alignment horizontal="center"/>
    </xf>
    <xf numFmtId="0" fontId="26" fillId="0" borderId="0" xfId="0" applyFont="1" applyAlignment="1">
      <alignment horizontal="center"/>
    </xf>
    <xf numFmtId="0" fontId="6" fillId="0" borderId="30" xfId="0" applyFont="1" applyBorder="1" applyAlignment="1">
      <alignment horizontal="center" wrapText="1"/>
    </xf>
    <xf numFmtId="0" fontId="7" fillId="0" borderId="6" xfId="0" applyFont="1" applyBorder="1" applyAlignment="1">
      <alignment horizontal="center" wrapText="1"/>
    </xf>
    <xf numFmtId="49" fontId="34" fillId="0" borderId="10" xfId="0" applyNumberFormat="1" applyFont="1" applyBorder="1" applyAlignment="1">
      <alignment horizontal="left"/>
    </xf>
    <xf numFmtId="0" fontId="6" fillId="0" borderId="45" xfId="0" applyFont="1" applyBorder="1" applyAlignment="1">
      <alignment horizontal="center" wrapText="1"/>
    </xf>
    <xf numFmtId="0" fontId="28" fillId="0" borderId="25" xfId="0" applyFont="1" applyBorder="1" applyAlignment="1">
      <alignment horizontal="center"/>
    </xf>
    <xf numFmtId="0" fontId="9" fillId="0" borderId="24" xfId="0" applyFont="1" applyBorder="1" applyAlignment="1">
      <alignment horizontal="center" vertical="center" wrapText="1"/>
    </xf>
    <xf numFmtId="0" fontId="6" fillId="0" borderId="1" xfId="0" applyFont="1" applyBorder="1" applyAlignment="1">
      <alignment horizontal="center" wrapText="1"/>
    </xf>
    <xf numFmtId="0" fontId="6" fillId="0" borderId="0" xfId="0" applyFont="1" applyAlignment="1">
      <alignment horizontal="center" wrapText="1"/>
    </xf>
    <xf numFmtId="0" fontId="28" fillId="0" borderId="10" xfId="0" quotePrefix="1" applyFont="1" applyBorder="1" applyAlignment="1">
      <alignment horizontal="center"/>
    </xf>
    <xf numFmtId="0" fontId="28" fillId="0" borderId="8" xfId="0" quotePrefix="1" applyFont="1" applyBorder="1" applyAlignment="1">
      <alignment horizontal="center"/>
    </xf>
    <xf numFmtId="0" fontId="28" fillId="0" borderId="8" xfId="0" applyFont="1" applyBorder="1" applyAlignment="1">
      <alignment horizontal="center"/>
    </xf>
    <xf numFmtId="0" fontId="28" fillId="0" borderId="10" xfId="0" applyFont="1" applyBorder="1" applyAlignment="1">
      <alignment horizontal="center"/>
    </xf>
    <xf numFmtId="0" fontId="28" fillId="0" borderId="24" xfId="0" applyFont="1" applyBorder="1" applyAlignment="1">
      <alignment horizontal="center"/>
    </xf>
    <xf numFmtId="4" fontId="6" fillId="0" borderId="1" xfId="0" applyNumberFormat="1" applyFont="1" applyBorder="1"/>
    <xf numFmtId="4" fontId="11" fillId="0" borderId="3" xfId="0" applyNumberFormat="1" applyFont="1" applyBorder="1" applyAlignment="1">
      <alignment horizontal="center" wrapText="1"/>
    </xf>
    <xf numFmtId="4" fontId="13" fillId="0" borderId="7" xfId="0" applyNumberFormat="1" applyFont="1" applyBorder="1" applyAlignment="1">
      <alignment horizontal="center"/>
    </xf>
    <xf numFmtId="4" fontId="30" fillId="0" borderId="8" xfId="0" applyNumberFormat="1" applyFont="1" applyBorder="1" applyAlignment="1">
      <alignment horizontal="center"/>
    </xf>
    <xf numFmtId="4" fontId="28" fillId="0" borderId="10" xfId="0" applyNumberFormat="1" applyFont="1" applyBorder="1" applyAlignment="1">
      <alignment horizontal="left" vertical="center"/>
    </xf>
    <xf numFmtId="4" fontId="32" fillId="0" borderId="14" xfId="0" applyNumberFormat="1" applyFont="1" applyBorder="1"/>
    <xf numFmtId="4" fontId="28" fillId="0" borderId="18" xfId="0" applyNumberFormat="1" applyFont="1" applyBorder="1"/>
    <xf numFmtId="4" fontId="28" fillId="0" borderId="46" xfId="0" applyNumberFormat="1" applyFont="1" applyBorder="1"/>
    <xf numFmtId="4" fontId="28" fillId="0" borderId="32" xfId="0" applyNumberFormat="1" applyFont="1" applyBorder="1"/>
    <xf numFmtId="4" fontId="32" fillId="0" borderId="14" xfId="0" applyNumberFormat="1" applyFont="1" applyBorder="1" applyAlignment="1">
      <alignment vertical="center"/>
    </xf>
    <xf numFmtId="4" fontId="28" fillId="0" borderId="33" xfId="0" applyNumberFormat="1" applyFont="1" applyBorder="1"/>
    <xf numFmtId="4" fontId="28" fillId="0" borderId="8" xfId="0" applyNumberFormat="1" applyFont="1" applyBorder="1"/>
    <xf numFmtId="4" fontId="32" fillId="0" borderId="28" xfId="0" quotePrefix="1" applyNumberFormat="1" applyFont="1" applyBorder="1"/>
    <xf numFmtId="4" fontId="4" fillId="0" borderId="0" xfId="0" applyNumberFormat="1" applyFont="1" applyAlignment="1">
      <alignment horizontal="left" vertical="top" wrapText="1"/>
    </xf>
    <xf numFmtId="43" fontId="13" fillId="0" borderId="9" xfId="0" applyNumberFormat="1" applyFont="1" applyBorder="1" applyAlignment="1">
      <alignment horizontal="center"/>
    </xf>
    <xf numFmtId="0" fontId="27" fillId="0" borderId="0" xfId="0" applyFont="1" applyAlignment="1">
      <alignment wrapText="1"/>
    </xf>
    <xf numFmtId="0" fontId="27" fillId="0" borderId="6" xfId="0" applyFont="1" applyBorder="1" applyAlignment="1">
      <alignment horizontal="center" wrapText="1"/>
    </xf>
    <xf numFmtId="0" fontId="27" fillId="0" borderId="24" xfId="0" applyFont="1" applyBorder="1" applyAlignment="1">
      <alignment horizontal="center" wrapText="1"/>
    </xf>
    <xf numFmtId="39" fontId="57" fillId="0" borderId="0" xfId="0" applyNumberFormat="1" applyFont="1"/>
    <xf numFmtId="43" fontId="28" fillId="2" borderId="12" xfId="0" applyNumberFormat="1" applyFont="1" applyFill="1" applyBorder="1" applyAlignment="1">
      <alignment horizontal="left"/>
    </xf>
    <xf numFmtId="43" fontId="28" fillId="0" borderId="49" xfId="0" applyNumberFormat="1" applyFont="1" applyBorder="1"/>
    <xf numFmtId="43" fontId="28" fillId="0" borderId="12" xfId="0" quotePrefix="1" applyNumberFormat="1" applyFont="1" applyBorder="1" applyAlignment="1">
      <alignment horizontal="right"/>
    </xf>
    <xf numFmtId="43" fontId="32" fillId="0" borderId="12" xfId="0" applyNumberFormat="1" applyFont="1" applyBorder="1"/>
    <xf numFmtId="43" fontId="34" fillId="2" borderId="10" xfId="0" quotePrefix="1" applyNumberFormat="1" applyFont="1" applyFill="1" applyBorder="1" applyAlignment="1">
      <alignment horizontal="left"/>
    </xf>
    <xf numFmtId="43" fontId="28" fillId="0" borderId="10" xfId="0" applyNumberFormat="1" applyFont="1" applyBorder="1" applyAlignment="1">
      <alignment horizontal="right"/>
    </xf>
    <xf numFmtId="0" fontId="7" fillId="0" borderId="10" xfId="0" applyFont="1" applyBorder="1" applyAlignment="1">
      <alignment horizontal="center" vertical="center" wrapText="1"/>
    </xf>
    <xf numFmtId="43" fontId="32" fillId="0" borderId="10" xfId="0" applyNumberFormat="1" applyFont="1" applyBorder="1" applyAlignment="1">
      <alignment vertical="center"/>
    </xf>
    <xf numFmtId="43" fontId="56" fillId="0" borderId="10" xfId="0" applyNumberFormat="1" applyFont="1" applyBorder="1" applyAlignment="1">
      <alignment vertical="center"/>
    </xf>
    <xf numFmtId="43" fontId="28" fillId="0" borderId="11" xfId="0" applyNumberFormat="1" applyFont="1" applyBorder="1"/>
    <xf numFmtId="43" fontId="32" fillId="0" borderId="11" xfId="0" applyNumberFormat="1" applyFont="1" applyBorder="1" applyAlignment="1">
      <alignment vertical="center"/>
    </xf>
    <xf numFmtId="0" fontId="6" fillId="0" borderId="30" xfId="0" applyFont="1" applyBorder="1" applyAlignment="1">
      <alignment wrapText="1"/>
    </xf>
    <xf numFmtId="0" fontId="0" fillId="0" borderId="30" xfId="0" applyBorder="1"/>
    <xf numFmtId="0" fontId="0" fillId="0" borderId="31" xfId="0" applyBorder="1"/>
    <xf numFmtId="0" fontId="6" fillId="0" borderId="5" xfId="0" applyFont="1" applyBorder="1"/>
    <xf numFmtId="0" fontId="6" fillId="0" borderId="38" xfId="0" applyFont="1" applyBorder="1"/>
    <xf numFmtId="43" fontId="32" fillId="0" borderId="11" xfId="0" applyNumberFormat="1" applyFont="1" applyBorder="1"/>
    <xf numFmtId="43" fontId="32" fillId="0" borderId="15" xfId="0" applyNumberFormat="1" applyFont="1" applyBorder="1"/>
    <xf numFmtId="43" fontId="55" fillId="0" borderId="10" xfId="0" applyNumberFormat="1" applyFont="1" applyBorder="1" applyAlignment="1">
      <alignment horizontal="left"/>
    </xf>
    <xf numFmtId="43" fontId="55" fillId="0" borderId="10" xfId="0" quotePrefix="1" applyNumberFormat="1" applyFont="1" applyBorder="1" applyAlignment="1">
      <alignment horizontal="left"/>
    </xf>
    <xf numFmtId="0" fontId="9" fillId="0" borderId="24" xfId="0" applyFont="1" applyBorder="1" applyAlignment="1">
      <alignment horizontal="center" wrapText="1"/>
    </xf>
    <xf numFmtId="0" fontId="6" fillId="0" borderId="50" xfId="0" applyFont="1" applyBorder="1" applyAlignment="1">
      <alignment horizontal="center" wrapText="1"/>
    </xf>
    <xf numFmtId="0" fontId="31" fillId="0" borderId="24" xfId="0" applyFont="1" applyBorder="1"/>
    <xf numFmtId="43" fontId="31" fillId="0" borderId="33" xfId="0" applyNumberFormat="1" applyFont="1" applyBorder="1"/>
    <xf numFmtId="0" fontId="79" fillId="0" borderId="10" xfId="0" applyFont="1" applyBorder="1" applyAlignment="1">
      <alignment horizontal="left"/>
    </xf>
    <xf numFmtId="4" fontId="43" fillId="0" borderId="21" xfId="0" applyNumberFormat="1" applyFont="1" applyBorder="1"/>
    <xf numFmtId="43" fontId="43" fillId="0" borderId="21" xfId="0" applyNumberFormat="1" applyFont="1" applyBorder="1"/>
    <xf numFmtId="0" fontId="27" fillId="0" borderId="0" xfId="0" applyFont="1" applyAlignment="1">
      <alignment vertical="center" wrapText="1"/>
    </xf>
    <xf numFmtId="4" fontId="27" fillId="0" borderId="18" xfId="0" applyNumberFormat="1" applyFont="1" applyBorder="1"/>
    <xf numFmtId="4" fontId="27" fillId="0" borderId="19" xfId="0" applyNumberFormat="1" applyFont="1" applyBorder="1"/>
    <xf numFmtId="43" fontId="43" fillId="0" borderId="18" xfId="0" applyNumberFormat="1" applyFont="1" applyBorder="1"/>
    <xf numFmtId="4" fontId="43" fillId="0" borderId="18" xfId="0" applyNumberFormat="1" applyFont="1" applyBorder="1"/>
    <xf numFmtId="4" fontId="32" fillId="0" borderId="18" xfId="0" applyNumberFormat="1" applyFont="1" applyBorder="1"/>
    <xf numFmtId="4" fontId="32" fillId="0" borderId="19" xfId="0" applyNumberFormat="1" applyFont="1" applyBorder="1"/>
    <xf numFmtId="0" fontId="78" fillId="0" borderId="10" xfId="0" applyFont="1" applyBorder="1" applyAlignment="1">
      <alignment horizontal="left"/>
    </xf>
    <xf numFmtId="0" fontId="27" fillId="2" borderId="10" xfId="0" applyFont="1" applyFill="1" applyBorder="1" applyAlignment="1">
      <alignment horizontal="left"/>
    </xf>
    <xf numFmtId="0" fontId="27" fillId="2" borderId="10" xfId="0" applyFont="1" applyFill="1" applyBorder="1" applyAlignment="1">
      <alignment horizontal="left" shrinkToFit="1"/>
    </xf>
    <xf numFmtId="0" fontId="28" fillId="0" borderId="10" xfId="0" applyFont="1" applyBorder="1" applyAlignment="1">
      <alignment vertical="center"/>
    </xf>
    <xf numFmtId="0" fontId="7" fillId="0" borderId="10" xfId="0" applyFont="1" applyBorder="1" applyAlignment="1">
      <alignment vertical="center"/>
    </xf>
    <xf numFmtId="43" fontId="32" fillId="0" borderId="21" xfId="0" applyNumberFormat="1" applyFont="1" applyBorder="1"/>
    <xf numFmtId="43" fontId="28" fillId="0" borderId="15" xfId="0" applyNumberFormat="1" applyFont="1" applyBorder="1"/>
    <xf numFmtId="0" fontId="7" fillId="0" borderId="0" xfId="0" applyFont="1" applyAlignment="1">
      <alignment vertical="top" wrapText="1"/>
    </xf>
    <xf numFmtId="43" fontId="28" fillId="0" borderId="17" xfId="0" applyNumberFormat="1" applyFont="1" applyBorder="1"/>
    <xf numFmtId="49" fontId="27" fillId="0" borderId="12" xfId="0" applyNumberFormat="1" applyFont="1" applyBorder="1" applyAlignment="1">
      <alignment horizontal="right"/>
    </xf>
    <xf numFmtId="49" fontId="27" fillId="0" borderId="12" xfId="0" applyNumberFormat="1" applyFont="1" applyBorder="1"/>
    <xf numFmtId="4" fontId="27" fillId="0" borderId="21" xfId="0" applyNumberFormat="1" applyFont="1" applyBorder="1"/>
    <xf numFmtId="0" fontId="29" fillId="0" borderId="1" xfId="0" applyFont="1" applyBorder="1" applyAlignment="1">
      <alignment wrapText="1"/>
    </xf>
    <xf numFmtId="0" fontId="27" fillId="0" borderId="1" xfId="0" applyFont="1" applyBorder="1" applyAlignment="1">
      <alignment wrapText="1"/>
    </xf>
    <xf numFmtId="0" fontId="29" fillId="0" borderId="1" xfId="0" applyFont="1" applyBorder="1" applyAlignment="1">
      <alignment horizontal="center" wrapText="1"/>
    </xf>
    <xf numFmtId="0" fontId="43" fillId="0" borderId="0" xfId="0" applyFont="1" applyAlignment="1">
      <alignment wrapText="1"/>
    </xf>
    <xf numFmtId="0" fontId="29" fillId="0" borderId="0" xfId="0" applyFont="1" applyAlignment="1">
      <alignment wrapText="1"/>
    </xf>
    <xf numFmtId="0" fontId="29" fillId="0" borderId="0" xfId="0" applyFont="1" applyAlignment="1">
      <alignment horizontal="center" wrapText="1"/>
    </xf>
    <xf numFmtId="0" fontId="32" fillId="0" borderId="32" xfId="0" applyFont="1" applyBorder="1" applyAlignment="1">
      <alignment wrapText="1"/>
    </xf>
    <xf numFmtId="0" fontId="43" fillId="0" borderId="10" xfId="0" applyFont="1" applyBorder="1" applyAlignment="1">
      <alignment wrapText="1"/>
    </xf>
    <xf numFmtId="0" fontId="32" fillId="0" borderId="35" xfId="0" applyFont="1" applyBorder="1" applyAlignment="1">
      <alignment wrapText="1"/>
    </xf>
    <xf numFmtId="0" fontId="43" fillId="0" borderId="17" xfId="0" applyFont="1" applyBorder="1" applyAlignment="1">
      <alignment wrapText="1"/>
    </xf>
    <xf numFmtId="0" fontId="43" fillId="0" borderId="18" xfId="0" applyFont="1" applyBorder="1" applyAlignment="1">
      <alignment horizontal="center" wrapText="1"/>
    </xf>
    <xf numFmtId="49" fontId="27" fillId="0" borderId="12" xfId="0" applyNumberFormat="1" applyFont="1" applyBorder="1" applyAlignment="1">
      <alignment horizontal="center"/>
    </xf>
    <xf numFmtId="49" fontId="27" fillId="0" borderId="10" xfId="0" applyNumberFormat="1" applyFont="1" applyBorder="1" applyAlignment="1">
      <alignment horizontal="center"/>
    </xf>
    <xf numFmtId="0" fontId="43" fillId="0" borderId="10" xfId="0" applyFont="1" applyBorder="1" applyAlignment="1">
      <alignment horizontal="center" wrapText="1"/>
    </xf>
    <xf numFmtId="0" fontId="27" fillId="0" borderId="14" xfId="0" applyFont="1" applyBorder="1" applyAlignment="1">
      <alignment horizontal="center"/>
    </xf>
    <xf numFmtId="4" fontId="51" fillId="0" borderId="18" xfId="0" applyNumberFormat="1" applyFont="1" applyBorder="1"/>
    <xf numFmtId="4" fontId="32" fillId="0" borderId="10" xfId="0" applyNumberFormat="1" applyFont="1" applyBorder="1"/>
    <xf numFmtId="0" fontId="43" fillId="0" borderId="14" xfId="0" applyFont="1" applyBorder="1" applyAlignment="1">
      <alignment horizontal="left"/>
    </xf>
    <xf numFmtId="0" fontId="28" fillId="0" borderId="8" xfId="0" applyFont="1" applyBorder="1"/>
    <xf numFmtId="0" fontId="6" fillId="0" borderId="3" xfId="0" applyFont="1" applyBorder="1" applyAlignment="1">
      <alignment horizontal="center" vertical="center" wrapText="1"/>
    </xf>
    <xf numFmtId="0" fontId="6" fillId="0" borderId="16" xfId="0" applyFont="1" applyBorder="1" applyAlignment="1">
      <alignment horizontal="center" wrapText="1"/>
    </xf>
    <xf numFmtId="0" fontId="6" fillId="0" borderId="6" xfId="0" applyFont="1" applyBorder="1" applyAlignment="1">
      <alignment horizontal="center" vertical="center" wrapText="1"/>
    </xf>
    <xf numFmtId="0" fontId="43" fillId="0" borderId="10" xfId="0" applyFont="1" applyBorder="1" applyAlignment="1">
      <alignment horizontal="left"/>
    </xf>
    <xf numFmtId="0" fontId="28" fillId="0" borderId="18" xfId="0" applyFont="1" applyBorder="1" applyAlignment="1">
      <alignment horizontal="center"/>
    </xf>
    <xf numFmtId="0" fontId="28" fillId="0" borderId="19" xfId="0" applyFont="1" applyBorder="1" applyAlignment="1">
      <alignment horizontal="center"/>
    </xf>
    <xf numFmtId="0" fontId="32" fillId="0" borderId="21" xfId="0" applyFont="1" applyBorder="1" applyAlignment="1">
      <alignment horizontal="center"/>
    </xf>
    <xf numFmtId="4" fontId="27" fillId="0" borderId="52" xfId="0" applyNumberFormat="1" applyFont="1" applyBorder="1"/>
    <xf numFmtId="49" fontId="27" fillId="0" borderId="8" xfId="0" applyNumberFormat="1" applyFont="1" applyBorder="1" applyAlignment="1">
      <alignment horizontal="center"/>
    </xf>
    <xf numFmtId="49" fontId="27" fillId="0" borderId="25" xfId="0" applyNumberFormat="1" applyFont="1" applyBorder="1" applyAlignment="1">
      <alignment horizontal="center"/>
    </xf>
    <xf numFmtId="0" fontId="78" fillId="2" borderId="8" xfId="0" applyFont="1" applyFill="1" applyBorder="1" applyAlignment="1">
      <alignment horizontal="left"/>
    </xf>
    <xf numFmtId="0" fontId="80" fillId="0" borderId="23" xfId="0" applyFont="1" applyBorder="1" applyAlignment="1">
      <alignment horizontal="center"/>
    </xf>
    <xf numFmtId="0" fontId="80" fillId="0" borderId="8" xfId="0" applyFont="1" applyBorder="1" applyAlignment="1">
      <alignment horizontal="center"/>
    </xf>
    <xf numFmtId="43" fontId="81" fillId="0" borderId="8" xfId="0" applyNumberFormat="1" applyFont="1" applyBorder="1" applyAlignment="1">
      <alignment horizontal="center"/>
    </xf>
    <xf numFmtId="43" fontId="80" fillId="0" borderId="8" xfId="0" applyNumberFormat="1" applyFont="1" applyBorder="1" applyAlignment="1">
      <alignment horizontal="center"/>
    </xf>
    <xf numFmtId="43" fontId="81" fillId="0" borderId="8" xfId="0" applyNumberFormat="1" applyFont="1" applyBorder="1" applyAlignment="1">
      <alignment horizontal="center" wrapText="1"/>
    </xf>
    <xf numFmtId="0" fontId="37" fillId="0" borderId="8" xfId="0" applyFont="1" applyBorder="1" applyAlignment="1">
      <alignment horizontal="center"/>
    </xf>
    <xf numFmtId="0" fontId="27" fillId="0" borderId="24" xfId="0" applyFont="1" applyBorder="1"/>
    <xf numFmtId="43" fontId="65" fillId="0" borderId="10" xfId="0" quotePrefix="1" applyNumberFormat="1" applyFont="1" applyBorder="1"/>
    <xf numFmtId="0" fontId="37" fillId="0" borderId="10" xfId="0" applyFont="1" applyBorder="1" applyAlignment="1">
      <alignment horizontal="center"/>
    </xf>
    <xf numFmtId="43" fontId="27" fillId="0" borderId="10" xfId="0" applyNumberFormat="1" applyFont="1" applyBorder="1" applyAlignment="1">
      <alignment vertical="center"/>
    </xf>
    <xf numFmtId="49" fontId="27" fillId="0" borderId="10" xfId="0" quotePrefix="1" applyNumberFormat="1" applyFont="1" applyBorder="1" applyAlignment="1">
      <alignment horizontal="right"/>
    </xf>
    <xf numFmtId="0" fontId="27" fillId="0" borderId="10" xfId="0" quotePrefix="1" applyFont="1" applyBorder="1"/>
    <xf numFmtId="43" fontId="82" fillId="0" borderId="14" xfId="0" applyNumberFormat="1" applyFont="1" applyBorder="1"/>
    <xf numFmtId="0" fontId="27" fillId="0" borderId="23" xfId="0" applyFont="1" applyBorder="1"/>
    <xf numFmtId="49" fontId="27" fillId="0" borderId="8" xfId="0" quotePrefix="1" applyNumberFormat="1" applyFont="1" applyBorder="1" applyAlignment="1">
      <alignment horizontal="right"/>
    </xf>
    <xf numFmtId="0" fontId="27" fillId="0" borderId="8" xfId="0" quotePrefix="1" applyFont="1" applyBorder="1"/>
    <xf numFmtId="0" fontId="27" fillId="2" borderId="8" xfId="0" applyFont="1" applyFill="1" applyBorder="1" applyAlignment="1">
      <alignment horizontal="left"/>
    </xf>
    <xf numFmtId="43" fontId="82" fillId="0" borderId="18" xfId="0" applyNumberFormat="1" applyFont="1" applyBorder="1"/>
    <xf numFmtId="43" fontId="43" fillId="0" borderId="17" xfId="0" applyNumberFormat="1" applyFont="1" applyBorder="1"/>
    <xf numFmtId="0" fontId="43" fillId="2" borderId="8" xfId="0" applyFont="1" applyFill="1" applyBorder="1" applyAlignment="1">
      <alignment horizontal="left"/>
    </xf>
    <xf numFmtId="0" fontId="43" fillId="0" borderId="23" xfId="0" applyFont="1" applyBorder="1"/>
    <xf numFmtId="49" fontId="43" fillId="0" borderId="10" xfId="0" quotePrefix="1" applyNumberFormat="1" applyFont="1" applyBorder="1" applyAlignment="1">
      <alignment horizontal="right"/>
    </xf>
    <xf numFmtId="43" fontId="82" fillId="0" borderId="8" xfId="0" quotePrefix="1" applyNumberFormat="1" applyFont="1" applyBorder="1"/>
    <xf numFmtId="43" fontId="43" fillId="0" borderId="14" xfId="0" quotePrefix="1" applyNumberFormat="1" applyFont="1" applyBorder="1"/>
    <xf numFmtId="43" fontId="82" fillId="0" borderId="14" xfId="0" quotePrefix="1" applyNumberFormat="1" applyFont="1" applyBorder="1"/>
    <xf numFmtId="49" fontId="27" fillId="2" borderId="8" xfId="0" applyNumberFormat="1" applyFont="1" applyFill="1" applyBorder="1" applyAlignment="1">
      <alignment horizontal="left"/>
    </xf>
    <xf numFmtId="0" fontId="78" fillId="2" borderId="10" xfId="0" applyFont="1" applyFill="1" applyBorder="1" applyAlignment="1">
      <alignment horizontal="left"/>
    </xf>
    <xf numFmtId="0" fontId="27" fillId="0" borderId="8" xfId="0" applyFont="1" applyBorder="1"/>
    <xf numFmtId="0" fontId="27" fillId="0" borderId="12" xfId="0" applyFont="1" applyBorder="1"/>
    <xf numFmtId="0" fontId="27" fillId="0" borderId="32" xfId="0" applyFont="1" applyBorder="1"/>
    <xf numFmtId="43" fontId="82" fillId="0" borderId="12" xfId="0" applyNumberFormat="1" applyFont="1" applyBorder="1"/>
    <xf numFmtId="49" fontId="27" fillId="0" borderId="23" xfId="0" applyNumberFormat="1" applyFont="1" applyBorder="1" applyAlignment="1">
      <alignment shrinkToFit="1"/>
    </xf>
    <xf numFmtId="0" fontId="27" fillId="0" borderId="32" xfId="0" applyFont="1" applyBorder="1" applyAlignment="1">
      <alignment horizontal="center" vertical="center" wrapText="1"/>
    </xf>
    <xf numFmtId="43" fontId="65" fillId="0" borderId="12" xfId="0" quotePrefix="1" applyNumberFormat="1" applyFont="1" applyBorder="1"/>
    <xf numFmtId="43" fontId="43" fillId="0" borderId="10" xfId="0" applyNumberFormat="1" applyFont="1" applyBorder="1"/>
    <xf numFmtId="43" fontId="82" fillId="0" borderId="10" xfId="0" applyNumberFormat="1" applyFont="1" applyBorder="1"/>
    <xf numFmtId="43" fontId="43" fillId="0" borderId="10" xfId="0" quotePrefix="1" applyNumberFormat="1" applyFont="1" applyBorder="1"/>
    <xf numFmtId="49" fontId="27" fillId="0" borderId="8" xfId="0" applyNumberFormat="1" applyFont="1" applyBorder="1" applyAlignment="1">
      <alignment shrinkToFit="1"/>
    </xf>
    <xf numFmtId="49" fontId="27" fillId="0" borderId="8" xfId="0" applyNumberFormat="1" applyFont="1" applyBorder="1" applyAlignment="1">
      <alignment horizontal="right"/>
    </xf>
    <xf numFmtId="43" fontId="27" fillId="2" borderId="10" xfId="0" applyNumberFormat="1" applyFont="1" applyFill="1" applyBorder="1" applyAlignment="1">
      <alignment horizontal="left"/>
    </xf>
    <xf numFmtId="43" fontId="43" fillId="0" borderId="27" xfId="0" applyNumberFormat="1" applyFont="1" applyBorder="1"/>
    <xf numFmtId="0" fontId="28" fillId="0" borderId="24" xfId="0" applyFont="1" applyBorder="1" applyAlignment="1">
      <alignment horizontal="center" vertical="center" wrapText="1"/>
    </xf>
    <xf numFmtId="0" fontId="78" fillId="2" borderId="10" xfId="0" applyFont="1" applyFill="1" applyBorder="1" applyAlignment="1">
      <alignment horizontal="left" shrinkToFit="1"/>
    </xf>
    <xf numFmtId="37" fontId="28" fillId="0" borderId="25" xfId="0" applyNumberFormat="1" applyFont="1" applyBorder="1" applyAlignment="1">
      <alignment horizontal="center"/>
    </xf>
    <xf numFmtId="43" fontId="32" fillId="0" borderId="28" xfId="0" applyNumberFormat="1" applyFont="1" applyBorder="1"/>
    <xf numFmtId="43" fontId="28" fillId="0" borderId="38" xfId="0" applyNumberFormat="1" applyFont="1" applyBorder="1" applyAlignment="1">
      <alignment horizontal="center"/>
    </xf>
    <xf numFmtId="37" fontId="28" fillId="0" borderId="38" xfId="0" applyNumberFormat="1" applyFont="1" applyBorder="1" applyAlignment="1">
      <alignment horizontal="center"/>
    </xf>
    <xf numFmtId="43" fontId="13" fillId="0" borderId="53" xfId="0" applyNumberFormat="1" applyFont="1" applyBorder="1" applyAlignment="1">
      <alignment horizontal="center"/>
    </xf>
    <xf numFmtId="43" fontId="8" fillId="0" borderId="25" xfId="0" applyNumberFormat="1" applyFont="1" applyBorder="1"/>
    <xf numFmtId="43" fontId="7" fillId="0" borderId="25" xfId="0" applyNumberFormat="1" applyFont="1" applyBorder="1"/>
    <xf numFmtId="43" fontId="36" fillId="0" borderId="26" xfId="0" applyNumberFormat="1" applyFont="1" applyBorder="1" applyAlignment="1">
      <alignment horizontal="center"/>
    </xf>
    <xf numFmtId="0" fontId="28" fillId="0" borderId="32" xfId="0" applyFont="1" applyBorder="1" applyAlignment="1">
      <alignment vertical="center" wrapText="1"/>
    </xf>
    <xf numFmtId="0" fontId="7" fillId="0" borderId="24" xfId="0" applyFont="1" applyBorder="1" applyAlignment="1">
      <alignment vertical="center" wrapText="1"/>
    </xf>
    <xf numFmtId="0" fontId="24" fillId="0" borderId="0" xfId="0" applyFont="1"/>
    <xf numFmtId="43" fontId="27" fillId="0" borderId="19" xfId="0" quotePrefix="1" applyNumberFormat="1" applyFont="1" applyBorder="1"/>
    <xf numFmtId="43" fontId="27" fillId="0" borderId="32" xfId="0" applyNumberFormat="1" applyFont="1" applyBorder="1"/>
    <xf numFmtId="43" fontId="27" fillId="0" borderId="20" xfId="0" applyNumberFormat="1" applyFont="1" applyBorder="1"/>
    <xf numFmtId="43" fontId="27" fillId="0" borderId="52" xfId="0" applyNumberFormat="1" applyFont="1" applyBorder="1"/>
    <xf numFmtId="43" fontId="38" fillId="0" borderId="0" xfId="0" applyNumberFormat="1" applyFont="1" applyAlignment="1">
      <alignment horizontal="center"/>
    </xf>
    <xf numFmtId="0" fontId="84" fillId="0" borderId="8" xfId="0" applyFont="1" applyBorder="1" applyAlignment="1">
      <alignment horizontal="center"/>
    </xf>
    <xf numFmtId="0" fontId="85" fillId="0" borderId="8" xfId="0" applyFont="1" applyBorder="1" applyAlignment="1">
      <alignment horizontal="center"/>
    </xf>
    <xf numFmtId="43" fontId="27" fillId="0" borderId="21" xfId="0" quotePrefix="1" applyNumberFormat="1" applyFont="1" applyBorder="1"/>
    <xf numFmtId="43" fontId="27" fillId="0" borderId="14" xfId="0" applyNumberFormat="1" applyFont="1" applyBorder="1"/>
    <xf numFmtId="0" fontId="84" fillId="0" borderId="33" xfId="0" applyFont="1" applyBorder="1" applyAlignment="1">
      <alignment horizontal="center"/>
    </xf>
    <xf numFmtId="0" fontId="84" fillId="0" borderId="23" xfId="0" applyFont="1" applyBorder="1" applyAlignment="1">
      <alignment horizontal="center"/>
    </xf>
    <xf numFmtId="0" fontId="84" fillId="0" borderId="18" xfId="0" applyFont="1" applyBorder="1" applyAlignment="1">
      <alignment horizontal="center"/>
    </xf>
    <xf numFmtId="0" fontId="84" fillId="0" borderId="8" xfId="0" applyFont="1" applyBorder="1" applyAlignment="1">
      <alignment horizontal="center" wrapText="1"/>
    </xf>
    <xf numFmtId="0" fontId="84" fillId="0" borderId="23" xfId="0" applyFont="1" applyBorder="1" applyAlignment="1">
      <alignment horizontal="center" wrapText="1"/>
    </xf>
    <xf numFmtId="49" fontId="27" fillId="0" borderId="18" xfId="0" applyNumberFormat="1" applyFont="1" applyBorder="1" applyAlignment="1">
      <alignment horizontal="center"/>
    </xf>
    <xf numFmtId="0" fontId="37" fillId="0" borderId="8" xfId="0" applyFont="1" applyBorder="1" applyAlignment="1">
      <alignment horizontal="center" wrapText="1"/>
    </xf>
    <xf numFmtId="43" fontId="27" fillId="0" borderId="52" xfId="0" quotePrefix="1" applyNumberFormat="1" applyFont="1" applyBorder="1"/>
    <xf numFmtId="43" fontId="28" fillId="0" borderId="0" xfId="0" applyNumberFormat="1" applyFont="1"/>
    <xf numFmtId="0" fontId="8" fillId="0" borderId="0" xfId="0" applyFont="1"/>
    <xf numFmtId="0" fontId="25" fillId="0" borderId="0" xfId="0" applyFont="1"/>
    <xf numFmtId="4" fontId="25" fillId="0" borderId="0" xfId="0" applyNumberFormat="1" applyFont="1"/>
    <xf numFmtId="43" fontId="27" fillId="0" borderId="17" xfId="0" applyNumberFormat="1" applyFont="1" applyBorder="1"/>
    <xf numFmtId="0" fontId="43" fillId="0" borderId="8" xfId="0" applyFont="1" applyBorder="1" applyAlignment="1">
      <alignment horizontal="left"/>
    </xf>
    <xf numFmtId="0" fontId="13" fillId="0" borderId="8" xfId="0" applyFont="1" applyBorder="1" applyAlignment="1">
      <alignment horizontal="center" wrapText="1"/>
    </xf>
    <xf numFmtId="0" fontId="6" fillId="0" borderId="16" xfId="0" applyFont="1" applyBorder="1" applyAlignment="1">
      <alignment horizontal="center"/>
    </xf>
    <xf numFmtId="0" fontId="0" fillId="0" borderId="3" xfId="0" applyBorder="1"/>
    <xf numFmtId="0" fontId="13" fillId="0" borderId="58" xfId="0" applyFont="1" applyBorder="1" applyAlignment="1">
      <alignment horizontal="center" wrapText="1"/>
    </xf>
    <xf numFmtId="0" fontId="13" fillId="0" borderId="6" xfId="0" applyFont="1" applyBorder="1" applyAlignment="1">
      <alignment horizontal="center"/>
    </xf>
    <xf numFmtId="49" fontId="32" fillId="0" borderId="17" xfId="0" applyNumberFormat="1" applyFont="1" applyBorder="1" applyAlignment="1">
      <alignment horizontal="left" shrinkToFit="1"/>
    </xf>
    <xf numFmtId="0" fontId="13" fillId="0" borderId="41" xfId="0" applyFont="1" applyBorder="1" applyAlignment="1">
      <alignment horizontal="center"/>
    </xf>
    <xf numFmtId="0" fontId="13" fillId="0" borderId="27" xfId="0" applyFont="1" applyBorder="1" applyAlignment="1">
      <alignment horizontal="center"/>
    </xf>
    <xf numFmtId="49" fontId="28" fillId="0" borderId="8" xfId="0" applyNumberFormat="1" applyFont="1" applyBorder="1" applyAlignment="1">
      <alignment horizontal="left" shrinkToFit="1"/>
    </xf>
    <xf numFmtId="49" fontId="28" fillId="0" borderId="8" xfId="0" applyNumberFormat="1" applyFont="1" applyBorder="1" applyAlignment="1">
      <alignment horizontal="center"/>
    </xf>
    <xf numFmtId="49" fontId="7" fillId="0" borderId="8" xfId="0" applyNumberFormat="1" applyFont="1" applyBorder="1" applyAlignment="1">
      <alignment horizontal="right"/>
    </xf>
    <xf numFmtId="49" fontId="7" fillId="0" borderId="9" xfId="0" applyNumberFormat="1" applyFont="1" applyBorder="1"/>
    <xf numFmtId="0" fontId="7" fillId="0" borderId="11" xfId="0" applyFont="1" applyBorder="1"/>
    <xf numFmtId="4" fontId="8" fillId="0" borderId="8" xfId="0" applyNumberFormat="1" applyFont="1" applyBorder="1"/>
    <xf numFmtId="4" fontId="27" fillId="0" borderId="8" xfId="0" quotePrefix="1" applyNumberFormat="1" applyFont="1" applyBorder="1"/>
    <xf numFmtId="4" fontId="16" fillId="0" borderId="10" xfId="0" applyNumberFormat="1" applyFont="1" applyBorder="1"/>
    <xf numFmtId="0" fontId="33" fillId="0" borderId="0" xfId="0" applyFont="1"/>
    <xf numFmtId="49" fontId="28" fillId="0" borderId="10" xfId="0" applyNumberFormat="1" applyFont="1" applyBorder="1" applyAlignment="1">
      <alignment horizontal="center"/>
    </xf>
    <xf numFmtId="0" fontId="27" fillId="0" borderId="33" xfId="0" applyFont="1" applyBorder="1"/>
    <xf numFmtId="49" fontId="27" fillId="0" borderId="8" xfId="0" applyNumberFormat="1" applyFont="1" applyBorder="1" applyAlignment="1">
      <alignment horizontal="left"/>
    </xf>
    <xf numFmtId="4" fontId="16" fillId="0" borderId="8" xfId="0" applyNumberFormat="1" applyFont="1" applyBorder="1"/>
    <xf numFmtId="49" fontId="28" fillId="0" borderId="14" xfId="0" applyNumberFormat="1" applyFont="1" applyBorder="1" applyAlignment="1">
      <alignment horizontal="center"/>
    </xf>
    <xf numFmtId="4" fontId="15" fillId="0" borderId="14" xfId="0" applyNumberFormat="1" applyFont="1" applyBorder="1"/>
    <xf numFmtId="0" fontId="7" fillId="0" borderId="15" xfId="0" applyFont="1" applyBorder="1"/>
    <xf numFmtId="49" fontId="28" fillId="0" borderId="0" xfId="0" applyNumberFormat="1" applyFont="1" applyAlignment="1">
      <alignment horizontal="center"/>
    </xf>
    <xf numFmtId="0" fontId="27" fillId="0" borderId="0" xfId="0" applyFont="1" applyAlignment="1">
      <alignment horizontal="left"/>
    </xf>
    <xf numFmtId="0" fontId="28" fillId="0" borderId="0" xfId="0" applyFont="1"/>
    <xf numFmtId="4" fontId="15" fillId="0" borderId="0" xfId="0" applyNumberFormat="1" applyFont="1"/>
    <xf numFmtId="0" fontId="66" fillId="0" borderId="0" xfId="0" applyFont="1" applyAlignment="1">
      <alignment horizontal="center"/>
    </xf>
    <xf numFmtId="0" fontId="20" fillId="0" borderId="0" xfId="0" applyFont="1"/>
    <xf numFmtId="0" fontId="4" fillId="0" borderId="41" xfId="0" applyFont="1" applyBorder="1" applyAlignment="1">
      <alignment horizontal="left" vertical="top"/>
    </xf>
    <xf numFmtId="0" fontId="4" fillId="0" borderId="0" xfId="0" applyFont="1" applyAlignment="1">
      <alignment horizontal="left" vertical="top"/>
    </xf>
    <xf numFmtId="0" fontId="4" fillId="0" borderId="41" xfId="0" applyFont="1" applyBorder="1"/>
    <xf numFmtId="0" fontId="29" fillId="0" borderId="10" xfId="0" applyFont="1" applyBorder="1"/>
    <xf numFmtId="49" fontId="28" fillId="0" borderId="53" xfId="0" applyNumberFormat="1" applyFont="1" applyBorder="1" applyAlignment="1">
      <alignment horizontal="center"/>
    </xf>
    <xf numFmtId="0" fontId="28" fillId="0" borderId="12" xfId="0" applyFont="1" applyBorder="1"/>
    <xf numFmtId="4" fontId="8" fillId="0" borderId="0" xfId="0" applyNumberFormat="1" applyFont="1"/>
    <xf numFmtId="0" fontId="28" fillId="0" borderId="12" xfId="0" applyFont="1" applyBorder="1" applyAlignment="1">
      <alignment horizontal="left"/>
    </xf>
    <xf numFmtId="4" fontId="28" fillId="0" borderId="12" xfId="0" applyNumberFormat="1" applyFont="1" applyBorder="1"/>
    <xf numFmtId="49" fontId="4" fillId="0" borderId="11" xfId="0" applyNumberFormat="1" applyFont="1" applyBorder="1"/>
    <xf numFmtId="49" fontId="4" fillId="0" borderId="0" xfId="0" applyNumberFormat="1" applyFont="1"/>
    <xf numFmtId="4" fontId="7" fillId="0" borderId="8" xfId="0" applyNumberFormat="1" applyFont="1" applyBorder="1"/>
    <xf numFmtId="0" fontId="4" fillId="0" borderId="9" xfId="0" applyFont="1" applyBorder="1"/>
    <xf numFmtId="4" fontId="28" fillId="0" borderId="14" xfId="0" applyNumberFormat="1" applyFont="1" applyBorder="1"/>
    <xf numFmtId="4" fontId="4" fillId="0" borderId="41" xfId="0" applyNumberFormat="1" applyFont="1" applyBorder="1"/>
    <xf numFmtId="0" fontId="0" fillId="0" borderId="41" xfId="0" applyBorder="1"/>
    <xf numFmtId="49" fontId="16" fillId="0" borderId="0" xfId="0" applyNumberFormat="1" applyFont="1"/>
    <xf numFmtId="4" fontId="0" fillId="0" borderId="0" xfId="0" applyNumberFormat="1"/>
    <xf numFmtId="0" fontId="7" fillId="0" borderId="0" xfId="0" applyFont="1" applyAlignment="1">
      <alignment horizontal="left"/>
    </xf>
    <xf numFmtId="0" fontId="38" fillId="0" borderId="0" xfId="0" applyFont="1" applyAlignment="1">
      <alignment horizontal="center"/>
    </xf>
    <xf numFmtId="0" fontId="13" fillId="0" borderId="56" xfId="0" applyFont="1" applyBorder="1" applyAlignment="1">
      <alignment horizontal="center"/>
    </xf>
    <xf numFmtId="0" fontId="84" fillId="0" borderId="42" xfId="0" applyFont="1" applyBorder="1" applyAlignment="1">
      <alignment horizontal="center"/>
    </xf>
    <xf numFmtId="49" fontId="28" fillId="0" borderId="56" xfId="0" applyNumberFormat="1" applyFont="1" applyBorder="1" applyAlignment="1">
      <alignment horizontal="center"/>
    </xf>
    <xf numFmtId="0" fontId="20" fillId="0" borderId="11" xfId="0" applyFont="1" applyBorder="1"/>
    <xf numFmtId="0" fontId="13" fillId="0" borderId="33" xfId="0" applyFont="1" applyBorder="1" applyAlignment="1">
      <alignment horizontal="center"/>
    </xf>
    <xf numFmtId="0" fontId="4" fillId="0" borderId="15" xfId="0" applyFont="1" applyBorder="1"/>
    <xf numFmtId="0" fontId="21" fillId="0" borderId="0" xfId="0" applyFont="1"/>
    <xf numFmtId="0" fontId="7" fillId="0" borderId="4" xfId="0" applyFont="1" applyBorder="1" applyAlignment="1">
      <alignment horizontal="center"/>
    </xf>
    <xf numFmtId="43" fontId="28" fillId="0" borderId="17" xfId="0" quotePrefix="1" applyNumberFormat="1" applyFont="1" applyBorder="1"/>
    <xf numFmtId="43" fontId="28" fillId="0" borderId="22" xfId="0" applyNumberFormat="1" applyFont="1" applyBorder="1"/>
    <xf numFmtId="43" fontId="28" fillId="0" borderId="55" xfId="0" applyNumberFormat="1" applyFont="1" applyBorder="1"/>
    <xf numFmtId="49" fontId="4" fillId="0" borderId="9" xfId="0" applyNumberFormat="1" applyFont="1" applyBorder="1"/>
    <xf numFmtId="49" fontId="27" fillId="0" borderId="56" xfId="0" applyNumberFormat="1" applyFont="1" applyBorder="1" applyAlignment="1">
      <alignment horizontal="center"/>
    </xf>
    <xf numFmtId="43" fontId="27" fillId="0" borderId="22" xfId="0" applyNumberFormat="1" applyFont="1" applyBorder="1"/>
    <xf numFmtId="4" fontId="15" fillId="0" borderId="10" xfId="0" applyNumberFormat="1" applyFont="1" applyBorder="1"/>
    <xf numFmtId="4" fontId="15" fillId="0" borderId="11" xfId="0" applyNumberFormat="1" applyFont="1" applyBorder="1"/>
    <xf numFmtId="0" fontId="7" fillId="0" borderId="8" xfId="0" applyFont="1" applyBorder="1" applyAlignment="1">
      <alignment horizontal="center"/>
    </xf>
    <xf numFmtId="4" fontId="7" fillId="0" borderId="0" xfId="0" applyNumberFormat="1" applyFont="1"/>
    <xf numFmtId="4" fontId="21" fillId="0" borderId="11" xfId="0" applyNumberFormat="1" applyFont="1" applyBorder="1"/>
    <xf numFmtId="49" fontId="27" fillId="0" borderId="26" xfId="0" applyNumberFormat="1" applyFont="1" applyBorder="1" applyAlignment="1">
      <alignment horizontal="center"/>
    </xf>
    <xf numFmtId="49" fontId="27" fillId="0" borderId="14" xfId="0" applyNumberFormat="1" applyFont="1" applyBorder="1" applyAlignment="1">
      <alignment horizontal="center"/>
    </xf>
    <xf numFmtId="4" fontId="16" fillId="0" borderId="14" xfId="0" applyNumberFormat="1" applyFont="1" applyBorder="1"/>
    <xf numFmtId="4" fontId="4" fillId="0" borderId="15" xfId="0" applyNumberFormat="1" applyFont="1" applyBorder="1"/>
    <xf numFmtId="43" fontId="0" fillId="0" borderId="0" xfId="0" applyNumberFormat="1"/>
    <xf numFmtId="0" fontId="64" fillId="0" borderId="10" xfId="0" applyFont="1" applyBorder="1" applyAlignment="1">
      <alignment horizontal="left"/>
    </xf>
    <xf numFmtId="0" fontId="29" fillId="0" borderId="10" xfId="0" applyFont="1" applyBorder="1" applyAlignment="1">
      <alignment horizontal="left"/>
    </xf>
    <xf numFmtId="4" fontId="86" fillId="0" borderId="19" xfId="0" applyNumberFormat="1" applyFont="1" applyBorder="1"/>
    <xf numFmtId="43" fontId="28" fillId="0" borderId="10" xfId="0" applyNumberFormat="1" applyFont="1" applyBorder="1" applyAlignment="1">
      <alignment horizontal="center"/>
    </xf>
    <xf numFmtId="43" fontId="27" fillId="0" borderId="8" xfId="2" quotePrefix="1" applyNumberFormat="1" applyFont="1" applyFill="1" applyBorder="1"/>
    <xf numFmtId="0" fontId="0" fillId="0" borderId="32" xfId="0" applyBorder="1"/>
    <xf numFmtId="0" fontId="0" fillId="0" borderId="28" xfId="0" applyBorder="1"/>
    <xf numFmtId="49" fontId="27" fillId="0" borderId="33" xfId="0" applyNumberFormat="1" applyFont="1" applyBorder="1"/>
    <xf numFmtId="49" fontId="28" fillId="0" borderId="33" xfId="0" applyNumberFormat="1" applyFont="1" applyBorder="1"/>
    <xf numFmtId="0" fontId="28" fillId="0" borderId="32" xfId="0" applyFont="1" applyBorder="1"/>
    <xf numFmtId="0" fontId="28" fillId="0" borderId="30" xfId="0" applyFont="1" applyBorder="1"/>
    <xf numFmtId="49" fontId="28" fillId="0" borderId="32" xfId="0" applyNumberFormat="1" applyFont="1" applyBorder="1" applyAlignment="1">
      <alignment horizontal="center"/>
    </xf>
    <xf numFmtId="0" fontId="28" fillId="0" borderId="33" xfId="0" applyFont="1" applyBorder="1"/>
    <xf numFmtId="0" fontId="27" fillId="0" borderId="28" xfId="0" applyFont="1" applyBorder="1"/>
    <xf numFmtId="0" fontId="29" fillId="0" borderId="32" xfId="0" applyFont="1" applyBorder="1"/>
    <xf numFmtId="4" fontId="28" fillId="0" borderId="28" xfId="0" applyNumberFormat="1" applyFont="1" applyBorder="1"/>
    <xf numFmtId="4" fontId="28" fillId="0" borderId="59" xfId="0" applyNumberFormat="1" applyFont="1" applyBorder="1"/>
    <xf numFmtId="0" fontId="28" fillId="0" borderId="28" xfId="0" applyFont="1" applyBorder="1"/>
    <xf numFmtId="0" fontId="7" fillId="0" borderId="12" xfId="0" applyFont="1" applyBorder="1" applyAlignment="1">
      <alignment horizontal="center"/>
    </xf>
    <xf numFmtId="43" fontId="0" fillId="0" borderId="10" xfId="0" applyNumberFormat="1" applyBorder="1"/>
    <xf numFmtId="0" fontId="8" fillId="0" borderId="10" xfId="0" applyFont="1" applyBorder="1" applyAlignment="1">
      <alignment horizontal="center" vertical="center"/>
    </xf>
    <xf numFmtId="17" fontId="7" fillId="0" borderId="10" xfId="0" applyNumberFormat="1" applyFont="1" applyBorder="1" applyAlignment="1">
      <alignment horizontal="center"/>
    </xf>
    <xf numFmtId="43" fontId="7" fillId="0" borderId="10" xfId="0" applyNumberFormat="1" applyFont="1" applyBorder="1" applyAlignment="1">
      <alignment horizontal="center"/>
    </xf>
    <xf numFmtId="0" fontId="43" fillId="0" borderId="18" xfId="0" applyFont="1" applyBorder="1" applyAlignment="1">
      <alignment horizontal="left"/>
    </xf>
    <xf numFmtId="0" fontId="0" fillId="0" borderId="46" xfId="0" applyBorder="1"/>
    <xf numFmtId="0" fontId="27" fillId="0" borderId="59" xfId="0" applyFont="1" applyBorder="1"/>
    <xf numFmtId="0" fontId="32" fillId="0" borderId="14" xfId="0" applyFont="1" applyBorder="1" applyAlignment="1">
      <alignment horizontal="left"/>
    </xf>
    <xf numFmtId="0" fontId="32" fillId="0" borderId="12" xfId="0" applyFont="1" applyBorder="1" applyAlignment="1">
      <alignment horizontal="left"/>
    </xf>
    <xf numFmtId="43" fontId="0" fillId="0" borderId="12" xfId="0" applyNumberFormat="1" applyBorder="1"/>
    <xf numFmtId="43" fontId="0" fillId="0" borderId="8" xfId="0" applyNumberFormat="1" applyBorder="1"/>
    <xf numFmtId="43" fontId="0" fillId="0" borderId="14" xfId="0" applyNumberFormat="1" applyBorder="1"/>
    <xf numFmtId="43" fontId="43" fillId="0" borderId="20" xfId="0" applyNumberFormat="1" applyFont="1" applyBorder="1"/>
    <xf numFmtId="0" fontId="0" fillId="0" borderId="17" xfId="0" applyBorder="1"/>
    <xf numFmtId="43" fontId="27" fillId="0" borderId="18" xfId="2" quotePrefix="1" applyNumberFormat="1" applyFont="1" applyFill="1" applyBorder="1"/>
    <xf numFmtId="43" fontId="8" fillId="0" borderId="10" xfId="0" applyNumberFormat="1" applyFont="1" applyBorder="1"/>
    <xf numFmtId="43" fontId="0" fillId="5" borderId="10" xfId="0" applyNumberFormat="1" applyFill="1" applyBorder="1"/>
    <xf numFmtId="43" fontId="0" fillId="5" borderId="12" xfId="0" applyNumberFormat="1" applyFill="1" applyBorder="1"/>
    <xf numFmtId="43" fontId="8" fillId="0" borderId="0" xfId="0" applyNumberFormat="1" applyFont="1"/>
    <xf numFmtId="43" fontId="27" fillId="0" borderId="0" xfId="0" applyNumberFormat="1" applyFont="1"/>
    <xf numFmtId="49" fontId="32" fillId="0" borderId="8" xfId="0" applyNumberFormat="1" applyFont="1" applyBorder="1"/>
    <xf numFmtId="43" fontId="27" fillId="0" borderId="20" xfId="0" quotePrefix="1" applyNumberFormat="1" applyFont="1" applyBorder="1"/>
    <xf numFmtId="0" fontId="20" fillId="0" borderId="9" xfId="0" applyFont="1" applyBorder="1"/>
    <xf numFmtId="0" fontId="84" fillId="0" borderId="0" xfId="0" applyFont="1" applyAlignment="1">
      <alignment horizontal="center"/>
    </xf>
    <xf numFmtId="49" fontId="22" fillId="0" borderId="0" xfId="0" applyNumberFormat="1" applyFont="1"/>
    <xf numFmtId="43" fontId="36" fillId="0" borderId="0" xfId="1" applyFont="1" applyFill="1" applyAlignment="1">
      <alignment horizontal="center"/>
    </xf>
    <xf numFmtId="0" fontId="4" fillId="0" borderId="8" xfId="0" applyFont="1" applyBorder="1"/>
    <xf numFmtId="43" fontId="27" fillId="0" borderId="10" xfId="1" applyFont="1" applyFill="1" applyBorder="1"/>
    <xf numFmtId="0" fontId="37" fillId="0" borderId="19" xfId="0" applyFont="1" applyBorder="1" applyAlignment="1">
      <alignment horizontal="center"/>
    </xf>
    <xf numFmtId="0" fontId="19" fillId="0" borderId="0" xfId="0" applyFont="1" applyAlignment="1">
      <alignment horizontal="center"/>
    </xf>
    <xf numFmtId="0" fontId="29" fillId="0" borderId="10" xfId="0" applyFont="1" applyBorder="1" applyAlignment="1">
      <alignment horizontal="left" vertical="center" wrapText="1"/>
    </xf>
    <xf numFmtId="0" fontId="4" fillId="0" borderId="10" xfId="0" applyFont="1" applyBorder="1"/>
    <xf numFmtId="4" fontId="27" fillId="0" borderId="10" xfId="0" quotePrefix="1" applyNumberFormat="1" applyFont="1" applyBorder="1"/>
    <xf numFmtId="4" fontId="15" fillId="0" borderId="8" xfId="0" applyNumberFormat="1" applyFont="1" applyBorder="1"/>
    <xf numFmtId="43" fontId="27" fillId="0" borderId="55" xfId="0" applyNumberFormat="1" applyFont="1" applyBorder="1"/>
    <xf numFmtId="0" fontId="29" fillId="0" borderId="10" xfId="0" applyFont="1" applyBorder="1" applyAlignment="1">
      <alignment vertical="center" wrapText="1"/>
    </xf>
    <xf numFmtId="0" fontId="0" fillId="0" borderId="0" xfId="0" applyAlignment="1">
      <alignment horizontal="left" wrapText="1"/>
    </xf>
    <xf numFmtId="43" fontId="2" fillId="0" borderId="0" xfId="0" applyNumberFormat="1" applyFont="1" applyAlignment="1">
      <alignment horizontal="center"/>
    </xf>
    <xf numFmtId="49" fontId="28" fillId="0" borderId="17" xfId="0" applyNumberFormat="1" applyFont="1" applyBorder="1" applyAlignment="1">
      <alignment horizontal="center"/>
    </xf>
    <xf numFmtId="0" fontId="8" fillId="0" borderId="0" xfId="0" applyFont="1" applyAlignment="1">
      <alignment horizontal="center"/>
    </xf>
    <xf numFmtId="0" fontId="0" fillId="0" borderId="0" xfId="0" applyAlignment="1">
      <alignment horizontal="center"/>
    </xf>
    <xf numFmtId="0" fontId="98" fillId="0" borderId="0" xfId="0" applyFont="1"/>
    <xf numFmtId="43" fontId="8" fillId="0" borderId="0" xfId="0" applyNumberFormat="1" applyFont="1" applyAlignment="1">
      <alignment horizontal="center"/>
    </xf>
    <xf numFmtId="43" fontId="0" fillId="0" borderId="0" xfId="0" applyNumberFormat="1" applyAlignment="1">
      <alignment horizontal="center"/>
    </xf>
    <xf numFmtId="0" fontId="2" fillId="0" borderId="0" xfId="0" applyFont="1" applyAlignment="1">
      <alignment horizontal="center"/>
    </xf>
    <xf numFmtId="0" fontId="32" fillId="0" borderId="0" xfId="0" applyFont="1"/>
    <xf numFmtId="49" fontId="7" fillId="0" borderId="11" xfId="0" applyNumberFormat="1" applyFont="1" applyBorder="1"/>
    <xf numFmtId="49" fontId="7" fillId="0" borderId="0" xfId="0" applyNumberFormat="1" applyFont="1"/>
    <xf numFmtId="0" fontId="96" fillId="0" borderId="10" xfId="0" applyFont="1" applyBorder="1" applyAlignment="1">
      <alignment horizontal="center"/>
    </xf>
    <xf numFmtId="4" fontId="9" fillId="0" borderId="10" xfId="0" applyNumberFormat="1" applyFont="1" applyBorder="1"/>
    <xf numFmtId="0" fontId="45" fillId="0" borderId="10" xfId="0" applyFont="1" applyBorder="1" applyAlignment="1">
      <alignment vertical="center" wrapText="1"/>
    </xf>
    <xf numFmtId="4" fontId="9" fillId="0" borderId="8" xfId="0" applyNumberFormat="1" applyFont="1" applyBorder="1"/>
    <xf numFmtId="4" fontId="9" fillId="0" borderId="14" xfId="0" applyNumberFormat="1" applyFont="1" applyBorder="1"/>
    <xf numFmtId="0" fontId="97" fillId="0" borderId="0" xfId="0" applyFont="1"/>
    <xf numFmtId="0" fontId="9" fillId="0" borderId="3"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37" xfId="0" applyFont="1" applyBorder="1" applyAlignment="1">
      <alignment vertical="center" wrapText="1"/>
    </xf>
    <xf numFmtId="0" fontId="10" fillId="0" borderId="49" xfId="0" applyFont="1" applyBorder="1" applyAlignment="1">
      <alignment vertical="center" wrapText="1"/>
    </xf>
    <xf numFmtId="0" fontId="4" fillId="0" borderId="60" xfId="0" applyFont="1" applyBorder="1" applyAlignment="1">
      <alignment horizontal="center" vertical="center"/>
    </xf>
    <xf numFmtId="0" fontId="10" fillId="0" borderId="41" xfId="0" applyFont="1" applyBorder="1" applyAlignment="1">
      <alignment vertical="center" wrapText="1"/>
    </xf>
    <xf numFmtId="0" fontId="10" fillId="0" borderId="23" xfId="0" applyFont="1" applyBorder="1" applyAlignment="1">
      <alignment vertical="center" wrapText="1"/>
    </xf>
    <xf numFmtId="0" fontId="28" fillId="0" borderId="33" xfId="0" applyFont="1" applyBorder="1" applyAlignment="1">
      <alignment horizontal="center" wrapText="1"/>
    </xf>
    <xf numFmtId="0" fontId="27" fillId="0" borderId="23" xfId="0" applyFont="1" applyBorder="1" applyAlignment="1">
      <alignment horizontal="center" wrapText="1"/>
    </xf>
    <xf numFmtId="4" fontId="7" fillId="0" borderId="10" xfId="0" applyNumberFormat="1" applyFont="1" applyBorder="1" applyAlignment="1">
      <alignment horizontal="right"/>
    </xf>
    <xf numFmtId="4" fontId="7" fillId="0" borderId="11" xfId="0" applyNumberFormat="1" applyFont="1" applyBorder="1"/>
    <xf numFmtId="0" fontId="32" fillId="0" borderId="32" xfId="0" applyFont="1" applyBorder="1" applyAlignment="1">
      <alignment horizontal="left"/>
    </xf>
    <xf numFmtId="0" fontId="27" fillId="0" borderId="29" xfId="0" applyFont="1" applyBorder="1"/>
    <xf numFmtId="0" fontId="88" fillId="0" borderId="41" xfId="0" applyFont="1" applyBorder="1"/>
    <xf numFmtId="43" fontId="26" fillId="0" borderId="0" xfId="0" applyNumberFormat="1" applyFont="1" applyAlignment="1">
      <alignment horizontal="center"/>
    </xf>
    <xf numFmtId="0" fontId="92" fillId="0" borderId="0" xfId="0" applyFont="1" applyAlignment="1">
      <alignment horizontal="left" wrapText="1"/>
    </xf>
    <xf numFmtId="0" fontId="4" fillId="0" borderId="16" xfId="0" applyFont="1" applyBorder="1" applyAlignment="1">
      <alignment horizontal="center" vertical="center" wrapText="1"/>
    </xf>
    <xf numFmtId="0" fontId="92" fillId="0" borderId="0" xfId="0" applyFont="1"/>
    <xf numFmtId="0" fontId="4" fillId="0" borderId="6" xfId="0" applyFont="1" applyBorder="1" applyAlignment="1">
      <alignment vertical="center" wrapText="1"/>
    </xf>
    <xf numFmtId="0" fontId="33" fillId="0" borderId="60" xfId="0" applyFont="1" applyBorder="1" applyAlignment="1">
      <alignment horizontal="center" vertical="center"/>
    </xf>
    <xf numFmtId="0" fontId="92" fillId="0" borderId="0" xfId="0" applyFont="1" applyAlignment="1">
      <alignment horizontal="left"/>
    </xf>
    <xf numFmtId="0" fontId="92" fillId="0" borderId="0" xfId="0" applyFont="1" applyAlignment="1">
      <alignment horizontal="center" wrapText="1"/>
    </xf>
    <xf numFmtId="0" fontId="4" fillId="0" borderId="7" xfId="0" applyFont="1" applyBorder="1" applyAlignment="1">
      <alignment vertical="center" wrapText="1"/>
    </xf>
    <xf numFmtId="0" fontId="36" fillId="0" borderId="0" xfId="0" applyFont="1" applyAlignment="1">
      <alignment horizontal="center"/>
    </xf>
    <xf numFmtId="0" fontId="84" fillId="0" borderId="10" xfId="0" applyFont="1" applyBorder="1" applyAlignment="1">
      <alignment horizontal="center"/>
    </xf>
    <xf numFmtId="43" fontId="36" fillId="0" borderId="0" xfId="0" applyNumberFormat="1" applyFont="1" applyAlignment="1">
      <alignment horizontal="center"/>
    </xf>
    <xf numFmtId="43" fontId="84" fillId="0" borderId="10" xfId="0" applyNumberFormat="1" applyFont="1" applyBorder="1" applyAlignment="1">
      <alignment horizontal="center"/>
    </xf>
    <xf numFmtId="0" fontId="37" fillId="0" borderId="33" xfId="0" applyFont="1" applyBorder="1" applyAlignment="1">
      <alignment horizontal="center"/>
    </xf>
    <xf numFmtId="0" fontId="92" fillId="0" borderId="0" xfId="0" applyFont="1" applyAlignment="1">
      <alignment horizontal="center"/>
    </xf>
    <xf numFmtId="4" fontId="16" fillId="0" borderId="12" xfId="0" applyNumberFormat="1" applyFont="1" applyBorder="1"/>
    <xf numFmtId="0" fontId="7" fillId="0" borderId="8" xfId="0" applyFont="1" applyBorder="1"/>
    <xf numFmtId="43" fontId="90" fillId="0" borderId="0" xfId="0" applyNumberFormat="1" applyFont="1" applyAlignment="1">
      <alignment horizontal="center"/>
    </xf>
    <xf numFmtId="43" fontId="91" fillId="0" borderId="0" xfId="0" applyNumberFormat="1" applyFont="1" applyAlignment="1">
      <alignment horizontal="center"/>
    </xf>
    <xf numFmtId="49" fontId="29" fillId="0" borderId="8" xfId="0" applyNumberFormat="1" applyFont="1" applyBorder="1"/>
    <xf numFmtId="43" fontId="37" fillId="0" borderId="10" xfId="0" applyNumberFormat="1" applyFont="1" applyBorder="1" applyAlignment="1">
      <alignment horizontal="center"/>
    </xf>
    <xf numFmtId="0" fontId="4" fillId="0" borderId="37" xfId="0" applyFont="1" applyBorder="1"/>
    <xf numFmtId="0" fontId="95" fillId="0" borderId="0" xfId="0" applyFont="1"/>
    <xf numFmtId="0" fontId="8" fillId="0" borderId="49" xfId="0" applyFont="1" applyBorder="1" applyAlignment="1">
      <alignment vertical="center" wrapText="1"/>
    </xf>
    <xf numFmtId="0" fontId="12" fillId="0" borderId="5" xfId="0" applyFont="1" applyBorder="1" applyAlignment="1">
      <alignment horizontal="center"/>
    </xf>
    <xf numFmtId="0" fontId="8" fillId="0" borderId="23" xfId="0" applyFont="1" applyBorder="1" applyAlignment="1">
      <alignment vertical="center" wrapText="1"/>
    </xf>
    <xf numFmtId="4" fontId="16" fillId="0" borderId="17" xfId="0" applyNumberFormat="1" applyFont="1" applyBorder="1"/>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7" fillId="0" borderId="3" xfId="0" applyFont="1" applyBorder="1" applyAlignment="1">
      <alignment vertical="center"/>
    </xf>
    <xf numFmtId="0" fontId="29" fillId="0" borderId="10" xfId="0" applyFont="1" applyBorder="1" applyAlignment="1">
      <alignment wrapText="1"/>
    </xf>
    <xf numFmtId="43" fontId="9" fillId="0" borderId="0" xfId="0" applyNumberFormat="1" applyFont="1"/>
    <xf numFmtId="0" fontId="94" fillId="0" borderId="0" xfId="0" applyFont="1" applyAlignment="1">
      <alignment horizontal="center"/>
    </xf>
    <xf numFmtId="0" fontId="12" fillId="0" borderId="60" xfId="0" applyFont="1" applyBorder="1" applyAlignment="1">
      <alignment horizontal="center"/>
    </xf>
    <xf numFmtId="0" fontId="9" fillId="0" borderId="6" xfId="0" applyFont="1" applyBorder="1" applyAlignment="1">
      <alignment horizontal="center" vertical="center" wrapText="1"/>
    </xf>
    <xf numFmtId="0" fontId="10" fillId="0" borderId="33" xfId="0" applyFont="1" applyBorder="1" applyAlignment="1">
      <alignment vertical="center" wrapText="1"/>
    </xf>
    <xf numFmtId="0" fontId="6" fillId="0" borderId="6" xfId="0" applyFont="1" applyBorder="1" applyAlignment="1">
      <alignment horizontal="left"/>
    </xf>
    <xf numFmtId="0" fontId="13" fillId="0" borderId="61" xfId="0" applyFont="1" applyBorder="1" applyAlignment="1">
      <alignment horizontal="center"/>
    </xf>
    <xf numFmtId="0" fontId="4" fillId="0" borderId="8" xfId="0" applyFont="1" applyBorder="1" applyAlignment="1">
      <alignment horizontal="center"/>
    </xf>
    <xf numFmtId="0" fontId="4" fillId="0" borderId="12" xfId="0" applyFont="1" applyBorder="1"/>
    <xf numFmtId="0" fontId="4" fillId="0" borderId="19" xfId="0" applyFont="1" applyBorder="1"/>
    <xf numFmtId="0" fontId="14" fillId="0" borderId="10" xfId="0" applyFont="1" applyBorder="1" applyAlignment="1">
      <alignment horizontal="center"/>
    </xf>
    <xf numFmtId="0" fontId="4" fillId="0" borderId="41" xfId="0" applyFont="1" applyBorder="1" applyAlignment="1">
      <alignment vertical="center" wrapText="1"/>
    </xf>
    <xf numFmtId="0" fontId="4" fillId="0" borderId="39" xfId="0" applyFont="1" applyBorder="1" applyAlignment="1">
      <alignment vertical="center" wrapText="1"/>
    </xf>
    <xf numFmtId="0" fontId="4" fillId="0" borderId="34" xfId="0" applyFont="1" applyBorder="1" applyAlignment="1">
      <alignment vertical="center" wrapText="1"/>
    </xf>
    <xf numFmtId="0" fontId="4" fillId="0" borderId="0" xfId="0" applyFont="1" applyAlignment="1">
      <alignment vertical="center" wrapText="1"/>
    </xf>
    <xf numFmtId="43" fontId="28" fillId="0" borderId="10" xfId="1" applyFont="1" applyBorder="1" applyAlignment="1">
      <alignment horizontal="center"/>
    </xf>
    <xf numFmtId="43" fontId="4" fillId="0" borderId="0" xfId="0" applyNumberFormat="1" applyFont="1" applyAlignment="1">
      <alignment horizontal="left"/>
    </xf>
    <xf numFmtId="0" fontId="28" fillId="0" borderId="10" xfId="0" applyFont="1" applyBorder="1" applyAlignment="1">
      <alignment wrapText="1"/>
    </xf>
    <xf numFmtId="0" fontId="12" fillId="0" borderId="54" xfId="0" applyFont="1" applyBorder="1" applyAlignment="1">
      <alignment vertical="center" wrapText="1"/>
    </xf>
    <xf numFmtId="0" fontId="2" fillId="0" borderId="43" xfId="0" applyFont="1" applyBorder="1" applyAlignment="1">
      <alignment vertical="center" wrapText="1"/>
    </xf>
    <xf numFmtId="0" fontId="2" fillId="0" borderId="44" xfId="0" applyFont="1" applyBorder="1" applyAlignment="1">
      <alignment vertical="center" wrapText="1"/>
    </xf>
    <xf numFmtId="0" fontId="2" fillId="0" borderId="1" xfId="0" applyFont="1" applyBorder="1" applyAlignment="1">
      <alignment vertical="center" wrapText="1"/>
    </xf>
    <xf numFmtId="0" fontId="0" fillId="0" borderId="44" xfId="0" applyBorder="1" applyAlignment="1">
      <alignment vertical="center" wrapText="1"/>
    </xf>
    <xf numFmtId="0" fontId="0" fillId="0" borderId="45" xfId="0" applyBorder="1" applyAlignment="1">
      <alignment vertical="center" wrapText="1"/>
    </xf>
    <xf numFmtId="0" fontId="45" fillId="0" borderId="10" xfId="0" applyFont="1" applyBorder="1" applyAlignment="1">
      <alignment wrapText="1"/>
    </xf>
    <xf numFmtId="0" fontId="7" fillId="0" borderId="19" xfId="0" applyFont="1" applyBorder="1"/>
    <xf numFmtId="4" fontId="7" fillId="0" borderId="8" xfId="0" applyNumberFormat="1" applyFont="1" applyBorder="1" applyAlignment="1">
      <alignment horizontal="right"/>
    </xf>
    <xf numFmtId="0" fontId="28" fillId="0" borderId="32" xfId="0" applyFont="1" applyBorder="1" applyAlignment="1">
      <alignment horizontal="left"/>
    </xf>
    <xf numFmtId="4" fontId="27" fillId="0" borderId="19" xfId="0" quotePrefix="1" applyNumberFormat="1" applyFont="1" applyBorder="1"/>
    <xf numFmtId="0" fontId="27" fillId="0" borderId="18" xfId="0" applyFont="1" applyBorder="1"/>
    <xf numFmtId="43" fontId="28" fillId="0" borderId="52" xfId="0" applyNumberFormat="1" applyFont="1" applyBorder="1"/>
    <xf numFmtId="43" fontId="28" fillId="0" borderId="21" xfId="0" applyNumberFormat="1" applyFont="1" applyBorder="1"/>
    <xf numFmtId="0" fontId="28" fillId="0" borderId="18" xfId="0" applyFont="1" applyBorder="1"/>
    <xf numFmtId="43" fontId="7" fillId="0" borderId="19" xfId="1" applyFont="1" applyBorder="1"/>
    <xf numFmtId="43" fontId="0" fillId="0" borderId="0" xfId="1" applyFont="1"/>
    <xf numFmtId="43" fontId="13" fillId="0" borderId="0" xfId="0" applyNumberFormat="1" applyFont="1" applyAlignment="1">
      <alignment horizontal="center"/>
    </xf>
    <xf numFmtId="0" fontId="19" fillId="0" borderId="0" xfId="0" applyFont="1"/>
    <xf numFmtId="0" fontId="6" fillId="0" borderId="2"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51" xfId="0" applyFont="1" applyBorder="1" applyAlignment="1">
      <alignment horizontal="center" vertical="center" wrapText="1"/>
    </xf>
    <xf numFmtId="4" fontId="27" fillId="0" borderId="12" xfId="0" quotePrefix="1" applyNumberFormat="1" applyFont="1" applyBorder="1"/>
    <xf numFmtId="4" fontId="27" fillId="0" borderId="52" xfId="0" quotePrefix="1" applyNumberFormat="1" applyFont="1" applyBorder="1"/>
    <xf numFmtId="4" fontId="27" fillId="0" borderId="18" xfId="0" quotePrefix="1" applyNumberFormat="1" applyFont="1" applyBorder="1"/>
    <xf numFmtId="0" fontId="12" fillId="0" borderId="38" xfId="0" applyFont="1" applyBorder="1" applyAlignment="1">
      <alignment vertical="center" wrapText="1"/>
    </xf>
    <xf numFmtId="0" fontId="12" fillId="0" borderId="30" xfId="0" applyFont="1" applyBorder="1" applyAlignment="1">
      <alignment vertical="center" wrapText="1"/>
    </xf>
    <xf numFmtId="4" fontId="15" fillId="0" borderId="9" xfId="0" applyNumberFormat="1" applyFont="1" applyBorder="1"/>
    <xf numFmtId="0" fontId="28" fillId="0" borderId="49" xfId="0" applyFont="1" applyBorder="1"/>
    <xf numFmtId="0" fontId="4" fillId="0" borderId="3" xfId="0" applyFont="1" applyBorder="1" applyAlignment="1">
      <alignment vertical="center" wrapText="1"/>
    </xf>
    <xf numFmtId="43" fontId="28" fillId="0" borderId="10" xfId="1" applyFont="1" applyBorder="1"/>
    <xf numFmtId="0" fontId="13" fillId="0" borderId="10" xfId="0" applyFont="1" applyBorder="1" applyAlignment="1">
      <alignment horizontal="center" wrapText="1"/>
    </xf>
    <xf numFmtId="43" fontId="4" fillId="0" borderId="0" xfId="1" applyFont="1"/>
    <xf numFmtId="43" fontId="6" fillId="0" borderId="0" xfId="1" applyFont="1"/>
    <xf numFmtId="43" fontId="6" fillId="0" borderId="0" xfId="1" applyFont="1" applyAlignment="1">
      <alignment horizontal="left"/>
    </xf>
    <xf numFmtId="43" fontId="14" fillId="0" borderId="0" xfId="1" applyFont="1" applyAlignment="1">
      <alignment horizontal="center"/>
    </xf>
    <xf numFmtId="43" fontId="7" fillId="0" borderId="0" xfId="1" applyFont="1"/>
    <xf numFmtId="0" fontId="33" fillId="0" borderId="24" xfId="0" applyFont="1" applyBorder="1" applyAlignment="1">
      <alignment vertical="center" wrapText="1" shrinkToFit="1"/>
    </xf>
    <xf numFmtId="0" fontId="33" fillId="0" borderId="10" xfId="0" applyFont="1" applyBorder="1" applyAlignment="1">
      <alignment vertical="center" wrapText="1" shrinkToFit="1"/>
    </xf>
    <xf numFmtId="0" fontId="8" fillId="0" borderId="37" xfId="0" applyFont="1" applyBorder="1" applyAlignment="1">
      <alignment vertical="center" wrapText="1"/>
    </xf>
    <xf numFmtId="0" fontId="8" fillId="0" borderId="39" xfId="0" applyFont="1" applyBorder="1" applyAlignment="1">
      <alignment vertical="center" wrapText="1"/>
    </xf>
    <xf numFmtId="0" fontId="8" fillId="0" borderId="41" xfId="0" applyFont="1" applyBorder="1" applyAlignment="1">
      <alignment vertical="center" wrapText="1"/>
    </xf>
    <xf numFmtId="0" fontId="8" fillId="0" borderId="42" xfId="0" applyFont="1" applyBorder="1" applyAlignment="1">
      <alignment vertical="center" wrapText="1"/>
    </xf>
    <xf numFmtId="0" fontId="13" fillId="0" borderId="19" xfId="0" applyFont="1" applyBorder="1" applyAlignment="1">
      <alignment horizontal="center"/>
    </xf>
    <xf numFmtId="0" fontId="13" fillId="0" borderId="19" xfId="0" applyFont="1" applyBorder="1" applyAlignment="1">
      <alignment horizontal="center" wrapText="1"/>
    </xf>
    <xf numFmtId="43" fontId="7" fillId="0" borderId="8" xfId="1" applyFont="1" applyBorder="1"/>
    <xf numFmtId="43" fontId="27" fillId="0" borderId="19" xfId="1" applyFont="1" applyFill="1" applyBorder="1"/>
    <xf numFmtId="49" fontId="28" fillId="0" borderId="10" xfId="0" applyNumberFormat="1" applyFont="1" applyBorder="1"/>
    <xf numFmtId="43" fontId="14" fillId="0" borderId="0" xfId="1" applyFont="1" applyFill="1" applyAlignment="1">
      <alignment horizontal="center"/>
    </xf>
    <xf numFmtId="4" fontId="27" fillId="0" borderId="32" xfId="0" quotePrefix="1" applyNumberFormat="1" applyFont="1" applyBorder="1"/>
    <xf numFmtId="43" fontId="27" fillId="0" borderId="24" xfId="0" applyNumberFormat="1" applyFont="1" applyBorder="1"/>
    <xf numFmtId="0" fontId="7" fillId="0" borderId="10" xfId="0" applyFont="1" applyBorder="1"/>
    <xf numFmtId="0" fontId="13" fillId="0" borderId="35" xfId="0" applyFont="1" applyBorder="1" applyAlignment="1">
      <alignment horizontal="center"/>
    </xf>
    <xf numFmtId="0" fontId="13" fillId="0" borderId="63" xfId="0" applyFont="1" applyBorder="1" applyAlignment="1">
      <alignment horizontal="center"/>
    </xf>
    <xf numFmtId="0" fontId="40" fillId="0" borderId="0" xfId="0" applyFont="1" applyAlignment="1">
      <alignment horizontal="center"/>
    </xf>
    <xf numFmtId="0" fontId="41" fillId="0" borderId="0" xfId="0" applyFont="1" applyAlignment="1">
      <alignment horizontal="center"/>
    </xf>
    <xf numFmtId="0" fontId="27" fillId="0" borderId="0" xfId="0" applyFont="1" applyAlignment="1">
      <alignment horizontal="left" wrapText="1"/>
    </xf>
    <xf numFmtId="0" fontId="27" fillId="0" borderId="36" xfId="0" applyFont="1" applyBorder="1" applyAlignment="1">
      <alignment horizontal="left" wrapText="1"/>
    </xf>
    <xf numFmtId="0" fontId="45" fillId="0" borderId="2" xfId="0" applyFont="1" applyBorder="1" applyAlignment="1">
      <alignment horizontal="center" wrapText="1"/>
    </xf>
    <xf numFmtId="0" fontId="27" fillId="0" borderId="3" xfId="0" applyFont="1" applyBorder="1" applyAlignment="1">
      <alignment horizontal="center" wrapText="1"/>
    </xf>
    <xf numFmtId="0" fontId="45" fillId="0" borderId="2" xfId="0" applyFont="1" applyBorder="1" applyAlignment="1">
      <alignment horizontal="center" vertical="center"/>
    </xf>
    <xf numFmtId="0" fontId="27" fillId="0" borderId="3" xfId="0" applyFont="1" applyBorder="1" applyAlignment="1">
      <alignment horizontal="center" vertical="center"/>
    </xf>
    <xf numFmtId="0" fontId="45"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3" xfId="0" applyFont="1" applyBorder="1" applyAlignment="1">
      <alignment vertical="center" wrapText="1"/>
    </xf>
    <xf numFmtId="0" fontId="46" fillId="0" borderId="1" xfId="0" applyFont="1" applyBorder="1" applyAlignment="1">
      <alignment horizontal="center" wrapText="1"/>
    </xf>
    <xf numFmtId="0" fontId="45" fillId="0" borderId="16" xfId="0" applyFont="1" applyBorder="1" applyAlignment="1">
      <alignment vertical="top" wrapText="1"/>
    </xf>
    <xf numFmtId="0" fontId="27" fillId="0" borderId="6" xfId="0" applyFont="1" applyBorder="1"/>
    <xf numFmtId="0" fontId="45" fillId="0" borderId="3" xfId="0" applyFont="1" applyBorder="1" applyAlignment="1">
      <alignment horizontal="center"/>
    </xf>
    <xf numFmtId="0" fontId="27" fillId="0" borderId="3" xfId="0" applyFont="1" applyBorder="1" applyAlignment="1">
      <alignment horizontal="center"/>
    </xf>
    <xf numFmtId="0" fontId="41" fillId="0" borderId="1" xfId="0" applyFont="1" applyBorder="1" applyAlignment="1">
      <alignment horizontal="center"/>
    </xf>
    <xf numFmtId="0" fontId="45" fillId="0" borderId="5" xfId="0" applyFont="1" applyBorder="1" applyAlignment="1">
      <alignment horizontal="center" wrapText="1"/>
    </xf>
    <xf numFmtId="0" fontId="45" fillId="0" borderId="4" xfId="0" applyFont="1" applyBorder="1" applyAlignment="1">
      <alignment horizontal="center" wrapText="1"/>
    </xf>
    <xf numFmtId="0" fontId="47" fillId="0" borderId="5" xfId="0" applyFont="1" applyBorder="1" applyAlignment="1">
      <alignment horizontal="center" wrapText="1"/>
    </xf>
    <xf numFmtId="0" fontId="43" fillId="0" borderId="3" xfId="0" applyFont="1" applyBorder="1" applyAlignment="1">
      <alignment horizontal="center" wrapText="1"/>
    </xf>
    <xf numFmtId="0" fontId="43" fillId="0" borderId="3" xfId="0" applyFont="1" applyBorder="1" applyAlignment="1">
      <alignment wrapText="1"/>
    </xf>
    <xf numFmtId="0" fontId="27" fillId="0" borderId="6" xfId="0" applyFont="1" applyBorder="1" applyAlignment="1">
      <alignment horizontal="center" vertical="top" wrapText="1"/>
    </xf>
    <xf numFmtId="0" fontId="27" fillId="0" borderId="6" xfId="0" applyFont="1" applyBorder="1" applyAlignment="1">
      <alignment horizontal="center" wrapText="1"/>
    </xf>
    <xf numFmtId="0" fontId="28" fillId="0" borderId="3" xfId="0" applyFont="1" applyBorder="1" applyAlignment="1">
      <alignment horizontal="center" vertical="center" wrapText="1"/>
    </xf>
    <xf numFmtId="0" fontId="28" fillId="0" borderId="3" xfId="0" applyFont="1" applyBorder="1" applyAlignment="1">
      <alignment vertical="center" wrapText="1"/>
    </xf>
    <xf numFmtId="0" fontId="45" fillId="0" borderId="3" xfId="0" applyFont="1" applyBorder="1" applyAlignment="1">
      <alignment horizontal="center" wrapText="1"/>
    </xf>
    <xf numFmtId="0" fontId="45" fillId="0" borderId="5" xfId="0" applyFont="1" applyBorder="1" applyAlignment="1">
      <alignment horizontal="center" vertical="center" wrapText="1"/>
    </xf>
    <xf numFmtId="0" fontId="45" fillId="0" borderId="3" xfId="0" applyFont="1" applyBorder="1" applyAlignment="1">
      <alignment horizontal="center" vertical="center" wrapText="1"/>
    </xf>
    <xf numFmtId="0" fontId="32" fillId="0" borderId="38" xfId="0" applyFont="1" applyBorder="1" applyAlignment="1">
      <alignment horizontal="left"/>
    </xf>
    <xf numFmtId="0" fontId="32" fillId="0" borderId="30" xfId="0" applyFont="1" applyBorder="1" applyAlignment="1">
      <alignment horizontal="left"/>
    </xf>
    <xf numFmtId="0" fontId="45" fillId="0" borderId="6" xfId="0" applyFont="1" applyBorder="1" applyAlignment="1">
      <alignment horizontal="center" wrapText="1"/>
    </xf>
    <xf numFmtId="0" fontId="46" fillId="0" borderId="5" xfId="0" applyFont="1" applyBorder="1" applyAlignment="1">
      <alignment horizontal="center" wrapText="1"/>
    </xf>
    <xf numFmtId="0" fontId="46" fillId="0" borderId="3" xfId="0" applyFont="1" applyBorder="1" applyAlignment="1">
      <alignment horizontal="center" wrapText="1"/>
    </xf>
    <xf numFmtId="0" fontId="45" fillId="0" borderId="0" xfId="0" applyFont="1" applyAlignment="1">
      <alignment horizontal="center"/>
    </xf>
    <xf numFmtId="0" fontId="45" fillId="0" borderId="0" xfId="0" applyFont="1" applyAlignment="1">
      <alignment horizontal="center" wrapText="1"/>
    </xf>
    <xf numFmtId="0" fontId="48" fillId="0" borderId="6" xfId="0" applyFont="1" applyBorder="1" applyAlignment="1">
      <alignment horizontal="center" wrapText="1"/>
    </xf>
    <xf numFmtId="0" fontId="45" fillId="0" borderId="3" xfId="0" applyFont="1" applyBorder="1" applyAlignment="1">
      <alignment horizontal="left" wrapText="1"/>
    </xf>
    <xf numFmtId="0" fontId="27" fillId="0" borderId="3" xfId="0" applyFont="1" applyBorder="1" applyAlignment="1">
      <alignment horizontal="left"/>
    </xf>
    <xf numFmtId="0" fontId="45" fillId="0" borderId="30" xfId="0" applyFont="1" applyBorder="1" applyAlignment="1">
      <alignment horizontal="center"/>
    </xf>
    <xf numFmtId="0" fontId="45" fillId="0" borderId="31" xfId="0" applyFont="1" applyBorder="1" applyAlignment="1">
      <alignment horizontal="center"/>
    </xf>
    <xf numFmtId="0" fontId="43" fillId="0" borderId="38" xfId="0" applyFont="1" applyBorder="1" applyAlignment="1">
      <alignment horizontal="center"/>
    </xf>
    <xf numFmtId="0" fontId="43" fillId="0" borderId="30" xfId="0" applyFont="1" applyBorder="1" applyAlignment="1">
      <alignment horizontal="center"/>
    </xf>
    <xf numFmtId="0" fontId="43" fillId="0" borderId="31" xfId="0" applyFont="1" applyBorder="1" applyAlignment="1">
      <alignment horizontal="center"/>
    </xf>
    <xf numFmtId="0" fontId="29" fillId="0" borderId="0" xfId="0" applyFont="1" applyAlignment="1">
      <alignment horizontal="left" vertical="top" wrapText="1"/>
    </xf>
    <xf numFmtId="0" fontId="27" fillId="0" borderId="0" xfId="0" applyFont="1" applyAlignment="1">
      <alignment horizontal="left" vertical="top"/>
    </xf>
    <xf numFmtId="0" fontId="29" fillId="0" borderId="0" xfId="0" applyFont="1" applyAlignment="1">
      <alignment horizontal="center"/>
    </xf>
    <xf numFmtId="0" fontId="32" fillId="0" borderId="32" xfId="0" applyFont="1" applyBorder="1" applyAlignment="1">
      <alignment horizontal="center" wrapText="1"/>
    </xf>
    <xf numFmtId="0" fontId="43" fillId="0" borderId="24" xfId="0" applyFont="1" applyBorder="1" applyAlignment="1">
      <alignment horizontal="center" wrapText="1"/>
    </xf>
    <xf numFmtId="0" fontId="29" fillId="0" borderId="1" xfId="0" applyFont="1" applyBorder="1" applyAlignment="1">
      <alignment horizontal="justify" wrapText="1"/>
    </xf>
    <xf numFmtId="0" fontId="29" fillId="0" borderId="0" xfId="0" applyFont="1" applyAlignment="1">
      <alignment horizontal="justify" wrapText="1"/>
    </xf>
    <xf numFmtId="0" fontId="27" fillId="0" borderId="0" xfId="0" applyFont="1" applyAlignment="1">
      <alignment wrapText="1"/>
    </xf>
    <xf numFmtId="0" fontId="43" fillId="0" borderId="0" xfId="0" applyFont="1" applyAlignment="1">
      <alignment horizontal="center" wrapText="1"/>
    </xf>
    <xf numFmtId="0" fontId="27" fillId="0" borderId="0" xfId="0" applyFont="1" applyAlignment="1">
      <alignment horizontal="center"/>
    </xf>
    <xf numFmtId="0" fontId="27" fillId="0" borderId="0" xfId="0" applyFont="1"/>
    <xf numFmtId="0" fontId="43" fillId="0" borderId="0" xfId="0" applyFont="1" applyAlignment="1">
      <alignment horizontal="center" vertical="center" wrapText="1"/>
    </xf>
    <xf numFmtId="0" fontId="27" fillId="0" borderId="0" xfId="0" applyFont="1" applyAlignment="1">
      <alignment horizontal="center" vertical="center" wrapText="1"/>
    </xf>
    <xf numFmtId="0" fontId="64" fillId="0" borderId="32" xfId="0" applyFont="1" applyBorder="1" applyAlignment="1">
      <alignment horizontal="center" wrapText="1"/>
    </xf>
    <xf numFmtId="0" fontId="64" fillId="0" borderId="24" xfId="0" applyFont="1" applyBorder="1" applyAlignment="1">
      <alignment horizontal="center" wrapText="1"/>
    </xf>
    <xf numFmtId="0" fontId="45" fillId="0" borderId="16" xfId="0" applyFont="1" applyBorder="1" applyAlignment="1">
      <alignment horizontal="center" vertical="top" wrapText="1"/>
    </xf>
    <xf numFmtId="0" fontId="27" fillId="0" borderId="6" xfId="0" applyFont="1" applyBorder="1" applyAlignment="1">
      <alignment horizontal="center"/>
    </xf>
    <xf numFmtId="0" fontId="27" fillId="0" borderId="0" xfId="0" applyFont="1" applyAlignment="1">
      <alignment horizontal="center" wrapText="1"/>
    </xf>
    <xf numFmtId="0" fontId="29" fillId="0" borderId="0" xfId="0" applyFont="1" applyAlignment="1">
      <alignment horizontal="center" wrapText="1"/>
    </xf>
    <xf numFmtId="0" fontId="45" fillId="0" borderId="1" xfId="0" applyFont="1" applyBorder="1" applyAlignment="1">
      <alignment horizontal="center" wrapText="1"/>
    </xf>
    <xf numFmtId="0" fontId="32" fillId="0" borderId="4" xfId="0" applyFont="1" applyBorder="1" applyAlignment="1">
      <alignment horizontal="center"/>
    </xf>
    <xf numFmtId="0" fontId="32" fillId="0" borderId="37" xfId="0" applyFont="1" applyBorder="1" applyAlignment="1">
      <alignment horizontal="center"/>
    </xf>
    <xf numFmtId="0" fontId="43" fillId="0" borderId="0" xfId="0" applyFont="1" applyAlignment="1">
      <alignment horizontal="center"/>
    </xf>
    <xf numFmtId="0" fontId="7" fillId="0" borderId="0" xfId="0" applyFont="1" applyAlignment="1">
      <alignment horizontal="center"/>
    </xf>
    <xf numFmtId="0" fontId="4" fillId="0" borderId="0" xfId="0" applyFont="1" applyAlignment="1">
      <alignment horizontal="center" vertical="top" wrapText="1"/>
    </xf>
    <xf numFmtId="0" fontId="4" fillId="0" borderId="0" xfId="0" applyFont="1" applyAlignment="1">
      <alignment horizontal="center" wrapText="1"/>
    </xf>
    <xf numFmtId="0" fontId="6" fillId="0" borderId="0" xfId="0" applyFont="1" applyAlignment="1">
      <alignment horizontal="center" wrapText="1"/>
    </xf>
    <xf numFmtId="0" fontId="19" fillId="0" borderId="0" xfId="0" applyFont="1" applyAlignment="1">
      <alignment horizontal="center" wrapText="1" shrinkToFit="1"/>
    </xf>
    <xf numFmtId="0" fontId="7" fillId="0" borderId="0" xfId="0" applyFont="1" applyAlignment="1">
      <alignment horizontal="center" wrapText="1"/>
    </xf>
    <xf numFmtId="0" fontId="7" fillId="0" borderId="0" xfId="0" applyFont="1" applyAlignment="1">
      <alignment wrapText="1"/>
    </xf>
    <xf numFmtId="0" fontId="72" fillId="0" borderId="32" xfId="0" applyFont="1" applyBorder="1" applyAlignment="1">
      <alignment horizontal="center" vertical="center" wrapText="1"/>
    </xf>
    <xf numFmtId="0" fontId="74" fillId="0" borderId="24" xfId="0" applyFont="1" applyBorder="1" applyAlignment="1">
      <alignment horizontal="center" vertical="center" wrapText="1"/>
    </xf>
    <xf numFmtId="49" fontId="72" fillId="0" borderId="32" xfId="0" applyNumberFormat="1" applyFont="1" applyBorder="1" applyAlignment="1">
      <alignment horizontal="center" vertical="center" wrapText="1"/>
    </xf>
    <xf numFmtId="49" fontId="74" fillId="0" borderId="24" xfId="0" applyNumberFormat="1" applyFont="1" applyBorder="1" applyAlignment="1">
      <alignment horizontal="center" vertical="center" wrapText="1"/>
    </xf>
    <xf numFmtId="0" fontId="26" fillId="0" borderId="0" xfId="0" applyFont="1" applyAlignment="1">
      <alignment horizontal="center"/>
    </xf>
    <xf numFmtId="0" fontId="52" fillId="0" borderId="5" xfId="0" applyFont="1" applyBorder="1" applyAlignment="1">
      <alignment horizontal="center" wrapText="1"/>
    </xf>
    <xf numFmtId="0" fontId="52" fillId="0" borderId="3" xfId="0" applyFont="1" applyBorder="1" applyAlignment="1">
      <alignment horizontal="center" wrapText="1"/>
    </xf>
    <xf numFmtId="0" fontId="6" fillId="0" borderId="3" xfId="0" applyFont="1" applyBorder="1" applyAlignment="1">
      <alignment horizontal="center" wrapText="1"/>
    </xf>
    <xf numFmtId="0" fontId="7" fillId="0" borderId="3" xfId="0" applyFont="1" applyBorder="1" applyAlignment="1">
      <alignment horizontal="center"/>
    </xf>
    <xf numFmtId="0" fontId="52" fillId="0" borderId="6" xfId="0" applyFont="1" applyBorder="1" applyAlignment="1">
      <alignment horizontal="center" vertical="top" wrapText="1"/>
    </xf>
    <xf numFmtId="0" fontId="58" fillId="0" borderId="6" xfId="0" applyFont="1" applyBorder="1" applyAlignment="1">
      <alignment horizontal="center" wrapText="1"/>
    </xf>
    <xf numFmtId="0" fontId="6" fillId="0" borderId="3" xfId="0" applyFont="1" applyBorder="1" applyAlignment="1">
      <alignment horizontal="left" wrapText="1"/>
    </xf>
    <xf numFmtId="0" fontId="7" fillId="0" borderId="3" xfId="0" applyFont="1" applyBorder="1" applyAlignment="1">
      <alignment horizontal="left"/>
    </xf>
    <xf numFmtId="0" fontId="11" fillId="0" borderId="6" xfId="0" applyFont="1" applyBorder="1" applyAlignment="1">
      <alignment horizontal="center" wrapText="1"/>
    </xf>
    <xf numFmtId="164" fontId="9" fillId="0" borderId="4" xfId="0" applyNumberFormat="1" applyFont="1" applyBorder="1" applyAlignment="1">
      <alignment horizontal="center" vertical="center" wrapText="1"/>
    </xf>
    <xf numFmtId="0" fontId="9" fillId="0" borderId="39" xfId="0" applyFont="1" applyBorder="1" applyAlignment="1">
      <alignment horizontal="center" wrapText="1"/>
    </xf>
    <xf numFmtId="0" fontId="9" fillId="0" borderId="6" xfId="0" applyFont="1" applyBorder="1" applyAlignment="1">
      <alignment horizontal="center" wrapText="1"/>
    </xf>
    <xf numFmtId="0" fontId="9" fillId="0" borderId="34" xfId="0" applyFont="1" applyBorder="1" applyAlignment="1">
      <alignment horizontal="center" wrapText="1"/>
    </xf>
    <xf numFmtId="0" fontId="9" fillId="0" borderId="40" xfId="0" applyFont="1" applyBorder="1" applyAlignment="1">
      <alignment horizontal="center" wrapText="1"/>
    </xf>
    <xf numFmtId="0" fontId="9" fillId="0" borderId="42" xfId="0" applyFont="1" applyBorder="1" applyAlignment="1">
      <alignment horizontal="center" wrapText="1"/>
    </xf>
    <xf numFmtId="0" fontId="6" fillId="0" borderId="5" xfId="0" applyFont="1" applyBorder="1" applyAlignment="1">
      <alignment horizontal="center" wrapText="1"/>
    </xf>
    <xf numFmtId="0" fontId="6" fillId="0" borderId="4" xfId="0" applyFont="1" applyBorder="1" applyAlignment="1">
      <alignment horizontal="center" wrapText="1"/>
    </xf>
    <xf numFmtId="0" fontId="6" fillId="0" borderId="6" xfId="0" applyFont="1" applyBorder="1" applyAlignment="1">
      <alignment horizontal="center" wrapText="1"/>
    </xf>
    <xf numFmtId="0" fontId="6" fillId="0" borderId="30" xfId="0" applyFont="1" applyBorder="1" applyAlignment="1">
      <alignment horizontal="center"/>
    </xf>
    <xf numFmtId="0" fontId="6" fillId="0" borderId="31" xfId="0" applyFont="1" applyBorder="1" applyAlignment="1">
      <alignment horizontal="center"/>
    </xf>
    <xf numFmtId="0" fontId="6" fillId="0" borderId="5"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vertical="center" wrapText="1"/>
    </xf>
    <xf numFmtId="0" fontId="6" fillId="0" borderId="3" xfId="0" applyFont="1" applyBorder="1" applyAlignment="1">
      <alignment horizontal="center" vertical="center" wrapText="1"/>
    </xf>
    <xf numFmtId="0" fontId="10" fillId="0" borderId="4" xfId="0" applyFont="1" applyBorder="1" applyAlignment="1">
      <alignment horizontal="center"/>
    </xf>
    <xf numFmtId="0" fontId="10" fillId="0" borderId="37" xfId="0" applyFont="1" applyBorder="1" applyAlignment="1">
      <alignment horizontal="center"/>
    </xf>
    <xf numFmtId="0" fontId="1" fillId="0" borderId="0" xfId="0" applyFont="1" applyAlignment="1">
      <alignment horizontal="center"/>
    </xf>
    <xf numFmtId="0" fontId="2" fillId="0" borderId="0" xfId="0" applyFont="1" applyAlignment="1">
      <alignment horizontal="center"/>
    </xf>
    <xf numFmtId="0" fontId="7" fillId="0" borderId="0" xfId="0" applyFont="1" applyAlignment="1">
      <alignment horizontal="left" wrapText="1"/>
    </xf>
    <xf numFmtId="0" fontId="7" fillId="0" borderId="36" xfId="0" applyFont="1" applyBorder="1" applyAlignment="1">
      <alignment horizontal="left" wrapText="1"/>
    </xf>
    <xf numFmtId="0" fontId="6" fillId="0" borderId="2" xfId="0" applyFont="1" applyBorder="1" applyAlignment="1">
      <alignment horizontal="center" wrapText="1"/>
    </xf>
    <xf numFmtId="0" fontId="7" fillId="0" borderId="3" xfId="0" applyFont="1" applyBorder="1" applyAlignment="1">
      <alignment horizontal="center" wrapText="1"/>
    </xf>
    <xf numFmtId="0" fontId="6" fillId="0" borderId="2" xfId="0" applyFont="1" applyBorder="1" applyAlignment="1">
      <alignment horizontal="center" vertical="center"/>
    </xf>
    <xf numFmtId="0" fontId="7" fillId="0" borderId="3" xfId="0" applyFont="1" applyBorder="1" applyAlignment="1">
      <alignment horizontal="center" vertical="center"/>
    </xf>
    <xf numFmtId="0" fontId="6" fillId="0" borderId="2" xfId="0" applyFont="1" applyBorder="1" applyAlignment="1">
      <alignment horizontal="center" vertical="center" wrapText="1"/>
    </xf>
    <xf numFmtId="0" fontId="6" fillId="0" borderId="1" xfId="0" applyFont="1" applyBorder="1" applyAlignment="1">
      <alignment horizontal="center" wrapText="1"/>
    </xf>
    <xf numFmtId="0" fontId="52" fillId="0" borderId="16" xfId="0" applyFont="1" applyBorder="1" applyAlignment="1">
      <alignment vertical="top" wrapText="1"/>
    </xf>
    <xf numFmtId="0" fontId="58" fillId="0" borderId="6" xfId="0" applyFont="1" applyBorder="1"/>
    <xf numFmtId="0" fontId="6" fillId="0" borderId="3" xfId="0" applyFont="1" applyBorder="1" applyAlignment="1">
      <alignment horizontal="center"/>
    </xf>
    <xf numFmtId="0" fontId="68" fillId="0" borderId="43" xfId="0" applyFont="1" applyBorder="1" applyAlignment="1">
      <alignment horizontal="center" vertical="center" wrapText="1"/>
    </xf>
    <xf numFmtId="0" fontId="68" fillId="0" borderId="44" xfId="0" applyFont="1" applyBorder="1" applyAlignment="1">
      <alignment horizontal="center" vertical="center" wrapText="1"/>
    </xf>
    <xf numFmtId="0" fontId="11" fillId="0" borderId="5" xfId="0" applyFont="1" applyBorder="1" applyAlignment="1">
      <alignment horizontal="center" wrapText="1"/>
    </xf>
    <xf numFmtId="0" fontId="11" fillId="0" borderId="3" xfId="0" applyFont="1" applyBorder="1" applyAlignment="1">
      <alignment horizontal="center" wrapText="1"/>
    </xf>
    <xf numFmtId="0" fontId="6" fillId="0" borderId="0" xfId="0" applyFont="1" applyAlignment="1">
      <alignment horizontal="center"/>
    </xf>
    <xf numFmtId="0" fontId="8" fillId="0" borderId="38" xfId="0" applyFont="1" applyBorder="1" applyAlignment="1">
      <alignment horizontal="center"/>
    </xf>
    <xf numFmtId="0" fontId="8" fillId="0" borderId="30" xfId="0" applyFont="1" applyBorder="1" applyAlignment="1">
      <alignment horizontal="center"/>
    </xf>
    <xf numFmtId="0" fontId="8" fillId="0" borderId="31" xfId="0" applyFont="1" applyBorder="1" applyAlignment="1">
      <alignment horizontal="center"/>
    </xf>
    <xf numFmtId="0" fontId="28" fillId="0" borderId="32" xfId="0" applyFont="1" applyBorder="1" applyAlignment="1">
      <alignment horizontal="center" vertical="center" wrapText="1"/>
    </xf>
    <xf numFmtId="0" fontId="7" fillId="0" borderId="24" xfId="0" applyFont="1" applyBorder="1" applyAlignment="1">
      <alignment horizontal="center" vertical="center" wrapText="1"/>
    </xf>
    <xf numFmtId="17" fontId="32" fillId="0" borderId="32" xfId="0" applyNumberFormat="1" applyFont="1" applyBorder="1" applyAlignment="1">
      <alignment horizontal="center" wrapText="1"/>
    </xf>
    <xf numFmtId="0" fontId="6" fillId="0" borderId="3" xfId="0" applyFont="1" applyBorder="1" applyAlignment="1">
      <alignment vertical="center" wrapText="1"/>
    </xf>
    <xf numFmtId="0" fontId="2" fillId="0" borderId="1" xfId="0" applyFont="1" applyBorder="1" applyAlignment="1">
      <alignment horizontal="center"/>
    </xf>
    <xf numFmtId="0" fontId="4" fillId="0" borderId="0" xfId="0" applyFont="1" applyAlignment="1">
      <alignment horizontal="left" vertical="top" wrapText="1"/>
    </xf>
    <xf numFmtId="0" fontId="4" fillId="0" borderId="0" xfId="0" applyFont="1" applyAlignment="1">
      <alignment horizontal="justify" wrapText="1"/>
    </xf>
    <xf numFmtId="0" fontId="19" fillId="0" borderId="0" xfId="0" applyFont="1" applyAlignment="1">
      <alignment horizontal="center"/>
    </xf>
    <xf numFmtId="0" fontId="19" fillId="0" borderId="0" xfId="0" applyFont="1" applyAlignment="1">
      <alignment horizontal="center" shrinkToFit="1"/>
    </xf>
    <xf numFmtId="0" fontId="7" fillId="0" borderId="0" xfId="0" applyFont="1" applyAlignment="1">
      <alignment shrinkToFit="1"/>
    </xf>
    <xf numFmtId="0" fontId="62" fillId="0" borderId="5" xfId="0" applyFont="1" applyBorder="1" applyAlignment="1">
      <alignment horizontal="center" wrapText="1"/>
    </xf>
    <xf numFmtId="0" fontId="62" fillId="0" borderId="3" xfId="0" applyFont="1" applyBorder="1" applyAlignment="1">
      <alignment horizontal="center" wrapText="1"/>
    </xf>
    <xf numFmtId="0" fontId="6" fillId="0" borderId="38" xfId="0" applyFont="1" applyBorder="1" applyAlignment="1">
      <alignment horizontal="center" wrapText="1"/>
    </xf>
    <xf numFmtId="0" fontId="6" fillId="0" borderId="30" xfId="0" applyFont="1" applyBorder="1" applyAlignment="1">
      <alignment horizontal="center" wrapText="1"/>
    </xf>
    <xf numFmtId="0" fontId="6" fillId="0" borderId="31" xfId="0" applyFont="1" applyBorder="1" applyAlignment="1">
      <alignment horizontal="center" wrapText="1"/>
    </xf>
    <xf numFmtId="0" fontId="61" fillId="0" borderId="4" xfId="0" applyFont="1" applyBorder="1" applyAlignment="1">
      <alignment horizontal="center"/>
    </xf>
    <xf numFmtId="0" fontId="61" fillId="0" borderId="37" xfId="0" applyFont="1" applyBorder="1" applyAlignment="1">
      <alignment horizontal="center"/>
    </xf>
    <xf numFmtId="0" fontId="4" fillId="0" borderId="3" xfId="0" applyFont="1" applyBorder="1" applyAlignment="1">
      <alignment horizontal="center" vertical="center" wrapText="1"/>
    </xf>
    <xf numFmtId="4" fontId="11" fillId="0" borderId="5" xfId="0" applyNumberFormat="1" applyFont="1" applyBorder="1" applyAlignment="1">
      <alignment horizontal="center" wrapText="1"/>
    </xf>
    <xf numFmtId="4" fontId="11" fillId="0" borderId="3" xfId="0" applyNumberFormat="1" applyFont="1" applyBorder="1" applyAlignment="1">
      <alignment horizontal="center" wrapText="1"/>
    </xf>
    <xf numFmtId="0" fontId="4" fillId="0" borderId="4"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34"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6" xfId="0" applyFont="1" applyBorder="1" applyAlignment="1">
      <alignment horizontal="center"/>
    </xf>
    <xf numFmtId="0" fontId="4" fillId="0" borderId="34" xfId="0" applyFont="1" applyBorder="1" applyAlignment="1">
      <alignment horizontal="center"/>
    </xf>
    <xf numFmtId="0" fontId="6" fillId="0" borderId="39" xfId="0" applyFont="1" applyBorder="1" applyAlignment="1">
      <alignment horizontal="center" wrapText="1"/>
    </xf>
    <xf numFmtId="0" fontId="4" fillId="0" borderId="5" xfId="0" applyFont="1" applyBorder="1" applyAlignment="1">
      <alignment horizontal="center" vertical="center" wrapText="1"/>
    </xf>
    <xf numFmtId="0" fontId="4" fillId="0" borderId="3" xfId="0" applyFont="1" applyBorder="1" applyAlignment="1">
      <alignment vertical="center" wrapText="1"/>
    </xf>
    <xf numFmtId="0" fontId="52" fillId="0" borderId="3" xfId="0" applyFont="1" applyBorder="1" applyAlignment="1">
      <alignment horizontal="center" vertical="center" wrapText="1"/>
    </xf>
    <xf numFmtId="0" fontId="28" fillId="0" borderId="32" xfId="0" applyFont="1" applyBorder="1" applyAlignment="1">
      <alignment horizontal="center" wrapText="1"/>
    </xf>
    <xf numFmtId="0" fontId="7" fillId="0" borderId="24" xfId="0" applyFont="1" applyBorder="1" applyAlignment="1">
      <alignment horizontal="center" wrapText="1"/>
    </xf>
    <xf numFmtId="0" fontId="7" fillId="0" borderId="0" xfId="0" applyFont="1" applyAlignment="1">
      <alignment horizontal="left" vertical="top" wrapText="1"/>
    </xf>
    <xf numFmtId="0" fontId="8" fillId="0" borderId="0" xfId="0" applyFont="1" applyAlignment="1">
      <alignment horizontal="center"/>
    </xf>
    <xf numFmtId="0" fontId="28" fillId="0" borderId="24" xfId="0" applyFont="1" applyBorder="1" applyAlignment="1">
      <alignment horizontal="center" vertical="center" wrapText="1"/>
    </xf>
    <xf numFmtId="0" fontId="2" fillId="0" borderId="43"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7" fillId="0" borderId="32" xfId="0" applyFont="1" applyBorder="1" applyAlignment="1">
      <alignment horizontal="center" vertical="center" wrapText="1"/>
    </xf>
    <xf numFmtId="0" fontId="6" fillId="0" borderId="16" xfId="0" applyFont="1" applyBorder="1" applyAlignment="1">
      <alignment horizontal="center" wrapText="1"/>
    </xf>
    <xf numFmtId="0" fontId="6" fillId="0" borderId="51" xfId="0" applyFont="1" applyBorder="1" applyAlignment="1">
      <alignment horizontal="center" wrapText="1"/>
    </xf>
    <xf numFmtId="0" fontId="6" fillId="0" borderId="34" xfId="0" applyFont="1" applyBorder="1" applyAlignment="1">
      <alignment horizontal="center" wrapText="1"/>
    </xf>
    <xf numFmtId="0" fontId="43" fillId="0" borderId="32" xfId="0" applyFont="1" applyBorder="1" applyAlignment="1">
      <alignment horizontal="center" wrapText="1"/>
    </xf>
    <xf numFmtId="0" fontId="6" fillId="0" borderId="6" xfId="0" applyFont="1" applyBorder="1" applyAlignment="1">
      <alignment horizontal="center" vertical="center" wrapText="1"/>
    </xf>
    <xf numFmtId="0" fontId="68" fillId="0" borderId="1" xfId="0" applyFont="1" applyBorder="1" applyAlignment="1">
      <alignment horizontal="center"/>
    </xf>
    <xf numFmtId="43" fontId="28" fillId="0" borderId="32" xfId="0" applyNumberFormat="1" applyFont="1" applyBorder="1" applyAlignment="1">
      <alignment horizontal="center" vertical="center" wrapText="1"/>
    </xf>
    <xf numFmtId="43" fontId="7" fillId="0" borderId="24" xfId="0" applyNumberFormat="1" applyFont="1" applyBorder="1" applyAlignment="1">
      <alignment horizontal="center" vertical="center" wrapText="1"/>
    </xf>
    <xf numFmtId="0" fontId="28" fillId="0" borderId="10" xfId="0" applyFont="1" applyBorder="1" applyAlignment="1">
      <alignment horizontal="center" wrapText="1"/>
    </xf>
    <xf numFmtId="0" fontId="27" fillId="0" borderId="10" xfId="0" applyFont="1" applyBorder="1" applyAlignment="1">
      <alignment horizontal="center" wrapText="1"/>
    </xf>
    <xf numFmtId="0" fontId="6" fillId="0" borderId="0" xfId="0" applyFont="1" applyAlignment="1">
      <alignment horizontal="center" vertical="center" wrapText="1"/>
    </xf>
    <xf numFmtId="0" fontId="6" fillId="0" borderId="34"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2" xfId="0" applyFont="1" applyBorder="1" applyAlignment="1">
      <alignment horizontal="center" vertical="center" wrapText="1"/>
    </xf>
    <xf numFmtId="0" fontId="4" fillId="0" borderId="3" xfId="0" applyFont="1" applyBorder="1" applyAlignment="1">
      <alignment horizontal="center" vertical="center" wrapText="1" shrinkToFit="1"/>
    </xf>
    <xf numFmtId="0" fontId="4" fillId="0" borderId="24" xfId="0" applyFont="1" applyBorder="1" applyAlignment="1">
      <alignment horizontal="center" vertical="center" wrapText="1"/>
    </xf>
    <xf numFmtId="0" fontId="4" fillId="0" borderId="10" xfId="0" applyFont="1" applyBorder="1" applyAlignment="1">
      <alignment horizontal="center" vertical="center" wrapText="1"/>
    </xf>
    <xf numFmtId="0" fontId="18" fillId="0" borderId="0" xfId="0" applyFont="1" applyAlignment="1">
      <alignment horizontal="center"/>
    </xf>
    <xf numFmtId="0" fontId="0" fillId="0" borderId="0" xfId="0" applyAlignment="1">
      <alignment horizontal="left" wrapText="1"/>
    </xf>
    <xf numFmtId="0" fontId="0" fillId="0" borderId="36" xfId="0" applyBorder="1" applyAlignment="1">
      <alignment horizontal="left" wrapText="1"/>
    </xf>
    <xf numFmtId="0" fontId="7"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3" xfId="0" applyFont="1" applyBorder="1" applyAlignment="1">
      <alignment vertical="center" wrapText="1"/>
    </xf>
    <xf numFmtId="43" fontId="33" fillId="0" borderId="38" xfId="0" applyNumberFormat="1" applyFont="1" applyBorder="1" applyAlignment="1">
      <alignment horizontal="center" vertical="center" wrapText="1" shrinkToFit="1"/>
    </xf>
    <xf numFmtId="0" fontId="33" fillId="0" borderId="30" xfId="0" applyFont="1" applyBorder="1" applyAlignment="1">
      <alignment horizontal="center" vertical="center" wrapText="1" shrinkToFit="1"/>
    </xf>
    <xf numFmtId="0" fontId="33" fillId="0" borderId="30" xfId="0" applyFont="1" applyBorder="1" applyAlignment="1">
      <alignment horizontal="center" vertical="center" wrapText="1"/>
    </xf>
    <xf numFmtId="0" fontId="33" fillId="0" borderId="3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30" xfId="0" applyFont="1" applyBorder="1" applyAlignment="1">
      <alignment horizontal="center" vertical="center" wrapText="1"/>
    </xf>
    <xf numFmtId="0" fontId="9" fillId="0" borderId="5" xfId="0" applyFont="1" applyBorder="1" applyAlignment="1">
      <alignment horizontal="center" vertical="center" wrapText="1"/>
    </xf>
    <xf numFmtId="0" fontId="9" fillId="0" borderId="3" xfId="0" applyFont="1" applyBorder="1" applyAlignment="1">
      <alignment horizontal="center" wrapText="1"/>
    </xf>
    <xf numFmtId="0" fontId="0" fillId="0" borderId="3" xfId="0" applyBorder="1" applyAlignment="1">
      <alignment horizontal="left"/>
    </xf>
    <xf numFmtId="0" fontId="9" fillId="0" borderId="4"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6" xfId="0" applyFont="1" applyBorder="1" applyAlignment="1">
      <alignment horizontal="center" vertical="center" wrapText="1"/>
    </xf>
    <xf numFmtId="0" fontId="4" fillId="0" borderId="0" xfId="0" applyFont="1"/>
    <xf numFmtId="0" fontId="0" fillId="0" borderId="0" xfId="0" applyAlignment="1">
      <alignment horizontal="justify" wrapText="1"/>
    </xf>
    <xf numFmtId="0" fontId="0" fillId="0" borderId="0" xfId="0" applyAlignment="1">
      <alignment wrapText="1"/>
    </xf>
    <xf numFmtId="44" fontId="19" fillId="0" borderId="0" xfId="0" applyNumberFormat="1" applyFont="1" applyAlignment="1">
      <alignment horizontal="center" wrapText="1"/>
    </xf>
    <xf numFmtId="44" fontId="20" fillId="0" borderId="0" xfId="0" applyNumberFormat="1" applyFont="1" applyAlignment="1">
      <alignment wrapText="1"/>
    </xf>
    <xf numFmtId="0" fontId="0" fillId="0" borderId="3" xfId="0" applyBorder="1" applyAlignment="1">
      <alignment horizont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6" fillId="0" borderId="6" xfId="0" applyFont="1" applyBorder="1" applyAlignment="1">
      <alignment horizontal="center" vertical="top" wrapText="1"/>
    </xf>
    <xf numFmtId="0" fontId="7" fillId="0" borderId="6" xfId="0" applyFont="1" applyBorder="1" applyAlignment="1">
      <alignment horizontal="center" wrapText="1"/>
    </xf>
    <xf numFmtId="0" fontId="9" fillId="0" borderId="3" xfId="0" applyFont="1" applyBorder="1" applyAlignment="1">
      <alignment wrapText="1"/>
    </xf>
    <xf numFmtId="0" fontId="7" fillId="0" borderId="10" xfId="0" applyFont="1" applyBorder="1" applyAlignment="1">
      <alignment horizontal="center" vertical="center" wrapText="1"/>
    </xf>
    <xf numFmtId="0" fontId="7" fillId="0" borderId="34" xfId="0" applyFont="1" applyBorder="1" applyAlignment="1">
      <alignment horizontal="center" vertical="center" wrapText="1"/>
    </xf>
    <xf numFmtId="43" fontId="1" fillId="0" borderId="0" xfId="0" applyNumberFormat="1" applyFont="1" applyAlignment="1">
      <alignment horizontal="center"/>
    </xf>
    <xf numFmtId="43" fontId="2" fillId="0" borderId="0" xfId="0" applyNumberFormat="1" applyFont="1" applyAlignment="1">
      <alignment horizont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3" xfId="0" applyFont="1" applyBorder="1" applyAlignment="1">
      <alignment vertical="center" wrapText="1"/>
    </xf>
    <xf numFmtId="0" fontId="4" fillId="0" borderId="2" xfId="0" applyFont="1" applyBorder="1" applyAlignment="1">
      <alignment horizontal="center" vertical="center" wrapText="1"/>
    </xf>
    <xf numFmtId="0" fontId="4" fillId="0" borderId="7" xfId="0" applyFont="1" applyBorder="1" applyAlignment="1">
      <alignment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8" fillId="0" borderId="38" xfId="0" applyFont="1" applyBorder="1" applyAlignment="1">
      <alignment horizontal="center" vertical="center" wrapText="1"/>
    </xf>
    <xf numFmtId="0" fontId="8" fillId="0" borderId="30"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4"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42" xfId="0" applyFont="1" applyBorder="1" applyAlignment="1">
      <alignment horizontal="center" vertical="center" wrapText="1"/>
    </xf>
    <xf numFmtId="0" fontId="10" fillId="0" borderId="31" xfId="0" applyFont="1" applyBorder="1" applyAlignment="1">
      <alignment horizontal="center" vertical="center" wrapText="1"/>
    </xf>
    <xf numFmtId="0" fontId="4" fillId="0" borderId="37"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left" vertical="top"/>
    </xf>
    <xf numFmtId="0" fontId="4" fillId="0" borderId="37" xfId="0" applyFont="1" applyBorder="1" applyAlignment="1">
      <alignment horizontal="left" vertical="top"/>
    </xf>
    <xf numFmtId="0" fontId="4" fillId="0" borderId="41" xfId="0" applyFont="1" applyBorder="1" applyAlignment="1">
      <alignment horizontal="left"/>
    </xf>
    <xf numFmtId="0" fontId="12" fillId="0" borderId="57" xfId="0" applyFont="1" applyBorder="1" applyAlignment="1">
      <alignment horizontal="center" vertical="center" wrapText="1"/>
    </xf>
    <xf numFmtId="0" fontId="0" fillId="0" borderId="3" xfId="0" applyBorder="1" applyAlignment="1">
      <alignment horizontal="center" wrapText="1"/>
    </xf>
    <xf numFmtId="0" fontId="74" fillId="0" borderId="2" xfId="0" applyFont="1" applyBorder="1" applyAlignment="1">
      <alignment horizontal="center" vertical="center"/>
    </xf>
    <xf numFmtId="0" fontId="6" fillId="0" borderId="16" xfId="0" applyFont="1" applyBorder="1" applyAlignment="1">
      <alignment vertical="top" wrapText="1"/>
    </xf>
    <xf numFmtId="0" fontId="0" fillId="0" borderId="6" xfId="0" applyBorder="1"/>
    <xf numFmtId="0" fontId="6" fillId="0" borderId="37" xfId="0" applyFont="1"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83" fillId="0" borderId="34" xfId="0" applyFont="1" applyBorder="1" applyAlignment="1">
      <alignment horizontal="center" vertical="center" wrapText="1"/>
    </xf>
    <xf numFmtId="0" fontId="83" fillId="0" borderId="3" xfId="0" applyFont="1" applyBorder="1" applyAlignment="1">
      <alignment horizontal="center"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0" fillId="0" borderId="42" xfId="0" applyBorder="1" applyAlignment="1">
      <alignment horizontal="center" vertical="center" wrapText="1"/>
    </xf>
    <xf numFmtId="0" fontId="11" fillId="0" borderId="5" xfId="0" applyFont="1" applyBorder="1" applyAlignment="1">
      <alignment horizontal="center" vertical="center" wrapText="1"/>
    </xf>
    <xf numFmtId="0" fontId="7" fillId="0" borderId="6" xfId="0" applyFont="1" applyBorder="1" applyAlignment="1">
      <alignment horizontal="center" vertical="center" wrapText="1"/>
    </xf>
    <xf numFmtId="0" fontId="8" fillId="0" borderId="37" xfId="0" applyFont="1" applyBorder="1" applyAlignment="1">
      <alignment horizontal="center" vertical="center" wrapText="1"/>
    </xf>
    <xf numFmtId="0" fontId="7" fillId="0" borderId="37"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10"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3" xfId="0" applyFont="1" applyBorder="1" applyAlignment="1">
      <alignment horizontal="center" vertical="center" wrapText="1"/>
    </xf>
    <xf numFmtId="0" fontId="28" fillId="0" borderId="33" xfId="0" applyFont="1" applyBorder="1" applyAlignment="1">
      <alignment horizontal="center" wrapText="1"/>
    </xf>
    <xf numFmtId="0" fontId="27" fillId="0" borderId="23" xfId="0" applyFont="1" applyBorder="1" applyAlignment="1">
      <alignment horizontal="center" wrapText="1"/>
    </xf>
    <xf numFmtId="0" fontId="0" fillId="0" borderId="41" xfId="0" applyBorder="1" applyAlignment="1">
      <alignment horizontal="center"/>
    </xf>
    <xf numFmtId="4" fontId="4" fillId="0" borderId="41" xfId="0" applyNumberFormat="1" applyFont="1" applyBorder="1" applyAlignment="1">
      <alignment horizontal="center"/>
    </xf>
    <xf numFmtId="0" fontId="12" fillId="0" borderId="30" xfId="0" applyFont="1" applyBorder="1" applyAlignment="1">
      <alignment horizontal="center" vertical="center" wrapText="1"/>
    </xf>
    <xf numFmtId="0" fontId="12" fillId="0" borderId="24" xfId="0" applyFont="1" applyBorder="1" applyAlignment="1">
      <alignment horizontal="center" vertical="center" wrapText="1"/>
    </xf>
    <xf numFmtId="4" fontId="7" fillId="0" borderId="5"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0" fontId="10" fillId="0" borderId="37" xfId="0" applyFont="1" applyBorder="1" applyAlignment="1">
      <alignment horizontal="center" vertical="center" wrapText="1"/>
    </xf>
    <xf numFmtId="0" fontId="10" fillId="0" borderId="49"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23" xfId="0" applyFont="1" applyBorder="1" applyAlignment="1">
      <alignment horizontal="center" vertical="center" wrapText="1"/>
    </xf>
    <xf numFmtId="0" fontId="12" fillId="0" borderId="37" xfId="0" applyFont="1" applyBorder="1" applyAlignment="1">
      <alignment horizontal="center" vertical="center" wrapText="1"/>
    </xf>
    <xf numFmtId="0" fontId="9" fillId="0" borderId="0" xfId="0" applyFont="1" applyAlignment="1">
      <alignment horizontal="center" wrapText="1"/>
    </xf>
    <xf numFmtId="0" fontId="94" fillId="0" borderId="0" xfId="0" applyFont="1" applyAlignment="1">
      <alignment horizontal="center"/>
    </xf>
    <xf numFmtId="0" fontId="74" fillId="0" borderId="3" xfId="0" applyFont="1" applyBorder="1" applyAlignment="1">
      <alignment horizontal="center" vertical="center"/>
    </xf>
    <xf numFmtId="0" fontId="7" fillId="0" borderId="2" xfId="0" applyFont="1" applyBorder="1" applyAlignment="1">
      <alignment horizontal="center" vertical="center" wrapText="1"/>
    </xf>
    <xf numFmtId="0" fontId="9" fillId="0" borderId="5" xfId="0" applyFont="1" applyBorder="1" applyAlignment="1">
      <alignment horizontal="center" wrapText="1"/>
    </xf>
    <xf numFmtId="0" fontId="9" fillId="0" borderId="4" xfId="0" applyFont="1" applyBorder="1" applyAlignment="1">
      <alignment horizontal="center" wrapText="1"/>
    </xf>
    <xf numFmtId="0" fontId="11" fillId="0" borderId="3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6"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2" xfId="0" applyFont="1" applyBorder="1" applyAlignment="1">
      <alignment horizontal="center" vertical="center" wrapText="1"/>
    </xf>
    <xf numFmtId="0" fontId="32" fillId="0" borderId="33" xfId="0" applyFont="1" applyBorder="1" applyAlignment="1">
      <alignment horizontal="center" wrapText="1"/>
    </xf>
    <xf numFmtId="0" fontId="43" fillId="0" borderId="23" xfId="0" applyFont="1" applyBorder="1" applyAlignment="1">
      <alignment horizontal="center" wrapText="1"/>
    </xf>
    <xf numFmtId="0" fontId="0" fillId="0" borderId="37" xfId="0" applyBorder="1" applyAlignment="1">
      <alignment horizontal="center" vertical="center" wrapText="1"/>
    </xf>
    <xf numFmtId="0" fontId="0" fillId="0" borderId="41" xfId="0"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4" fillId="0" borderId="41" xfId="0" applyFont="1" applyBorder="1" applyAlignment="1">
      <alignment horizontal="center"/>
    </xf>
    <xf numFmtId="0" fontId="0" fillId="0" borderId="0" xfId="0" applyAlignment="1">
      <alignment horizontal="left" vertical="top"/>
    </xf>
    <xf numFmtId="4" fontId="4" fillId="0" borderId="0" xfId="0" applyNumberFormat="1" applyFont="1" applyAlignment="1">
      <alignment horizontal="center"/>
    </xf>
    <xf numFmtId="0" fontId="6" fillId="0" borderId="41" xfId="0" applyFont="1" applyBorder="1" applyAlignment="1">
      <alignment horizontal="center" vertical="center" wrapText="1"/>
    </xf>
    <xf numFmtId="0" fontId="4" fillId="0" borderId="5" xfId="0" applyFont="1" applyBorder="1" applyAlignment="1">
      <alignment horizontal="center" vertical="center" wrapText="1" shrinkToFit="1"/>
    </xf>
    <xf numFmtId="0" fontId="10" fillId="0" borderId="5" xfId="0" applyFont="1" applyBorder="1" applyAlignment="1">
      <alignment horizontal="center" vertical="center" wrapText="1"/>
    </xf>
    <xf numFmtId="0" fontId="0" fillId="0" borderId="7" xfId="0" applyBorder="1" applyAlignment="1">
      <alignment horizontal="center" vertical="center" wrapText="1"/>
    </xf>
    <xf numFmtId="0" fontId="6" fillId="0" borderId="47" xfId="0" applyFont="1" applyBorder="1" applyAlignment="1">
      <alignment horizontal="center" vertical="center" wrapText="1"/>
    </xf>
    <xf numFmtId="0" fontId="0" fillId="0" borderId="47" xfId="0" applyBorder="1" applyAlignment="1">
      <alignment horizontal="center" vertical="center"/>
    </xf>
    <xf numFmtId="0" fontId="8" fillId="0" borderId="41" xfId="0" applyFont="1" applyBorder="1" applyAlignment="1">
      <alignment horizontal="center" vertical="center" wrapText="1"/>
    </xf>
    <xf numFmtId="0" fontId="7" fillId="0" borderId="3" xfId="0" applyFont="1" applyBorder="1" applyAlignment="1">
      <alignment wrapText="1"/>
    </xf>
    <xf numFmtId="0" fontId="6" fillId="0" borderId="10" xfId="0" applyFont="1" applyBorder="1" applyAlignment="1">
      <alignment horizontal="center" wrapText="1"/>
    </xf>
    <xf numFmtId="0" fontId="92" fillId="0" borderId="2" xfId="0" applyFont="1" applyBorder="1" applyAlignment="1">
      <alignment horizontal="center" vertical="center" wrapText="1"/>
    </xf>
    <xf numFmtId="0" fontId="92" fillId="0" borderId="3" xfId="0" applyFont="1" applyBorder="1" applyAlignment="1">
      <alignment horizontal="center" vertical="center" wrapText="1"/>
    </xf>
    <xf numFmtId="0" fontId="4" fillId="0" borderId="39" xfId="0" applyFont="1" applyBorder="1" applyAlignment="1">
      <alignment horizontal="center" vertical="center" wrapText="1" shrinkToFit="1"/>
    </xf>
    <xf numFmtId="0" fontId="33" fillId="0" borderId="24" xfId="0" applyFont="1" applyBorder="1" applyAlignment="1">
      <alignment horizontal="center" vertical="center" wrapText="1" shrinkToFit="1"/>
    </xf>
    <xf numFmtId="0" fontId="33" fillId="0" borderId="10" xfId="0" applyFont="1" applyBorder="1" applyAlignment="1">
      <alignment horizontal="center" vertical="center" wrapText="1" shrinkToFit="1"/>
    </xf>
    <xf numFmtId="0" fontId="27" fillId="0" borderId="24" xfId="0" applyFont="1" applyBorder="1" applyAlignment="1">
      <alignment horizontal="center" wrapText="1"/>
    </xf>
    <xf numFmtId="0" fontId="8" fillId="0" borderId="0" xfId="0" applyFont="1" applyAlignment="1">
      <alignment horizontal="left"/>
    </xf>
    <xf numFmtId="0" fontId="12" fillId="0" borderId="62" xfId="0" applyFont="1" applyBorder="1" applyAlignment="1">
      <alignment horizontal="center" vertical="center" wrapText="1"/>
    </xf>
    <xf numFmtId="0" fontId="2" fillId="0" borderId="1"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39"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2" xfId="0" applyFont="1" applyBorder="1" applyAlignment="1">
      <alignment horizontal="center" vertical="center" wrapText="1"/>
    </xf>
    <xf numFmtId="0" fontId="28" fillId="0" borderId="24" xfId="0" applyFont="1" applyBorder="1" applyAlignment="1">
      <alignment horizontal="center" wrapText="1"/>
    </xf>
    <xf numFmtId="0" fontId="10" fillId="0" borderId="0" xfId="0" applyFont="1" applyAlignment="1">
      <alignment horizontal="center"/>
    </xf>
    <xf numFmtId="0" fontId="83" fillId="0" borderId="5" xfId="0" applyFont="1" applyBorder="1" applyAlignment="1">
      <alignment horizontal="center" vertical="center" wrapText="1"/>
    </xf>
    <xf numFmtId="0" fontId="12" fillId="0" borderId="4" xfId="0" applyFont="1" applyBorder="1" applyAlignment="1">
      <alignment horizontal="center" vertical="center" wrapText="1"/>
    </xf>
    <xf numFmtId="0" fontId="33" fillId="0" borderId="38" xfId="0" applyFont="1" applyBorder="1" applyAlignment="1">
      <alignment horizontal="center" vertical="center" wrapText="1" shrinkToFit="1"/>
    </xf>
    <xf numFmtId="0" fontId="93" fillId="0" borderId="0" xfId="0" applyFont="1" applyAlignment="1">
      <alignment horizontal="center"/>
    </xf>
    <xf numFmtId="0" fontId="4" fillId="0" borderId="0" xfId="0" applyFont="1" applyAlignment="1">
      <alignment horizontal="left" vertical="center" wrapText="1"/>
    </xf>
    <xf numFmtId="0" fontId="4" fillId="0" borderId="0" xfId="0" applyFont="1" applyAlignment="1">
      <alignment horizontal="right"/>
    </xf>
    <xf numFmtId="0" fontId="32" fillId="0" borderId="0" xfId="0" applyFont="1" applyAlignment="1">
      <alignment horizontal="center" wrapText="1"/>
    </xf>
    <xf numFmtId="0" fontId="19" fillId="0" borderId="4"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40" xfId="0" applyFont="1" applyBorder="1" applyAlignment="1">
      <alignment horizontal="center" vertical="center" wrapText="1"/>
    </xf>
    <xf numFmtId="0" fontId="19" fillId="0" borderId="41" xfId="0" applyFont="1" applyBorder="1" applyAlignment="1">
      <alignment horizontal="center" vertical="center" wrapText="1"/>
    </xf>
    <xf numFmtId="0" fontId="12" fillId="0" borderId="5" xfId="0" applyFont="1" applyBorder="1" applyAlignment="1">
      <alignment horizontal="center" vertical="center" wrapText="1"/>
    </xf>
    <xf numFmtId="0" fontId="10" fillId="0" borderId="38" xfId="0" applyFont="1" applyBorder="1" applyAlignment="1">
      <alignment horizontal="center" vertical="center" wrapText="1"/>
    </xf>
    <xf numFmtId="0" fontId="4" fillId="0" borderId="2" xfId="0" applyFont="1" applyBorder="1" applyAlignment="1">
      <alignment horizontal="center" wrapText="1"/>
    </xf>
    <xf numFmtId="0" fontId="4" fillId="0" borderId="3" xfId="0" applyFont="1" applyBorder="1" applyAlignment="1">
      <alignment horizontal="center"/>
    </xf>
    <xf numFmtId="0" fontId="4" fillId="0" borderId="6" xfId="0" applyFont="1" applyBorder="1" applyAlignment="1">
      <alignment horizontal="center" vertical="top" wrapText="1"/>
    </xf>
    <xf numFmtId="0" fontId="4" fillId="0" borderId="6" xfId="0" applyFont="1" applyBorder="1" applyAlignment="1">
      <alignment horizontal="center" wrapText="1"/>
    </xf>
    <xf numFmtId="0" fontId="19" fillId="0" borderId="39"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0" xfId="0" applyFont="1" applyAlignment="1">
      <alignment horizontal="center" vertical="center" wrapText="1"/>
    </xf>
    <xf numFmtId="0" fontId="19" fillId="0" borderId="34" xfId="0" applyFont="1" applyBorder="1" applyAlignment="1">
      <alignment horizontal="center" vertical="center" wrapText="1"/>
    </xf>
    <xf numFmtId="0" fontId="0" fillId="0" borderId="0" xfId="0" applyAlignment="1">
      <alignment horizontal="left" vertical="top" wrapText="1"/>
    </xf>
    <xf numFmtId="0" fontId="7" fillId="0" borderId="0" xfId="0" applyFont="1" applyAlignment="1">
      <alignment horizontal="center" vertical="center" wrapText="1"/>
    </xf>
    <xf numFmtId="0" fontId="0" fillId="0" borderId="36"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7" fillId="0" borderId="10" xfId="0" applyFont="1" applyBorder="1" applyAlignment="1">
      <alignment horizontal="center" wrapText="1"/>
    </xf>
    <xf numFmtId="0" fontId="0" fillId="0" borderId="10" xfId="0" applyBorder="1" applyAlignment="1">
      <alignment horizontal="center" wrapText="1"/>
    </xf>
    <xf numFmtId="0" fontId="0" fillId="0" borderId="12" xfId="0" applyBorder="1" applyAlignment="1">
      <alignment horizontal="center" wrapText="1"/>
    </xf>
    <xf numFmtId="0" fontId="7" fillId="0" borderId="12" xfId="0" applyFont="1" applyBorder="1" applyAlignment="1">
      <alignment horizontal="center" vertical="center" wrapText="1"/>
    </xf>
    <xf numFmtId="0" fontId="0" fillId="0" borderId="8" xfId="0" applyBorder="1" applyAlignment="1">
      <alignment horizontal="center" vertical="center" wrapText="1"/>
    </xf>
    <xf numFmtId="0" fontId="8" fillId="0" borderId="32"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3" xfId="0" applyFont="1" applyBorder="1" applyAlignment="1">
      <alignment horizontal="center" vertical="center" wrapText="1"/>
    </xf>
    <xf numFmtId="0" fontId="0" fillId="0" borderId="18" xfId="0" applyBorder="1" applyAlignment="1">
      <alignment vertical="center" wrapText="1"/>
    </xf>
    <xf numFmtId="0" fontId="7" fillId="0" borderId="59" xfId="0" applyFont="1" applyBorder="1" applyAlignment="1">
      <alignment horizontal="center" vertical="center" wrapText="1"/>
    </xf>
    <xf numFmtId="0" fontId="0" fillId="0" borderId="37" xfId="0" applyBorder="1" applyAlignment="1">
      <alignment wrapText="1"/>
    </xf>
    <xf numFmtId="0" fontId="0" fillId="0" borderId="49" xfId="0" applyBorder="1" applyAlignment="1">
      <alignment wrapText="1"/>
    </xf>
    <xf numFmtId="0" fontId="0" fillId="0" borderId="10" xfId="0" applyBorder="1" applyAlignment="1">
      <alignment wrapText="1"/>
    </xf>
    <xf numFmtId="0" fontId="0" fillId="0" borderId="12" xfId="0" applyBorder="1" applyAlignment="1">
      <alignment wrapText="1"/>
    </xf>
    <xf numFmtId="0" fontId="0" fillId="0" borderId="18" xfId="0" applyBorder="1" applyAlignment="1">
      <alignment horizontal="center" vertical="center" wrapText="1"/>
    </xf>
  </cellXfs>
  <cellStyles count="3">
    <cellStyle name="Comma" xfId="1" builtinId="3"/>
    <cellStyle name="Neutral" xfId="2" builtinId="28"/>
    <cellStyle name="Normal" xfId="0" builtinId="0"/>
  </cellStyles>
  <dxfs count="0"/>
  <tableStyles count="0" defaultTableStyle="TableStyleMedium9" defaultPivotStyle="PivotStyleLight16"/>
  <colors>
    <mruColors>
      <color rgb="FFFF33CC"/>
      <color rgb="FFFFFF99"/>
      <color rgb="FF66FFFF"/>
      <color rgb="FF33CCFF"/>
      <color rgb="FFFF7C80"/>
      <color rgb="FF99CCFF"/>
      <color rgb="FF99FF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0</xdr:col>
      <xdr:colOff>57150</xdr:colOff>
      <xdr:row>55</xdr:row>
      <xdr:rowOff>0</xdr:rowOff>
    </xdr:from>
    <xdr:to>
      <xdr:col>1</xdr:col>
      <xdr:colOff>1457325</xdr:colOff>
      <xdr:row>55</xdr:row>
      <xdr:rowOff>9525</xdr:rowOff>
    </xdr:to>
    <xdr:sp macro="" textlink="">
      <xdr:nvSpPr>
        <xdr:cNvPr id="2" name="Line 3">
          <a:extLst>
            <a:ext uri="{FF2B5EF4-FFF2-40B4-BE49-F238E27FC236}">
              <a16:creationId xmlns:a16="http://schemas.microsoft.com/office/drawing/2014/main" id="{00000000-0008-0000-0000-000002000000}"/>
            </a:ext>
          </a:extLst>
        </xdr:cNvPr>
        <xdr:cNvSpPr>
          <a:spLocks noChangeShapeType="1"/>
        </xdr:cNvSpPr>
      </xdr:nvSpPr>
      <xdr:spPr bwMode="auto">
        <a:xfrm>
          <a:off x="57150" y="1252537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55</xdr:row>
      <xdr:rowOff>0</xdr:rowOff>
    </xdr:from>
    <xdr:to>
      <xdr:col>4</xdr:col>
      <xdr:colOff>457200</xdr:colOff>
      <xdr:row>55</xdr:row>
      <xdr:rowOff>0</xdr:rowOff>
    </xdr:to>
    <xdr:sp macro="" textlink="">
      <xdr:nvSpPr>
        <xdr:cNvPr id="3" name="Line 4">
          <a:extLst>
            <a:ext uri="{FF2B5EF4-FFF2-40B4-BE49-F238E27FC236}">
              <a16:creationId xmlns:a16="http://schemas.microsoft.com/office/drawing/2014/main" id="{00000000-0008-0000-0000-000003000000}"/>
            </a:ext>
          </a:extLst>
        </xdr:cNvPr>
        <xdr:cNvSpPr>
          <a:spLocks noChangeShapeType="1"/>
        </xdr:cNvSpPr>
      </xdr:nvSpPr>
      <xdr:spPr bwMode="auto">
        <a:xfrm>
          <a:off x="2324100" y="1252537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51</xdr:row>
      <xdr:rowOff>0</xdr:rowOff>
    </xdr:from>
    <xdr:to>
      <xdr:col>4</xdr:col>
      <xdr:colOff>19050</xdr:colOff>
      <xdr:row>51</xdr:row>
      <xdr:rowOff>0</xdr:rowOff>
    </xdr:to>
    <xdr:sp macro="" textlink="">
      <xdr:nvSpPr>
        <xdr:cNvPr id="4" name="Line 13">
          <a:extLst>
            <a:ext uri="{FF2B5EF4-FFF2-40B4-BE49-F238E27FC236}">
              <a16:creationId xmlns:a16="http://schemas.microsoft.com/office/drawing/2014/main" id="{00000000-0008-0000-0000-000004000000}"/>
            </a:ext>
          </a:extLst>
        </xdr:cNvPr>
        <xdr:cNvSpPr>
          <a:spLocks noChangeShapeType="1"/>
        </xdr:cNvSpPr>
      </xdr:nvSpPr>
      <xdr:spPr bwMode="auto">
        <a:xfrm>
          <a:off x="38100" y="11868150"/>
          <a:ext cx="3952875" cy="0"/>
        </a:xfrm>
        <a:prstGeom prst="line">
          <a:avLst/>
        </a:prstGeom>
        <a:noFill/>
        <a:ln w="9525">
          <a:solidFill>
            <a:srgbClr val="000000"/>
          </a:solidFill>
          <a:prstDash val="sysDot"/>
          <a:round/>
          <a:headEnd/>
          <a:tailEnd/>
        </a:ln>
      </xdr:spPr>
    </xdr:sp>
    <xdr:clientData/>
  </xdr:twoCellAnchor>
  <xdr:twoCellAnchor>
    <xdr:from>
      <xdr:col>2</xdr:col>
      <xdr:colOff>228600</xdr:colOff>
      <xdr:row>55</xdr:row>
      <xdr:rowOff>9525</xdr:rowOff>
    </xdr:from>
    <xdr:to>
      <xdr:col>4</xdr:col>
      <xdr:colOff>419100</xdr:colOff>
      <xdr:row>55</xdr:row>
      <xdr:rowOff>9525</xdr:rowOff>
    </xdr:to>
    <xdr:sp macro="" textlink="">
      <xdr:nvSpPr>
        <xdr:cNvPr id="5" name="Line 16">
          <a:extLst>
            <a:ext uri="{FF2B5EF4-FFF2-40B4-BE49-F238E27FC236}">
              <a16:creationId xmlns:a16="http://schemas.microsoft.com/office/drawing/2014/main" id="{00000000-0008-0000-0000-000005000000}"/>
            </a:ext>
          </a:extLst>
        </xdr:cNvPr>
        <xdr:cNvSpPr>
          <a:spLocks noChangeShapeType="1"/>
        </xdr:cNvSpPr>
      </xdr:nvSpPr>
      <xdr:spPr bwMode="auto">
        <a:xfrm>
          <a:off x="2286000" y="1253490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47</xdr:row>
      <xdr:rowOff>0</xdr:rowOff>
    </xdr:from>
    <xdr:to>
      <xdr:col>31</xdr:col>
      <xdr:colOff>0</xdr:colOff>
      <xdr:row>47</xdr:row>
      <xdr:rowOff>0</xdr:rowOff>
    </xdr:to>
    <xdr:sp macro="" textlink="">
      <xdr:nvSpPr>
        <xdr:cNvPr id="6" name="Line 17">
          <a:extLst>
            <a:ext uri="{FF2B5EF4-FFF2-40B4-BE49-F238E27FC236}">
              <a16:creationId xmlns:a16="http://schemas.microsoft.com/office/drawing/2014/main" id="{00000000-0008-0000-0000-000006000000}"/>
            </a:ext>
          </a:extLst>
        </xdr:cNvPr>
        <xdr:cNvSpPr>
          <a:spLocks noChangeShapeType="1"/>
        </xdr:cNvSpPr>
      </xdr:nvSpPr>
      <xdr:spPr bwMode="auto">
        <a:xfrm>
          <a:off x="15011400" y="11430000"/>
          <a:ext cx="0" cy="0"/>
        </a:xfrm>
        <a:prstGeom prst="line">
          <a:avLst/>
        </a:prstGeom>
        <a:noFill/>
        <a:ln w="9525">
          <a:solidFill>
            <a:srgbClr val="000000"/>
          </a:solidFill>
          <a:prstDash val="sysDot"/>
          <a:round/>
          <a:headEnd/>
          <a:tailEnd/>
        </a:ln>
      </xdr:spPr>
    </xdr:sp>
    <xdr:clientData/>
  </xdr:twoCellAnchor>
  <xdr:twoCellAnchor>
    <xdr:from>
      <xdr:col>31</xdr:col>
      <xdr:colOff>0</xdr:colOff>
      <xdr:row>49</xdr:row>
      <xdr:rowOff>0</xdr:rowOff>
    </xdr:from>
    <xdr:to>
      <xdr:col>31</xdr:col>
      <xdr:colOff>9525</xdr:colOff>
      <xdr:row>49</xdr:row>
      <xdr:rowOff>0</xdr:rowOff>
    </xdr:to>
    <xdr:sp macro="" textlink="">
      <xdr:nvSpPr>
        <xdr:cNvPr id="7" name="Line 19">
          <a:extLst>
            <a:ext uri="{FF2B5EF4-FFF2-40B4-BE49-F238E27FC236}">
              <a16:creationId xmlns:a16="http://schemas.microsoft.com/office/drawing/2014/main" id="{00000000-0008-0000-0000-000007000000}"/>
            </a:ext>
          </a:extLst>
        </xdr:cNvPr>
        <xdr:cNvSpPr>
          <a:spLocks noChangeShapeType="1"/>
        </xdr:cNvSpPr>
      </xdr:nvSpPr>
      <xdr:spPr bwMode="auto">
        <a:xfrm>
          <a:off x="15011400" y="116490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55</xdr:row>
      <xdr:rowOff>0</xdr:rowOff>
    </xdr:from>
    <xdr:to>
      <xdr:col>31</xdr:col>
      <xdr:colOff>0</xdr:colOff>
      <xdr:row>55</xdr:row>
      <xdr:rowOff>0</xdr:rowOff>
    </xdr:to>
    <xdr:sp macro="" textlink="">
      <xdr:nvSpPr>
        <xdr:cNvPr id="8" name="Line 20">
          <a:extLst>
            <a:ext uri="{FF2B5EF4-FFF2-40B4-BE49-F238E27FC236}">
              <a16:creationId xmlns:a16="http://schemas.microsoft.com/office/drawing/2014/main" id="{00000000-0008-0000-0000-000008000000}"/>
            </a:ext>
          </a:extLst>
        </xdr:cNvPr>
        <xdr:cNvSpPr>
          <a:spLocks noChangeShapeType="1"/>
        </xdr:cNvSpPr>
      </xdr:nvSpPr>
      <xdr:spPr bwMode="auto">
        <a:xfrm>
          <a:off x="15011400" y="12525375"/>
          <a:ext cx="0" cy="0"/>
        </a:xfrm>
        <a:prstGeom prst="line">
          <a:avLst/>
        </a:prstGeom>
        <a:noFill/>
        <a:ln w="9525">
          <a:solidFill>
            <a:srgbClr val="000000"/>
          </a:solidFill>
          <a:prstDash val="sysDot"/>
          <a:round/>
          <a:headEnd/>
          <a:tailEnd/>
        </a:ln>
      </xdr:spPr>
    </xdr:sp>
    <xdr:clientData/>
  </xdr:twoCellAnchor>
  <xdr:twoCellAnchor>
    <xdr:from>
      <xdr:col>31</xdr:col>
      <xdr:colOff>0</xdr:colOff>
      <xdr:row>56</xdr:row>
      <xdr:rowOff>0</xdr:rowOff>
    </xdr:from>
    <xdr:to>
      <xdr:col>31</xdr:col>
      <xdr:colOff>0</xdr:colOff>
      <xdr:row>56</xdr:row>
      <xdr:rowOff>0</xdr:rowOff>
    </xdr:to>
    <xdr:sp macro="" textlink="">
      <xdr:nvSpPr>
        <xdr:cNvPr id="9" name="Line 22">
          <a:extLst>
            <a:ext uri="{FF2B5EF4-FFF2-40B4-BE49-F238E27FC236}">
              <a16:creationId xmlns:a16="http://schemas.microsoft.com/office/drawing/2014/main" id="{00000000-0008-0000-0000-000009000000}"/>
            </a:ext>
          </a:extLst>
        </xdr:cNvPr>
        <xdr:cNvSpPr>
          <a:spLocks noChangeShapeType="1"/>
        </xdr:cNvSpPr>
      </xdr:nvSpPr>
      <xdr:spPr bwMode="auto">
        <a:xfrm>
          <a:off x="15011400" y="12744450"/>
          <a:ext cx="0" cy="0"/>
        </a:xfrm>
        <a:prstGeom prst="line">
          <a:avLst/>
        </a:prstGeom>
        <a:noFill/>
        <a:ln w="9525">
          <a:solidFill>
            <a:srgbClr val="000000"/>
          </a:solidFill>
          <a:prstDash val="sysDot"/>
          <a:round/>
          <a:headEnd/>
          <a:tailEnd/>
        </a:ln>
      </xdr:spPr>
    </xdr:sp>
    <xdr:clientData/>
  </xdr:twoCellAnchor>
  <xdr:twoCellAnchor>
    <xdr:from>
      <xdr:col>31</xdr:col>
      <xdr:colOff>0</xdr:colOff>
      <xdr:row>58</xdr:row>
      <xdr:rowOff>0</xdr:rowOff>
    </xdr:from>
    <xdr:to>
      <xdr:col>31</xdr:col>
      <xdr:colOff>0</xdr:colOff>
      <xdr:row>58</xdr:row>
      <xdr:rowOff>0</xdr:rowOff>
    </xdr:to>
    <xdr:sp macro="" textlink="">
      <xdr:nvSpPr>
        <xdr:cNvPr id="10" name="Line 23">
          <a:extLst>
            <a:ext uri="{FF2B5EF4-FFF2-40B4-BE49-F238E27FC236}">
              <a16:creationId xmlns:a16="http://schemas.microsoft.com/office/drawing/2014/main" id="{00000000-0008-0000-0000-00000A000000}"/>
            </a:ext>
          </a:extLst>
        </xdr:cNvPr>
        <xdr:cNvSpPr>
          <a:spLocks noChangeShapeType="1"/>
        </xdr:cNvSpPr>
      </xdr:nvSpPr>
      <xdr:spPr bwMode="auto">
        <a:xfrm>
          <a:off x="15011400" y="13182600"/>
          <a:ext cx="0" cy="0"/>
        </a:xfrm>
        <a:prstGeom prst="line">
          <a:avLst/>
        </a:prstGeom>
        <a:noFill/>
        <a:ln w="9525">
          <a:solidFill>
            <a:srgbClr val="000000"/>
          </a:solidFill>
          <a:prstDash val="sysDot"/>
          <a:round/>
          <a:headEnd/>
          <a:tailEnd/>
        </a:ln>
      </xdr:spPr>
    </xdr:sp>
    <xdr:clientData/>
  </xdr:twoCellAnchor>
  <xdr:twoCellAnchor>
    <xdr:from>
      <xdr:col>27</xdr:col>
      <xdr:colOff>9525</xdr:colOff>
      <xdr:row>56</xdr:row>
      <xdr:rowOff>0</xdr:rowOff>
    </xdr:from>
    <xdr:to>
      <xdr:col>30</xdr:col>
      <xdr:colOff>1285875</xdr:colOff>
      <xdr:row>56</xdr:row>
      <xdr:rowOff>0</xdr:rowOff>
    </xdr:to>
    <xdr:sp macro="" textlink="">
      <xdr:nvSpPr>
        <xdr:cNvPr id="11" name="Line 24">
          <a:extLst>
            <a:ext uri="{FF2B5EF4-FFF2-40B4-BE49-F238E27FC236}">
              <a16:creationId xmlns:a16="http://schemas.microsoft.com/office/drawing/2014/main" id="{00000000-0008-0000-0000-00000B000000}"/>
            </a:ext>
          </a:extLst>
        </xdr:cNvPr>
        <xdr:cNvSpPr>
          <a:spLocks noChangeShapeType="1"/>
        </xdr:cNvSpPr>
      </xdr:nvSpPr>
      <xdr:spPr bwMode="auto">
        <a:xfrm>
          <a:off x="11582400" y="1274445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42</xdr:row>
      <xdr:rowOff>0</xdr:rowOff>
    </xdr:from>
    <xdr:to>
      <xdr:col>29</xdr:col>
      <xdr:colOff>0</xdr:colOff>
      <xdr:row>42</xdr:row>
      <xdr:rowOff>0</xdr:rowOff>
    </xdr:to>
    <xdr:sp macro="" textlink="">
      <xdr:nvSpPr>
        <xdr:cNvPr id="12" name="Line 8">
          <a:extLst>
            <a:ext uri="{FF2B5EF4-FFF2-40B4-BE49-F238E27FC236}">
              <a16:creationId xmlns:a16="http://schemas.microsoft.com/office/drawing/2014/main" id="{00000000-0008-0000-0000-00000C000000}"/>
            </a:ext>
          </a:extLst>
        </xdr:cNvPr>
        <xdr:cNvSpPr>
          <a:spLocks noChangeShapeType="1"/>
        </xdr:cNvSpPr>
      </xdr:nvSpPr>
      <xdr:spPr bwMode="auto">
        <a:xfrm>
          <a:off x="12992100" y="10239375"/>
          <a:ext cx="0" cy="0"/>
        </a:xfrm>
        <a:prstGeom prst="line">
          <a:avLst/>
        </a:prstGeom>
        <a:noFill/>
        <a:ln w="9525">
          <a:solidFill>
            <a:srgbClr val="000000"/>
          </a:solidFill>
          <a:prstDash val="sysDot"/>
          <a:round/>
          <a:headEnd/>
          <a:tailEnd/>
        </a:ln>
      </xdr:spPr>
    </xdr:sp>
    <xdr:clientData/>
  </xdr:twoCellAnchor>
  <xdr:twoCellAnchor>
    <xdr:from>
      <xdr:col>29</xdr:col>
      <xdr:colOff>0</xdr:colOff>
      <xdr:row>44</xdr:row>
      <xdr:rowOff>0</xdr:rowOff>
    </xdr:from>
    <xdr:to>
      <xdr:col>29</xdr:col>
      <xdr:colOff>0</xdr:colOff>
      <xdr:row>44</xdr:row>
      <xdr:rowOff>0</xdr:rowOff>
    </xdr:to>
    <xdr:sp macro="" textlink="">
      <xdr:nvSpPr>
        <xdr:cNvPr id="13" name="Line 9">
          <a:extLst>
            <a:ext uri="{FF2B5EF4-FFF2-40B4-BE49-F238E27FC236}">
              <a16:creationId xmlns:a16="http://schemas.microsoft.com/office/drawing/2014/main" id="{00000000-0008-0000-0000-00000D000000}"/>
            </a:ext>
          </a:extLst>
        </xdr:cNvPr>
        <xdr:cNvSpPr>
          <a:spLocks noChangeShapeType="1"/>
        </xdr:cNvSpPr>
      </xdr:nvSpPr>
      <xdr:spPr bwMode="auto">
        <a:xfrm>
          <a:off x="12992100" y="10772775"/>
          <a:ext cx="0" cy="0"/>
        </a:xfrm>
        <a:prstGeom prst="line">
          <a:avLst/>
        </a:prstGeom>
        <a:noFill/>
        <a:ln w="9525">
          <a:solidFill>
            <a:srgbClr val="000000"/>
          </a:solidFill>
          <a:prstDash val="sysDot"/>
          <a:round/>
          <a:headEnd/>
          <a:tailEnd/>
        </a:ln>
      </xdr:spPr>
    </xdr:sp>
    <xdr:clientData/>
  </xdr:twoCellAnchor>
  <xdr:twoCellAnchor>
    <xdr:from>
      <xdr:col>29</xdr:col>
      <xdr:colOff>0</xdr:colOff>
      <xdr:row>47</xdr:row>
      <xdr:rowOff>0</xdr:rowOff>
    </xdr:from>
    <xdr:to>
      <xdr:col>29</xdr:col>
      <xdr:colOff>0</xdr:colOff>
      <xdr:row>47</xdr:row>
      <xdr:rowOff>0</xdr:rowOff>
    </xdr:to>
    <xdr:sp macro="" textlink="">
      <xdr:nvSpPr>
        <xdr:cNvPr id="14" name="Line 18">
          <a:extLst>
            <a:ext uri="{FF2B5EF4-FFF2-40B4-BE49-F238E27FC236}">
              <a16:creationId xmlns:a16="http://schemas.microsoft.com/office/drawing/2014/main" id="{00000000-0008-0000-0000-00000E000000}"/>
            </a:ext>
          </a:extLst>
        </xdr:cNvPr>
        <xdr:cNvSpPr>
          <a:spLocks noChangeShapeType="1"/>
        </xdr:cNvSpPr>
      </xdr:nvSpPr>
      <xdr:spPr bwMode="auto">
        <a:xfrm>
          <a:off x="12992100" y="11430000"/>
          <a:ext cx="0" cy="0"/>
        </a:xfrm>
        <a:prstGeom prst="line">
          <a:avLst/>
        </a:prstGeom>
        <a:noFill/>
        <a:ln w="9525">
          <a:solidFill>
            <a:srgbClr val="000000"/>
          </a:solidFill>
          <a:prstDash val="sysDot"/>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41</xdr:row>
      <xdr:rowOff>0</xdr:rowOff>
    </xdr:from>
    <xdr:to>
      <xdr:col>1</xdr:col>
      <xdr:colOff>1457325</xdr:colOff>
      <xdr:row>41</xdr:row>
      <xdr:rowOff>9525</xdr:rowOff>
    </xdr:to>
    <xdr:sp macro="" textlink="">
      <xdr:nvSpPr>
        <xdr:cNvPr id="2" name="Line 3">
          <a:extLst>
            <a:ext uri="{FF2B5EF4-FFF2-40B4-BE49-F238E27FC236}">
              <a16:creationId xmlns:a16="http://schemas.microsoft.com/office/drawing/2014/main" id="{00000000-0008-0000-0100-000002000000}"/>
            </a:ext>
          </a:extLst>
        </xdr:cNvPr>
        <xdr:cNvSpPr>
          <a:spLocks noChangeShapeType="1"/>
        </xdr:cNvSpPr>
      </xdr:nvSpPr>
      <xdr:spPr bwMode="auto">
        <a:xfrm>
          <a:off x="57150" y="1130617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41</xdr:row>
      <xdr:rowOff>0</xdr:rowOff>
    </xdr:from>
    <xdr:to>
      <xdr:col>4</xdr:col>
      <xdr:colOff>457200</xdr:colOff>
      <xdr:row>41</xdr:row>
      <xdr:rowOff>0</xdr:rowOff>
    </xdr:to>
    <xdr:sp macro="" textlink="">
      <xdr:nvSpPr>
        <xdr:cNvPr id="3" name="Line 4">
          <a:extLst>
            <a:ext uri="{FF2B5EF4-FFF2-40B4-BE49-F238E27FC236}">
              <a16:creationId xmlns:a16="http://schemas.microsoft.com/office/drawing/2014/main" id="{00000000-0008-0000-0100-000003000000}"/>
            </a:ext>
          </a:extLst>
        </xdr:cNvPr>
        <xdr:cNvSpPr>
          <a:spLocks noChangeShapeType="1"/>
        </xdr:cNvSpPr>
      </xdr:nvSpPr>
      <xdr:spPr bwMode="auto">
        <a:xfrm>
          <a:off x="2324100" y="11306175"/>
          <a:ext cx="1981200" cy="0"/>
        </a:xfrm>
        <a:prstGeom prst="line">
          <a:avLst/>
        </a:prstGeom>
        <a:noFill/>
        <a:ln w="9525">
          <a:solidFill>
            <a:srgbClr val="000000"/>
          </a:solidFill>
          <a:prstDash val="sysDot"/>
          <a:round/>
          <a:headEnd/>
          <a:tailEnd/>
        </a:ln>
      </xdr:spPr>
    </xdr:sp>
    <xdr:clientData/>
  </xdr:twoCellAnchor>
  <xdr:twoCellAnchor>
    <xdr:from>
      <xdr:col>0</xdr:col>
      <xdr:colOff>38100</xdr:colOff>
      <xdr:row>37</xdr:row>
      <xdr:rowOff>0</xdr:rowOff>
    </xdr:from>
    <xdr:to>
      <xdr:col>4</xdr:col>
      <xdr:colOff>19050</xdr:colOff>
      <xdr:row>37</xdr:row>
      <xdr:rowOff>0</xdr:rowOff>
    </xdr:to>
    <xdr:sp macro="" textlink="">
      <xdr:nvSpPr>
        <xdr:cNvPr id="4" name="Line 13">
          <a:extLst>
            <a:ext uri="{FF2B5EF4-FFF2-40B4-BE49-F238E27FC236}">
              <a16:creationId xmlns:a16="http://schemas.microsoft.com/office/drawing/2014/main" id="{00000000-0008-0000-0100-000004000000}"/>
            </a:ext>
          </a:extLst>
        </xdr:cNvPr>
        <xdr:cNvSpPr>
          <a:spLocks noChangeShapeType="1"/>
        </xdr:cNvSpPr>
      </xdr:nvSpPr>
      <xdr:spPr bwMode="auto">
        <a:xfrm>
          <a:off x="38100" y="10648950"/>
          <a:ext cx="3829050" cy="0"/>
        </a:xfrm>
        <a:prstGeom prst="line">
          <a:avLst/>
        </a:prstGeom>
        <a:noFill/>
        <a:ln w="9525">
          <a:solidFill>
            <a:srgbClr val="000000"/>
          </a:solidFill>
          <a:prstDash val="sysDot"/>
          <a:round/>
          <a:headEnd/>
          <a:tailEnd/>
        </a:ln>
      </xdr:spPr>
    </xdr:sp>
    <xdr:clientData/>
  </xdr:twoCellAnchor>
  <xdr:twoCellAnchor>
    <xdr:from>
      <xdr:col>2</xdr:col>
      <xdr:colOff>228600</xdr:colOff>
      <xdr:row>41</xdr:row>
      <xdr:rowOff>9525</xdr:rowOff>
    </xdr:from>
    <xdr:to>
      <xdr:col>4</xdr:col>
      <xdr:colOff>419100</xdr:colOff>
      <xdr:row>41</xdr:row>
      <xdr:rowOff>9525</xdr:rowOff>
    </xdr:to>
    <xdr:sp macro="" textlink="">
      <xdr:nvSpPr>
        <xdr:cNvPr id="5" name="Line 16">
          <a:extLst>
            <a:ext uri="{FF2B5EF4-FFF2-40B4-BE49-F238E27FC236}">
              <a16:creationId xmlns:a16="http://schemas.microsoft.com/office/drawing/2014/main" id="{00000000-0008-0000-0100-000005000000}"/>
            </a:ext>
          </a:extLst>
        </xdr:cNvPr>
        <xdr:cNvSpPr>
          <a:spLocks noChangeShapeType="1"/>
        </xdr:cNvSpPr>
      </xdr:nvSpPr>
      <xdr:spPr bwMode="auto">
        <a:xfrm>
          <a:off x="2286000" y="11315700"/>
          <a:ext cx="1981200" cy="0"/>
        </a:xfrm>
        <a:prstGeom prst="line">
          <a:avLst/>
        </a:prstGeom>
        <a:noFill/>
        <a:ln w="9525">
          <a:solidFill>
            <a:srgbClr val="000000"/>
          </a:solidFill>
          <a:prstDash val="sysDot"/>
          <a:round/>
          <a:headEnd/>
          <a:tailEnd/>
        </a:ln>
      </xdr:spPr>
    </xdr:sp>
    <xdr:clientData/>
  </xdr:twoCellAnchor>
  <xdr:twoCellAnchor>
    <xdr:from>
      <xdr:col>31</xdr:col>
      <xdr:colOff>0</xdr:colOff>
      <xdr:row>33</xdr:row>
      <xdr:rowOff>0</xdr:rowOff>
    </xdr:from>
    <xdr:to>
      <xdr:col>31</xdr:col>
      <xdr:colOff>0</xdr:colOff>
      <xdr:row>33</xdr:row>
      <xdr:rowOff>0</xdr:rowOff>
    </xdr:to>
    <xdr:sp macro="" textlink="">
      <xdr:nvSpPr>
        <xdr:cNvPr id="6" name="Line 17">
          <a:extLst>
            <a:ext uri="{FF2B5EF4-FFF2-40B4-BE49-F238E27FC236}">
              <a16:creationId xmlns:a16="http://schemas.microsoft.com/office/drawing/2014/main" id="{00000000-0008-0000-0100-000006000000}"/>
            </a:ext>
          </a:extLst>
        </xdr:cNvPr>
        <xdr:cNvSpPr>
          <a:spLocks noChangeShapeType="1"/>
        </xdr:cNvSpPr>
      </xdr:nvSpPr>
      <xdr:spPr bwMode="auto">
        <a:xfrm>
          <a:off x="15344775" y="10210800"/>
          <a:ext cx="0"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9525</xdr:colOff>
      <xdr:row>35</xdr:row>
      <xdr:rowOff>0</xdr:rowOff>
    </xdr:to>
    <xdr:sp macro="" textlink="">
      <xdr:nvSpPr>
        <xdr:cNvPr id="7" name="Line 19">
          <a:extLst>
            <a:ext uri="{FF2B5EF4-FFF2-40B4-BE49-F238E27FC236}">
              <a16:creationId xmlns:a16="http://schemas.microsoft.com/office/drawing/2014/main" id="{00000000-0008-0000-0100-000007000000}"/>
            </a:ext>
          </a:extLst>
        </xdr:cNvPr>
        <xdr:cNvSpPr>
          <a:spLocks noChangeShapeType="1"/>
        </xdr:cNvSpPr>
      </xdr:nvSpPr>
      <xdr:spPr bwMode="auto">
        <a:xfrm>
          <a:off x="15344775" y="104298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41</xdr:row>
      <xdr:rowOff>0</xdr:rowOff>
    </xdr:from>
    <xdr:to>
      <xdr:col>31</xdr:col>
      <xdr:colOff>0</xdr:colOff>
      <xdr:row>41</xdr:row>
      <xdr:rowOff>0</xdr:rowOff>
    </xdr:to>
    <xdr:sp macro="" textlink="">
      <xdr:nvSpPr>
        <xdr:cNvPr id="8" name="Line 20">
          <a:extLst>
            <a:ext uri="{FF2B5EF4-FFF2-40B4-BE49-F238E27FC236}">
              <a16:creationId xmlns:a16="http://schemas.microsoft.com/office/drawing/2014/main" id="{00000000-0008-0000-0100-000008000000}"/>
            </a:ext>
          </a:extLst>
        </xdr:cNvPr>
        <xdr:cNvSpPr>
          <a:spLocks noChangeShapeType="1"/>
        </xdr:cNvSpPr>
      </xdr:nvSpPr>
      <xdr:spPr bwMode="auto">
        <a:xfrm>
          <a:off x="15344775" y="11306175"/>
          <a:ext cx="0"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9" name="Line 22">
          <a:extLst>
            <a:ext uri="{FF2B5EF4-FFF2-40B4-BE49-F238E27FC236}">
              <a16:creationId xmlns:a16="http://schemas.microsoft.com/office/drawing/2014/main" id="{00000000-0008-0000-0100-000009000000}"/>
            </a:ext>
          </a:extLst>
        </xdr:cNvPr>
        <xdr:cNvSpPr>
          <a:spLocks noChangeShapeType="1"/>
        </xdr:cNvSpPr>
      </xdr:nvSpPr>
      <xdr:spPr bwMode="auto">
        <a:xfrm>
          <a:off x="15344775" y="11525250"/>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10" name="Line 23">
          <a:extLst>
            <a:ext uri="{FF2B5EF4-FFF2-40B4-BE49-F238E27FC236}">
              <a16:creationId xmlns:a16="http://schemas.microsoft.com/office/drawing/2014/main" id="{00000000-0008-0000-0100-00000A000000}"/>
            </a:ext>
          </a:extLst>
        </xdr:cNvPr>
        <xdr:cNvSpPr>
          <a:spLocks noChangeShapeType="1"/>
        </xdr:cNvSpPr>
      </xdr:nvSpPr>
      <xdr:spPr bwMode="auto">
        <a:xfrm>
          <a:off x="15344775" y="1196340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42</xdr:row>
      <xdr:rowOff>0</xdr:rowOff>
    </xdr:from>
    <xdr:to>
      <xdr:col>30</xdr:col>
      <xdr:colOff>1285875</xdr:colOff>
      <xdr:row>42</xdr:row>
      <xdr:rowOff>0</xdr:rowOff>
    </xdr:to>
    <xdr:sp macro="" textlink="">
      <xdr:nvSpPr>
        <xdr:cNvPr id="11" name="Line 24">
          <a:extLst>
            <a:ext uri="{FF2B5EF4-FFF2-40B4-BE49-F238E27FC236}">
              <a16:creationId xmlns:a16="http://schemas.microsoft.com/office/drawing/2014/main" id="{00000000-0008-0000-0100-00000B000000}"/>
            </a:ext>
          </a:extLst>
        </xdr:cNvPr>
        <xdr:cNvSpPr>
          <a:spLocks noChangeShapeType="1"/>
        </xdr:cNvSpPr>
      </xdr:nvSpPr>
      <xdr:spPr bwMode="auto">
        <a:xfrm>
          <a:off x="11439525" y="1152525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28</xdr:row>
      <xdr:rowOff>0</xdr:rowOff>
    </xdr:from>
    <xdr:to>
      <xdr:col>29</xdr:col>
      <xdr:colOff>0</xdr:colOff>
      <xdr:row>28</xdr:row>
      <xdr:rowOff>0</xdr:rowOff>
    </xdr:to>
    <xdr:sp macro="" textlink="">
      <xdr:nvSpPr>
        <xdr:cNvPr id="12" name="Line 8">
          <a:extLst>
            <a:ext uri="{FF2B5EF4-FFF2-40B4-BE49-F238E27FC236}">
              <a16:creationId xmlns:a16="http://schemas.microsoft.com/office/drawing/2014/main" id="{00000000-0008-0000-0100-00000C000000}"/>
            </a:ext>
          </a:extLst>
        </xdr:cNvPr>
        <xdr:cNvSpPr>
          <a:spLocks noChangeShapeType="1"/>
        </xdr:cNvSpPr>
      </xdr:nvSpPr>
      <xdr:spPr bwMode="auto">
        <a:xfrm>
          <a:off x="12849225" y="9020175"/>
          <a:ext cx="0"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3" name="Line 9">
          <a:extLst>
            <a:ext uri="{FF2B5EF4-FFF2-40B4-BE49-F238E27FC236}">
              <a16:creationId xmlns:a16="http://schemas.microsoft.com/office/drawing/2014/main" id="{00000000-0008-0000-0100-00000D000000}"/>
            </a:ext>
          </a:extLst>
        </xdr:cNvPr>
        <xdr:cNvSpPr>
          <a:spLocks noChangeShapeType="1"/>
        </xdr:cNvSpPr>
      </xdr:nvSpPr>
      <xdr:spPr bwMode="auto">
        <a:xfrm>
          <a:off x="12849225" y="9553575"/>
          <a:ext cx="0" cy="0"/>
        </a:xfrm>
        <a:prstGeom prst="line">
          <a:avLst/>
        </a:prstGeom>
        <a:noFill/>
        <a:ln w="9525">
          <a:solidFill>
            <a:srgbClr val="000000"/>
          </a:solidFill>
          <a:prstDash val="sysDot"/>
          <a:round/>
          <a:headEnd/>
          <a:tailEnd/>
        </a:ln>
      </xdr:spPr>
    </xdr:sp>
    <xdr:clientData/>
  </xdr:twoCellAnchor>
  <xdr:twoCellAnchor>
    <xdr:from>
      <xdr:col>29</xdr:col>
      <xdr:colOff>0</xdr:colOff>
      <xdr:row>33</xdr:row>
      <xdr:rowOff>0</xdr:rowOff>
    </xdr:from>
    <xdr:to>
      <xdr:col>29</xdr:col>
      <xdr:colOff>0</xdr:colOff>
      <xdr:row>33</xdr:row>
      <xdr:rowOff>0</xdr:rowOff>
    </xdr:to>
    <xdr:sp macro="" textlink="">
      <xdr:nvSpPr>
        <xdr:cNvPr id="14" name="Line 18">
          <a:extLst>
            <a:ext uri="{FF2B5EF4-FFF2-40B4-BE49-F238E27FC236}">
              <a16:creationId xmlns:a16="http://schemas.microsoft.com/office/drawing/2014/main" id="{00000000-0008-0000-0100-00000E000000}"/>
            </a:ext>
          </a:extLst>
        </xdr:cNvPr>
        <xdr:cNvSpPr>
          <a:spLocks noChangeShapeType="1"/>
        </xdr:cNvSpPr>
      </xdr:nvSpPr>
      <xdr:spPr bwMode="auto">
        <a:xfrm>
          <a:off x="12849225" y="10210800"/>
          <a:ext cx="0" cy="0"/>
        </a:xfrm>
        <a:prstGeom prst="line">
          <a:avLst/>
        </a:prstGeom>
        <a:noFill/>
        <a:ln w="9525">
          <a:solidFill>
            <a:srgbClr val="000000"/>
          </a:solidFill>
          <a:prstDash val="sysDot"/>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57</xdr:row>
      <xdr:rowOff>0</xdr:rowOff>
    </xdr:from>
    <xdr:to>
      <xdr:col>1</xdr:col>
      <xdr:colOff>1457325</xdr:colOff>
      <xdr:row>57</xdr:row>
      <xdr:rowOff>9525</xdr:rowOff>
    </xdr:to>
    <xdr:sp macro="" textlink="">
      <xdr:nvSpPr>
        <xdr:cNvPr id="2" name="Line 3">
          <a:extLst>
            <a:ext uri="{FF2B5EF4-FFF2-40B4-BE49-F238E27FC236}">
              <a16:creationId xmlns:a16="http://schemas.microsoft.com/office/drawing/2014/main" id="{00000000-0008-0000-0200-000002000000}"/>
            </a:ext>
          </a:extLst>
        </xdr:cNvPr>
        <xdr:cNvSpPr>
          <a:spLocks noChangeShapeType="1"/>
        </xdr:cNvSpPr>
      </xdr:nvSpPr>
      <xdr:spPr bwMode="auto">
        <a:xfrm>
          <a:off x="57150" y="1073467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57</xdr:row>
      <xdr:rowOff>0</xdr:rowOff>
    </xdr:from>
    <xdr:to>
      <xdr:col>4</xdr:col>
      <xdr:colOff>457200</xdr:colOff>
      <xdr:row>57</xdr:row>
      <xdr:rowOff>0</xdr:rowOff>
    </xdr:to>
    <xdr:sp macro="" textlink="">
      <xdr:nvSpPr>
        <xdr:cNvPr id="3" name="Line 4">
          <a:extLst>
            <a:ext uri="{FF2B5EF4-FFF2-40B4-BE49-F238E27FC236}">
              <a16:creationId xmlns:a16="http://schemas.microsoft.com/office/drawing/2014/main" id="{00000000-0008-0000-0200-000003000000}"/>
            </a:ext>
          </a:extLst>
        </xdr:cNvPr>
        <xdr:cNvSpPr>
          <a:spLocks noChangeShapeType="1"/>
        </xdr:cNvSpPr>
      </xdr:nvSpPr>
      <xdr:spPr bwMode="auto">
        <a:xfrm>
          <a:off x="2324100" y="1073467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53</xdr:row>
      <xdr:rowOff>0</xdr:rowOff>
    </xdr:from>
    <xdr:to>
      <xdr:col>4</xdr:col>
      <xdr:colOff>19050</xdr:colOff>
      <xdr:row>53</xdr:row>
      <xdr:rowOff>0</xdr:rowOff>
    </xdr:to>
    <xdr:sp macro="" textlink="">
      <xdr:nvSpPr>
        <xdr:cNvPr id="4" name="Line 13">
          <a:extLst>
            <a:ext uri="{FF2B5EF4-FFF2-40B4-BE49-F238E27FC236}">
              <a16:creationId xmlns:a16="http://schemas.microsoft.com/office/drawing/2014/main" id="{00000000-0008-0000-0200-000004000000}"/>
            </a:ext>
          </a:extLst>
        </xdr:cNvPr>
        <xdr:cNvSpPr>
          <a:spLocks noChangeShapeType="1"/>
        </xdr:cNvSpPr>
      </xdr:nvSpPr>
      <xdr:spPr bwMode="auto">
        <a:xfrm>
          <a:off x="38100" y="10077450"/>
          <a:ext cx="3952875" cy="0"/>
        </a:xfrm>
        <a:prstGeom prst="line">
          <a:avLst/>
        </a:prstGeom>
        <a:noFill/>
        <a:ln w="9525">
          <a:solidFill>
            <a:srgbClr val="000000"/>
          </a:solidFill>
          <a:prstDash val="sysDot"/>
          <a:round/>
          <a:headEnd/>
          <a:tailEnd/>
        </a:ln>
      </xdr:spPr>
    </xdr:sp>
    <xdr:clientData/>
  </xdr:twoCellAnchor>
  <xdr:twoCellAnchor>
    <xdr:from>
      <xdr:col>2</xdr:col>
      <xdr:colOff>228600</xdr:colOff>
      <xdr:row>57</xdr:row>
      <xdr:rowOff>9525</xdr:rowOff>
    </xdr:from>
    <xdr:to>
      <xdr:col>4</xdr:col>
      <xdr:colOff>419100</xdr:colOff>
      <xdr:row>57</xdr:row>
      <xdr:rowOff>9525</xdr:rowOff>
    </xdr:to>
    <xdr:sp macro="" textlink="">
      <xdr:nvSpPr>
        <xdr:cNvPr id="5" name="Line 16">
          <a:extLst>
            <a:ext uri="{FF2B5EF4-FFF2-40B4-BE49-F238E27FC236}">
              <a16:creationId xmlns:a16="http://schemas.microsoft.com/office/drawing/2014/main" id="{00000000-0008-0000-0200-000005000000}"/>
            </a:ext>
          </a:extLst>
        </xdr:cNvPr>
        <xdr:cNvSpPr>
          <a:spLocks noChangeShapeType="1"/>
        </xdr:cNvSpPr>
      </xdr:nvSpPr>
      <xdr:spPr bwMode="auto">
        <a:xfrm>
          <a:off x="2286000" y="1074420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49</xdr:row>
      <xdr:rowOff>0</xdr:rowOff>
    </xdr:from>
    <xdr:to>
      <xdr:col>31</xdr:col>
      <xdr:colOff>0</xdr:colOff>
      <xdr:row>49</xdr:row>
      <xdr:rowOff>0</xdr:rowOff>
    </xdr:to>
    <xdr:sp macro="" textlink="">
      <xdr:nvSpPr>
        <xdr:cNvPr id="6" name="Line 17">
          <a:extLst>
            <a:ext uri="{FF2B5EF4-FFF2-40B4-BE49-F238E27FC236}">
              <a16:creationId xmlns:a16="http://schemas.microsoft.com/office/drawing/2014/main" id="{00000000-0008-0000-0200-000006000000}"/>
            </a:ext>
          </a:extLst>
        </xdr:cNvPr>
        <xdr:cNvSpPr>
          <a:spLocks noChangeShapeType="1"/>
        </xdr:cNvSpPr>
      </xdr:nvSpPr>
      <xdr:spPr bwMode="auto">
        <a:xfrm>
          <a:off x="15401925" y="9639300"/>
          <a:ext cx="0" cy="0"/>
        </a:xfrm>
        <a:prstGeom prst="line">
          <a:avLst/>
        </a:prstGeom>
        <a:noFill/>
        <a:ln w="9525">
          <a:solidFill>
            <a:srgbClr val="000000"/>
          </a:solidFill>
          <a:prstDash val="sysDot"/>
          <a:round/>
          <a:headEnd/>
          <a:tailEnd/>
        </a:ln>
      </xdr:spPr>
    </xdr:sp>
    <xdr:clientData/>
  </xdr:twoCellAnchor>
  <xdr:twoCellAnchor>
    <xdr:from>
      <xdr:col>31</xdr:col>
      <xdr:colOff>0</xdr:colOff>
      <xdr:row>51</xdr:row>
      <xdr:rowOff>0</xdr:rowOff>
    </xdr:from>
    <xdr:to>
      <xdr:col>31</xdr:col>
      <xdr:colOff>9525</xdr:colOff>
      <xdr:row>51</xdr:row>
      <xdr:rowOff>0</xdr:rowOff>
    </xdr:to>
    <xdr:sp macro="" textlink="">
      <xdr:nvSpPr>
        <xdr:cNvPr id="7" name="Line 19">
          <a:extLst>
            <a:ext uri="{FF2B5EF4-FFF2-40B4-BE49-F238E27FC236}">
              <a16:creationId xmlns:a16="http://schemas.microsoft.com/office/drawing/2014/main" id="{00000000-0008-0000-0200-000007000000}"/>
            </a:ext>
          </a:extLst>
        </xdr:cNvPr>
        <xdr:cNvSpPr>
          <a:spLocks noChangeShapeType="1"/>
        </xdr:cNvSpPr>
      </xdr:nvSpPr>
      <xdr:spPr bwMode="auto">
        <a:xfrm>
          <a:off x="15401925" y="98583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57</xdr:row>
      <xdr:rowOff>0</xdr:rowOff>
    </xdr:from>
    <xdr:to>
      <xdr:col>31</xdr:col>
      <xdr:colOff>0</xdr:colOff>
      <xdr:row>57</xdr:row>
      <xdr:rowOff>0</xdr:rowOff>
    </xdr:to>
    <xdr:sp macro="" textlink="">
      <xdr:nvSpPr>
        <xdr:cNvPr id="8" name="Line 20">
          <a:extLst>
            <a:ext uri="{FF2B5EF4-FFF2-40B4-BE49-F238E27FC236}">
              <a16:creationId xmlns:a16="http://schemas.microsoft.com/office/drawing/2014/main" id="{00000000-0008-0000-0200-000008000000}"/>
            </a:ext>
          </a:extLst>
        </xdr:cNvPr>
        <xdr:cNvSpPr>
          <a:spLocks noChangeShapeType="1"/>
        </xdr:cNvSpPr>
      </xdr:nvSpPr>
      <xdr:spPr bwMode="auto">
        <a:xfrm>
          <a:off x="15401925" y="10734675"/>
          <a:ext cx="0" cy="0"/>
        </a:xfrm>
        <a:prstGeom prst="line">
          <a:avLst/>
        </a:prstGeom>
        <a:noFill/>
        <a:ln w="9525">
          <a:solidFill>
            <a:srgbClr val="000000"/>
          </a:solidFill>
          <a:prstDash val="sysDot"/>
          <a:round/>
          <a:headEnd/>
          <a:tailEnd/>
        </a:ln>
      </xdr:spPr>
    </xdr:sp>
    <xdr:clientData/>
  </xdr:twoCellAnchor>
  <xdr:twoCellAnchor>
    <xdr:from>
      <xdr:col>31</xdr:col>
      <xdr:colOff>0</xdr:colOff>
      <xdr:row>58</xdr:row>
      <xdr:rowOff>0</xdr:rowOff>
    </xdr:from>
    <xdr:to>
      <xdr:col>31</xdr:col>
      <xdr:colOff>0</xdr:colOff>
      <xdr:row>58</xdr:row>
      <xdr:rowOff>0</xdr:rowOff>
    </xdr:to>
    <xdr:sp macro="" textlink="">
      <xdr:nvSpPr>
        <xdr:cNvPr id="9" name="Line 22">
          <a:extLst>
            <a:ext uri="{FF2B5EF4-FFF2-40B4-BE49-F238E27FC236}">
              <a16:creationId xmlns:a16="http://schemas.microsoft.com/office/drawing/2014/main" id="{00000000-0008-0000-0200-000009000000}"/>
            </a:ext>
          </a:extLst>
        </xdr:cNvPr>
        <xdr:cNvSpPr>
          <a:spLocks noChangeShapeType="1"/>
        </xdr:cNvSpPr>
      </xdr:nvSpPr>
      <xdr:spPr bwMode="auto">
        <a:xfrm>
          <a:off x="15401925" y="10953750"/>
          <a:ext cx="0" cy="0"/>
        </a:xfrm>
        <a:prstGeom prst="line">
          <a:avLst/>
        </a:prstGeom>
        <a:noFill/>
        <a:ln w="9525">
          <a:solidFill>
            <a:srgbClr val="000000"/>
          </a:solidFill>
          <a:prstDash val="sysDot"/>
          <a:round/>
          <a:headEnd/>
          <a:tailEnd/>
        </a:ln>
      </xdr:spPr>
    </xdr:sp>
    <xdr:clientData/>
  </xdr:twoCellAnchor>
  <xdr:twoCellAnchor>
    <xdr:from>
      <xdr:col>31</xdr:col>
      <xdr:colOff>0</xdr:colOff>
      <xdr:row>60</xdr:row>
      <xdr:rowOff>0</xdr:rowOff>
    </xdr:from>
    <xdr:to>
      <xdr:col>31</xdr:col>
      <xdr:colOff>0</xdr:colOff>
      <xdr:row>60</xdr:row>
      <xdr:rowOff>0</xdr:rowOff>
    </xdr:to>
    <xdr:sp macro="" textlink="">
      <xdr:nvSpPr>
        <xdr:cNvPr id="10" name="Line 23">
          <a:extLst>
            <a:ext uri="{FF2B5EF4-FFF2-40B4-BE49-F238E27FC236}">
              <a16:creationId xmlns:a16="http://schemas.microsoft.com/office/drawing/2014/main" id="{00000000-0008-0000-0200-00000A000000}"/>
            </a:ext>
          </a:extLst>
        </xdr:cNvPr>
        <xdr:cNvSpPr>
          <a:spLocks noChangeShapeType="1"/>
        </xdr:cNvSpPr>
      </xdr:nvSpPr>
      <xdr:spPr bwMode="auto">
        <a:xfrm>
          <a:off x="15401925" y="11391900"/>
          <a:ext cx="0" cy="0"/>
        </a:xfrm>
        <a:prstGeom prst="line">
          <a:avLst/>
        </a:prstGeom>
        <a:noFill/>
        <a:ln w="9525">
          <a:solidFill>
            <a:srgbClr val="000000"/>
          </a:solidFill>
          <a:prstDash val="sysDot"/>
          <a:round/>
          <a:headEnd/>
          <a:tailEnd/>
        </a:ln>
      </xdr:spPr>
    </xdr:sp>
    <xdr:clientData/>
  </xdr:twoCellAnchor>
  <xdr:twoCellAnchor>
    <xdr:from>
      <xdr:col>27</xdr:col>
      <xdr:colOff>9525</xdr:colOff>
      <xdr:row>58</xdr:row>
      <xdr:rowOff>0</xdr:rowOff>
    </xdr:from>
    <xdr:to>
      <xdr:col>30</xdr:col>
      <xdr:colOff>1285875</xdr:colOff>
      <xdr:row>58</xdr:row>
      <xdr:rowOff>0</xdr:rowOff>
    </xdr:to>
    <xdr:sp macro="" textlink="">
      <xdr:nvSpPr>
        <xdr:cNvPr id="11" name="Line 24">
          <a:extLst>
            <a:ext uri="{FF2B5EF4-FFF2-40B4-BE49-F238E27FC236}">
              <a16:creationId xmlns:a16="http://schemas.microsoft.com/office/drawing/2014/main" id="{00000000-0008-0000-0200-00000B000000}"/>
            </a:ext>
          </a:extLst>
        </xdr:cNvPr>
        <xdr:cNvSpPr>
          <a:spLocks noChangeShapeType="1"/>
        </xdr:cNvSpPr>
      </xdr:nvSpPr>
      <xdr:spPr bwMode="auto">
        <a:xfrm>
          <a:off x="11972925" y="1095375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44</xdr:row>
      <xdr:rowOff>0</xdr:rowOff>
    </xdr:from>
    <xdr:to>
      <xdr:col>29</xdr:col>
      <xdr:colOff>0</xdr:colOff>
      <xdr:row>44</xdr:row>
      <xdr:rowOff>0</xdr:rowOff>
    </xdr:to>
    <xdr:sp macro="" textlink="">
      <xdr:nvSpPr>
        <xdr:cNvPr id="12" name="Line 8">
          <a:extLst>
            <a:ext uri="{FF2B5EF4-FFF2-40B4-BE49-F238E27FC236}">
              <a16:creationId xmlns:a16="http://schemas.microsoft.com/office/drawing/2014/main" id="{00000000-0008-0000-0200-00000C000000}"/>
            </a:ext>
          </a:extLst>
        </xdr:cNvPr>
        <xdr:cNvSpPr>
          <a:spLocks noChangeShapeType="1"/>
        </xdr:cNvSpPr>
      </xdr:nvSpPr>
      <xdr:spPr bwMode="auto">
        <a:xfrm>
          <a:off x="13382625" y="8448675"/>
          <a:ext cx="0" cy="0"/>
        </a:xfrm>
        <a:prstGeom prst="line">
          <a:avLst/>
        </a:prstGeom>
        <a:noFill/>
        <a:ln w="9525">
          <a:solidFill>
            <a:srgbClr val="000000"/>
          </a:solidFill>
          <a:prstDash val="sysDot"/>
          <a:round/>
          <a:headEnd/>
          <a:tailEnd/>
        </a:ln>
      </xdr:spPr>
    </xdr:sp>
    <xdr:clientData/>
  </xdr:twoCellAnchor>
  <xdr:twoCellAnchor>
    <xdr:from>
      <xdr:col>29</xdr:col>
      <xdr:colOff>0</xdr:colOff>
      <xdr:row>46</xdr:row>
      <xdr:rowOff>0</xdr:rowOff>
    </xdr:from>
    <xdr:to>
      <xdr:col>29</xdr:col>
      <xdr:colOff>0</xdr:colOff>
      <xdr:row>46</xdr:row>
      <xdr:rowOff>0</xdr:rowOff>
    </xdr:to>
    <xdr:sp macro="" textlink="">
      <xdr:nvSpPr>
        <xdr:cNvPr id="13" name="Line 9">
          <a:extLst>
            <a:ext uri="{FF2B5EF4-FFF2-40B4-BE49-F238E27FC236}">
              <a16:creationId xmlns:a16="http://schemas.microsoft.com/office/drawing/2014/main" id="{00000000-0008-0000-0200-00000D000000}"/>
            </a:ext>
          </a:extLst>
        </xdr:cNvPr>
        <xdr:cNvSpPr>
          <a:spLocks noChangeShapeType="1"/>
        </xdr:cNvSpPr>
      </xdr:nvSpPr>
      <xdr:spPr bwMode="auto">
        <a:xfrm>
          <a:off x="13382625" y="8982075"/>
          <a:ext cx="0" cy="0"/>
        </a:xfrm>
        <a:prstGeom prst="line">
          <a:avLst/>
        </a:prstGeom>
        <a:noFill/>
        <a:ln w="9525">
          <a:solidFill>
            <a:srgbClr val="000000"/>
          </a:solidFill>
          <a:prstDash val="sysDot"/>
          <a:round/>
          <a:headEnd/>
          <a:tailEnd/>
        </a:ln>
      </xdr:spPr>
    </xdr:sp>
    <xdr:clientData/>
  </xdr:twoCellAnchor>
  <xdr:twoCellAnchor>
    <xdr:from>
      <xdr:col>29</xdr:col>
      <xdr:colOff>0</xdr:colOff>
      <xdr:row>49</xdr:row>
      <xdr:rowOff>0</xdr:rowOff>
    </xdr:from>
    <xdr:to>
      <xdr:col>29</xdr:col>
      <xdr:colOff>0</xdr:colOff>
      <xdr:row>49</xdr:row>
      <xdr:rowOff>0</xdr:rowOff>
    </xdr:to>
    <xdr:sp macro="" textlink="">
      <xdr:nvSpPr>
        <xdr:cNvPr id="14" name="Line 18">
          <a:extLst>
            <a:ext uri="{FF2B5EF4-FFF2-40B4-BE49-F238E27FC236}">
              <a16:creationId xmlns:a16="http://schemas.microsoft.com/office/drawing/2014/main" id="{00000000-0008-0000-0200-00000E000000}"/>
            </a:ext>
          </a:extLst>
        </xdr:cNvPr>
        <xdr:cNvSpPr>
          <a:spLocks noChangeShapeType="1"/>
        </xdr:cNvSpPr>
      </xdr:nvSpPr>
      <xdr:spPr bwMode="auto">
        <a:xfrm>
          <a:off x="13382625" y="9639300"/>
          <a:ext cx="0" cy="0"/>
        </a:xfrm>
        <a:prstGeom prst="line">
          <a:avLst/>
        </a:prstGeom>
        <a:noFill/>
        <a:ln w="9525">
          <a:solidFill>
            <a:srgbClr val="000000"/>
          </a:solidFill>
          <a:prstDash val="sysDot"/>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43</xdr:row>
      <xdr:rowOff>0</xdr:rowOff>
    </xdr:from>
    <xdr:to>
      <xdr:col>1</xdr:col>
      <xdr:colOff>1457325</xdr:colOff>
      <xdr:row>43</xdr:row>
      <xdr:rowOff>9525</xdr:rowOff>
    </xdr:to>
    <xdr:sp macro="" textlink="">
      <xdr:nvSpPr>
        <xdr:cNvPr id="2" name="Line 3">
          <a:extLst>
            <a:ext uri="{FF2B5EF4-FFF2-40B4-BE49-F238E27FC236}">
              <a16:creationId xmlns:a16="http://schemas.microsoft.com/office/drawing/2014/main" id="{00000000-0008-0000-0300-000002000000}"/>
            </a:ext>
          </a:extLst>
        </xdr:cNvPr>
        <xdr:cNvSpPr>
          <a:spLocks noChangeShapeType="1"/>
        </xdr:cNvSpPr>
      </xdr:nvSpPr>
      <xdr:spPr bwMode="auto">
        <a:xfrm>
          <a:off x="57150" y="1054417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43</xdr:row>
      <xdr:rowOff>0</xdr:rowOff>
    </xdr:from>
    <xdr:to>
      <xdr:col>4</xdr:col>
      <xdr:colOff>457200</xdr:colOff>
      <xdr:row>43</xdr:row>
      <xdr:rowOff>0</xdr:rowOff>
    </xdr:to>
    <xdr:sp macro="" textlink="">
      <xdr:nvSpPr>
        <xdr:cNvPr id="3" name="Line 4">
          <a:extLst>
            <a:ext uri="{FF2B5EF4-FFF2-40B4-BE49-F238E27FC236}">
              <a16:creationId xmlns:a16="http://schemas.microsoft.com/office/drawing/2014/main" id="{00000000-0008-0000-0300-000003000000}"/>
            </a:ext>
          </a:extLst>
        </xdr:cNvPr>
        <xdr:cNvSpPr>
          <a:spLocks noChangeShapeType="1"/>
        </xdr:cNvSpPr>
      </xdr:nvSpPr>
      <xdr:spPr bwMode="auto">
        <a:xfrm>
          <a:off x="2419350" y="1054417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39</xdr:row>
      <xdr:rowOff>0</xdr:rowOff>
    </xdr:from>
    <xdr:to>
      <xdr:col>4</xdr:col>
      <xdr:colOff>19050</xdr:colOff>
      <xdr:row>39</xdr:row>
      <xdr:rowOff>0</xdr:rowOff>
    </xdr:to>
    <xdr:sp macro="" textlink="">
      <xdr:nvSpPr>
        <xdr:cNvPr id="4" name="Line 13">
          <a:extLst>
            <a:ext uri="{FF2B5EF4-FFF2-40B4-BE49-F238E27FC236}">
              <a16:creationId xmlns:a16="http://schemas.microsoft.com/office/drawing/2014/main" id="{00000000-0008-0000-0300-000004000000}"/>
            </a:ext>
          </a:extLst>
        </xdr:cNvPr>
        <xdr:cNvSpPr>
          <a:spLocks noChangeShapeType="1"/>
        </xdr:cNvSpPr>
      </xdr:nvSpPr>
      <xdr:spPr bwMode="auto">
        <a:xfrm>
          <a:off x="38100" y="9886950"/>
          <a:ext cx="4048125" cy="0"/>
        </a:xfrm>
        <a:prstGeom prst="line">
          <a:avLst/>
        </a:prstGeom>
        <a:noFill/>
        <a:ln w="9525">
          <a:solidFill>
            <a:srgbClr val="000000"/>
          </a:solidFill>
          <a:prstDash val="sysDot"/>
          <a:round/>
          <a:headEnd/>
          <a:tailEnd/>
        </a:ln>
      </xdr:spPr>
    </xdr:sp>
    <xdr:clientData/>
  </xdr:twoCellAnchor>
  <xdr:twoCellAnchor>
    <xdr:from>
      <xdr:col>2</xdr:col>
      <xdr:colOff>228600</xdr:colOff>
      <xdr:row>43</xdr:row>
      <xdr:rowOff>9525</xdr:rowOff>
    </xdr:from>
    <xdr:to>
      <xdr:col>4</xdr:col>
      <xdr:colOff>419100</xdr:colOff>
      <xdr:row>43</xdr:row>
      <xdr:rowOff>9525</xdr:rowOff>
    </xdr:to>
    <xdr:sp macro="" textlink="">
      <xdr:nvSpPr>
        <xdr:cNvPr id="5" name="Line 16">
          <a:extLst>
            <a:ext uri="{FF2B5EF4-FFF2-40B4-BE49-F238E27FC236}">
              <a16:creationId xmlns:a16="http://schemas.microsoft.com/office/drawing/2014/main" id="{00000000-0008-0000-0300-000005000000}"/>
            </a:ext>
          </a:extLst>
        </xdr:cNvPr>
        <xdr:cNvSpPr>
          <a:spLocks noChangeShapeType="1"/>
        </xdr:cNvSpPr>
      </xdr:nvSpPr>
      <xdr:spPr bwMode="auto">
        <a:xfrm>
          <a:off x="2381250" y="1055370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0</xdr:colOff>
      <xdr:row>35</xdr:row>
      <xdr:rowOff>0</xdr:rowOff>
    </xdr:to>
    <xdr:sp macro="" textlink="">
      <xdr:nvSpPr>
        <xdr:cNvPr id="6" name="Line 17">
          <a:extLst>
            <a:ext uri="{FF2B5EF4-FFF2-40B4-BE49-F238E27FC236}">
              <a16:creationId xmlns:a16="http://schemas.microsoft.com/office/drawing/2014/main" id="{00000000-0008-0000-0300-000006000000}"/>
            </a:ext>
          </a:extLst>
        </xdr:cNvPr>
        <xdr:cNvSpPr>
          <a:spLocks noChangeShapeType="1"/>
        </xdr:cNvSpPr>
      </xdr:nvSpPr>
      <xdr:spPr bwMode="auto">
        <a:xfrm>
          <a:off x="15649575" y="9229725"/>
          <a:ext cx="0" cy="0"/>
        </a:xfrm>
        <a:prstGeom prst="line">
          <a:avLst/>
        </a:prstGeom>
        <a:noFill/>
        <a:ln w="9525">
          <a:solidFill>
            <a:srgbClr val="000000"/>
          </a:solidFill>
          <a:prstDash val="sysDot"/>
          <a:round/>
          <a:headEnd/>
          <a:tailEnd/>
        </a:ln>
      </xdr:spPr>
    </xdr:sp>
    <xdr:clientData/>
  </xdr:twoCellAnchor>
  <xdr:twoCellAnchor>
    <xdr:from>
      <xdr:col>31</xdr:col>
      <xdr:colOff>0</xdr:colOff>
      <xdr:row>37</xdr:row>
      <xdr:rowOff>0</xdr:rowOff>
    </xdr:from>
    <xdr:to>
      <xdr:col>31</xdr:col>
      <xdr:colOff>9525</xdr:colOff>
      <xdr:row>37</xdr:row>
      <xdr:rowOff>0</xdr:rowOff>
    </xdr:to>
    <xdr:sp macro="" textlink="">
      <xdr:nvSpPr>
        <xdr:cNvPr id="7" name="Line 19">
          <a:extLst>
            <a:ext uri="{FF2B5EF4-FFF2-40B4-BE49-F238E27FC236}">
              <a16:creationId xmlns:a16="http://schemas.microsoft.com/office/drawing/2014/main" id="{00000000-0008-0000-0300-000007000000}"/>
            </a:ext>
          </a:extLst>
        </xdr:cNvPr>
        <xdr:cNvSpPr>
          <a:spLocks noChangeShapeType="1"/>
        </xdr:cNvSpPr>
      </xdr:nvSpPr>
      <xdr:spPr bwMode="auto">
        <a:xfrm>
          <a:off x="15649575" y="96678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43</xdr:row>
      <xdr:rowOff>0</xdr:rowOff>
    </xdr:from>
    <xdr:to>
      <xdr:col>31</xdr:col>
      <xdr:colOff>0</xdr:colOff>
      <xdr:row>43</xdr:row>
      <xdr:rowOff>0</xdr:rowOff>
    </xdr:to>
    <xdr:sp macro="" textlink="">
      <xdr:nvSpPr>
        <xdr:cNvPr id="8" name="Line 20">
          <a:extLst>
            <a:ext uri="{FF2B5EF4-FFF2-40B4-BE49-F238E27FC236}">
              <a16:creationId xmlns:a16="http://schemas.microsoft.com/office/drawing/2014/main" id="{00000000-0008-0000-0300-000008000000}"/>
            </a:ext>
          </a:extLst>
        </xdr:cNvPr>
        <xdr:cNvSpPr>
          <a:spLocks noChangeShapeType="1"/>
        </xdr:cNvSpPr>
      </xdr:nvSpPr>
      <xdr:spPr bwMode="auto">
        <a:xfrm>
          <a:off x="15649575" y="10544175"/>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9" name="Line 22">
          <a:extLst>
            <a:ext uri="{FF2B5EF4-FFF2-40B4-BE49-F238E27FC236}">
              <a16:creationId xmlns:a16="http://schemas.microsoft.com/office/drawing/2014/main" id="{00000000-0008-0000-0300-000009000000}"/>
            </a:ext>
          </a:extLst>
        </xdr:cNvPr>
        <xdr:cNvSpPr>
          <a:spLocks noChangeShapeType="1"/>
        </xdr:cNvSpPr>
      </xdr:nvSpPr>
      <xdr:spPr bwMode="auto">
        <a:xfrm>
          <a:off x="15649575" y="10763250"/>
          <a:ext cx="0" cy="0"/>
        </a:xfrm>
        <a:prstGeom prst="line">
          <a:avLst/>
        </a:prstGeom>
        <a:noFill/>
        <a:ln w="9525">
          <a:solidFill>
            <a:srgbClr val="000000"/>
          </a:solidFill>
          <a:prstDash val="sysDot"/>
          <a:round/>
          <a:headEnd/>
          <a:tailEnd/>
        </a:ln>
      </xdr:spPr>
    </xdr:sp>
    <xdr:clientData/>
  </xdr:twoCellAnchor>
  <xdr:twoCellAnchor>
    <xdr:from>
      <xdr:col>31</xdr:col>
      <xdr:colOff>0</xdr:colOff>
      <xdr:row>46</xdr:row>
      <xdr:rowOff>0</xdr:rowOff>
    </xdr:from>
    <xdr:to>
      <xdr:col>31</xdr:col>
      <xdr:colOff>0</xdr:colOff>
      <xdr:row>46</xdr:row>
      <xdr:rowOff>0</xdr:rowOff>
    </xdr:to>
    <xdr:sp macro="" textlink="">
      <xdr:nvSpPr>
        <xdr:cNvPr id="10" name="Line 23">
          <a:extLst>
            <a:ext uri="{FF2B5EF4-FFF2-40B4-BE49-F238E27FC236}">
              <a16:creationId xmlns:a16="http://schemas.microsoft.com/office/drawing/2014/main" id="{00000000-0008-0000-0300-00000A000000}"/>
            </a:ext>
          </a:extLst>
        </xdr:cNvPr>
        <xdr:cNvSpPr>
          <a:spLocks noChangeShapeType="1"/>
        </xdr:cNvSpPr>
      </xdr:nvSpPr>
      <xdr:spPr bwMode="auto">
        <a:xfrm>
          <a:off x="15649575" y="1120140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44</xdr:row>
      <xdr:rowOff>0</xdr:rowOff>
    </xdr:from>
    <xdr:to>
      <xdr:col>30</xdr:col>
      <xdr:colOff>1285875</xdr:colOff>
      <xdr:row>44</xdr:row>
      <xdr:rowOff>0</xdr:rowOff>
    </xdr:to>
    <xdr:sp macro="" textlink="">
      <xdr:nvSpPr>
        <xdr:cNvPr id="11" name="Line 24">
          <a:extLst>
            <a:ext uri="{FF2B5EF4-FFF2-40B4-BE49-F238E27FC236}">
              <a16:creationId xmlns:a16="http://schemas.microsoft.com/office/drawing/2014/main" id="{00000000-0008-0000-0300-00000B000000}"/>
            </a:ext>
          </a:extLst>
        </xdr:cNvPr>
        <xdr:cNvSpPr>
          <a:spLocks noChangeShapeType="1"/>
        </xdr:cNvSpPr>
      </xdr:nvSpPr>
      <xdr:spPr bwMode="auto">
        <a:xfrm>
          <a:off x="12220575" y="1076325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2" name="Line 8">
          <a:extLst>
            <a:ext uri="{FF2B5EF4-FFF2-40B4-BE49-F238E27FC236}">
              <a16:creationId xmlns:a16="http://schemas.microsoft.com/office/drawing/2014/main" id="{00000000-0008-0000-0300-00000C000000}"/>
            </a:ext>
          </a:extLst>
        </xdr:cNvPr>
        <xdr:cNvSpPr>
          <a:spLocks noChangeShapeType="1"/>
        </xdr:cNvSpPr>
      </xdr:nvSpPr>
      <xdr:spPr bwMode="auto">
        <a:xfrm>
          <a:off x="13630275" y="7915275"/>
          <a:ext cx="0" cy="0"/>
        </a:xfrm>
        <a:prstGeom prst="line">
          <a:avLst/>
        </a:prstGeom>
        <a:noFill/>
        <a:ln w="9525">
          <a:solidFill>
            <a:srgbClr val="000000"/>
          </a:solidFill>
          <a:prstDash val="sysDot"/>
          <a:round/>
          <a:headEnd/>
          <a:tailEnd/>
        </a:ln>
      </xdr:spPr>
    </xdr:sp>
    <xdr:clientData/>
  </xdr:twoCellAnchor>
  <xdr:twoCellAnchor>
    <xdr:from>
      <xdr:col>29</xdr:col>
      <xdr:colOff>0</xdr:colOff>
      <xdr:row>32</xdr:row>
      <xdr:rowOff>0</xdr:rowOff>
    </xdr:from>
    <xdr:to>
      <xdr:col>29</xdr:col>
      <xdr:colOff>0</xdr:colOff>
      <xdr:row>32</xdr:row>
      <xdr:rowOff>0</xdr:rowOff>
    </xdr:to>
    <xdr:sp macro="" textlink="">
      <xdr:nvSpPr>
        <xdr:cNvPr id="13" name="Line 9">
          <a:extLst>
            <a:ext uri="{FF2B5EF4-FFF2-40B4-BE49-F238E27FC236}">
              <a16:creationId xmlns:a16="http://schemas.microsoft.com/office/drawing/2014/main" id="{00000000-0008-0000-0300-00000D000000}"/>
            </a:ext>
          </a:extLst>
        </xdr:cNvPr>
        <xdr:cNvSpPr>
          <a:spLocks noChangeShapeType="1"/>
        </xdr:cNvSpPr>
      </xdr:nvSpPr>
      <xdr:spPr bwMode="auto">
        <a:xfrm>
          <a:off x="13630275" y="8391525"/>
          <a:ext cx="0" cy="0"/>
        </a:xfrm>
        <a:prstGeom prst="line">
          <a:avLst/>
        </a:prstGeom>
        <a:noFill/>
        <a:ln w="9525">
          <a:solidFill>
            <a:srgbClr val="000000"/>
          </a:solidFill>
          <a:prstDash val="sysDot"/>
          <a:round/>
          <a:headEnd/>
          <a:tailEnd/>
        </a:ln>
      </xdr:spPr>
    </xdr:sp>
    <xdr:clientData/>
  </xdr:twoCellAnchor>
  <xdr:twoCellAnchor>
    <xdr:from>
      <xdr:col>29</xdr:col>
      <xdr:colOff>0</xdr:colOff>
      <xdr:row>35</xdr:row>
      <xdr:rowOff>0</xdr:rowOff>
    </xdr:from>
    <xdr:to>
      <xdr:col>29</xdr:col>
      <xdr:colOff>0</xdr:colOff>
      <xdr:row>35</xdr:row>
      <xdr:rowOff>0</xdr:rowOff>
    </xdr:to>
    <xdr:sp macro="" textlink="">
      <xdr:nvSpPr>
        <xdr:cNvPr id="14" name="Line 18">
          <a:extLst>
            <a:ext uri="{FF2B5EF4-FFF2-40B4-BE49-F238E27FC236}">
              <a16:creationId xmlns:a16="http://schemas.microsoft.com/office/drawing/2014/main" id="{00000000-0008-0000-0300-00000E000000}"/>
            </a:ext>
          </a:extLst>
        </xdr:cNvPr>
        <xdr:cNvSpPr>
          <a:spLocks noChangeShapeType="1"/>
        </xdr:cNvSpPr>
      </xdr:nvSpPr>
      <xdr:spPr bwMode="auto">
        <a:xfrm>
          <a:off x="13630275" y="9229725"/>
          <a:ext cx="0" cy="0"/>
        </a:xfrm>
        <a:prstGeom prst="line">
          <a:avLst/>
        </a:prstGeom>
        <a:noFill/>
        <a:ln w="9525">
          <a:solidFill>
            <a:srgbClr val="000000"/>
          </a:solidFill>
          <a:prstDash val="sysDot"/>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42</xdr:row>
      <xdr:rowOff>0</xdr:rowOff>
    </xdr:from>
    <xdr:to>
      <xdr:col>1</xdr:col>
      <xdr:colOff>1457325</xdr:colOff>
      <xdr:row>42</xdr:row>
      <xdr:rowOff>9525</xdr:rowOff>
    </xdr:to>
    <xdr:sp macro="" textlink="">
      <xdr:nvSpPr>
        <xdr:cNvPr id="2" name="Line 3">
          <a:extLst>
            <a:ext uri="{FF2B5EF4-FFF2-40B4-BE49-F238E27FC236}">
              <a16:creationId xmlns:a16="http://schemas.microsoft.com/office/drawing/2014/main" id="{00000000-0008-0000-0400-000002000000}"/>
            </a:ext>
          </a:extLst>
        </xdr:cNvPr>
        <xdr:cNvSpPr>
          <a:spLocks noChangeShapeType="1"/>
        </xdr:cNvSpPr>
      </xdr:nvSpPr>
      <xdr:spPr bwMode="auto">
        <a:xfrm>
          <a:off x="57150" y="10534650"/>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42</xdr:row>
      <xdr:rowOff>0</xdr:rowOff>
    </xdr:from>
    <xdr:to>
      <xdr:col>4</xdr:col>
      <xdr:colOff>457200</xdr:colOff>
      <xdr:row>42</xdr:row>
      <xdr:rowOff>0</xdr:rowOff>
    </xdr:to>
    <xdr:sp macro="" textlink="">
      <xdr:nvSpPr>
        <xdr:cNvPr id="3" name="Line 4">
          <a:extLst>
            <a:ext uri="{FF2B5EF4-FFF2-40B4-BE49-F238E27FC236}">
              <a16:creationId xmlns:a16="http://schemas.microsoft.com/office/drawing/2014/main" id="{00000000-0008-0000-0400-000003000000}"/>
            </a:ext>
          </a:extLst>
        </xdr:cNvPr>
        <xdr:cNvSpPr>
          <a:spLocks noChangeShapeType="1"/>
        </xdr:cNvSpPr>
      </xdr:nvSpPr>
      <xdr:spPr bwMode="auto">
        <a:xfrm>
          <a:off x="2143125" y="10534650"/>
          <a:ext cx="1952625" cy="0"/>
        </a:xfrm>
        <a:prstGeom prst="line">
          <a:avLst/>
        </a:prstGeom>
        <a:noFill/>
        <a:ln w="9525">
          <a:solidFill>
            <a:srgbClr val="000000"/>
          </a:solidFill>
          <a:prstDash val="sysDot"/>
          <a:round/>
          <a:headEnd/>
          <a:tailEnd/>
        </a:ln>
      </xdr:spPr>
    </xdr:sp>
    <xdr:clientData/>
  </xdr:twoCellAnchor>
  <xdr:twoCellAnchor>
    <xdr:from>
      <xdr:col>0</xdr:col>
      <xdr:colOff>38100</xdr:colOff>
      <xdr:row>38</xdr:row>
      <xdr:rowOff>0</xdr:rowOff>
    </xdr:from>
    <xdr:to>
      <xdr:col>4</xdr:col>
      <xdr:colOff>19050</xdr:colOff>
      <xdr:row>38</xdr:row>
      <xdr:rowOff>0</xdr:rowOff>
    </xdr:to>
    <xdr:sp macro="" textlink="">
      <xdr:nvSpPr>
        <xdr:cNvPr id="4" name="Line 13">
          <a:extLst>
            <a:ext uri="{FF2B5EF4-FFF2-40B4-BE49-F238E27FC236}">
              <a16:creationId xmlns:a16="http://schemas.microsoft.com/office/drawing/2014/main" id="{00000000-0008-0000-0400-000004000000}"/>
            </a:ext>
          </a:extLst>
        </xdr:cNvPr>
        <xdr:cNvSpPr>
          <a:spLocks noChangeShapeType="1"/>
        </xdr:cNvSpPr>
      </xdr:nvSpPr>
      <xdr:spPr bwMode="auto">
        <a:xfrm>
          <a:off x="38100" y="9877425"/>
          <a:ext cx="3619500" cy="0"/>
        </a:xfrm>
        <a:prstGeom prst="line">
          <a:avLst/>
        </a:prstGeom>
        <a:noFill/>
        <a:ln w="9525">
          <a:solidFill>
            <a:srgbClr val="000000"/>
          </a:solidFill>
          <a:prstDash val="sysDot"/>
          <a:round/>
          <a:headEnd/>
          <a:tailEnd/>
        </a:ln>
      </xdr:spPr>
    </xdr:sp>
    <xdr:clientData/>
  </xdr:twoCellAnchor>
  <xdr:twoCellAnchor>
    <xdr:from>
      <xdr:col>2</xdr:col>
      <xdr:colOff>228600</xdr:colOff>
      <xdr:row>42</xdr:row>
      <xdr:rowOff>9525</xdr:rowOff>
    </xdr:from>
    <xdr:to>
      <xdr:col>4</xdr:col>
      <xdr:colOff>419100</xdr:colOff>
      <xdr:row>42</xdr:row>
      <xdr:rowOff>9525</xdr:rowOff>
    </xdr:to>
    <xdr:sp macro="" textlink="">
      <xdr:nvSpPr>
        <xdr:cNvPr id="5" name="Line 16">
          <a:extLst>
            <a:ext uri="{FF2B5EF4-FFF2-40B4-BE49-F238E27FC236}">
              <a16:creationId xmlns:a16="http://schemas.microsoft.com/office/drawing/2014/main" id="{00000000-0008-0000-0400-000005000000}"/>
            </a:ext>
          </a:extLst>
        </xdr:cNvPr>
        <xdr:cNvSpPr>
          <a:spLocks noChangeShapeType="1"/>
        </xdr:cNvSpPr>
      </xdr:nvSpPr>
      <xdr:spPr bwMode="auto">
        <a:xfrm>
          <a:off x="2105025" y="10763250"/>
          <a:ext cx="1952625" cy="0"/>
        </a:xfrm>
        <a:prstGeom prst="line">
          <a:avLst/>
        </a:prstGeom>
        <a:noFill/>
        <a:ln w="9525">
          <a:solidFill>
            <a:srgbClr val="000000"/>
          </a:solidFill>
          <a:prstDash val="sysDot"/>
          <a:round/>
          <a:headEnd/>
          <a:tailEnd/>
        </a:ln>
      </xdr:spPr>
    </xdr:sp>
    <xdr:clientData/>
  </xdr:twoCellAnchor>
  <xdr:twoCellAnchor>
    <xdr:from>
      <xdr:col>31</xdr:col>
      <xdr:colOff>0</xdr:colOff>
      <xdr:row>34</xdr:row>
      <xdr:rowOff>0</xdr:rowOff>
    </xdr:from>
    <xdr:to>
      <xdr:col>31</xdr:col>
      <xdr:colOff>0</xdr:colOff>
      <xdr:row>34</xdr:row>
      <xdr:rowOff>0</xdr:rowOff>
    </xdr:to>
    <xdr:sp macro="" textlink="">
      <xdr:nvSpPr>
        <xdr:cNvPr id="6" name="Line 17">
          <a:extLst>
            <a:ext uri="{FF2B5EF4-FFF2-40B4-BE49-F238E27FC236}">
              <a16:creationId xmlns:a16="http://schemas.microsoft.com/office/drawing/2014/main" id="{00000000-0008-0000-0400-000006000000}"/>
            </a:ext>
          </a:extLst>
        </xdr:cNvPr>
        <xdr:cNvSpPr>
          <a:spLocks noChangeShapeType="1"/>
        </xdr:cNvSpPr>
      </xdr:nvSpPr>
      <xdr:spPr bwMode="auto">
        <a:xfrm>
          <a:off x="14135100" y="9439275"/>
          <a:ext cx="0" cy="0"/>
        </a:xfrm>
        <a:prstGeom prst="line">
          <a:avLst/>
        </a:prstGeom>
        <a:noFill/>
        <a:ln w="9525">
          <a:solidFill>
            <a:srgbClr val="000000"/>
          </a:solidFill>
          <a:prstDash val="sysDot"/>
          <a:round/>
          <a:headEnd/>
          <a:tailEnd/>
        </a:ln>
      </xdr:spPr>
    </xdr:sp>
    <xdr:clientData/>
  </xdr:twoCellAnchor>
  <xdr:twoCellAnchor>
    <xdr:from>
      <xdr:col>31</xdr:col>
      <xdr:colOff>0</xdr:colOff>
      <xdr:row>36</xdr:row>
      <xdr:rowOff>0</xdr:rowOff>
    </xdr:from>
    <xdr:to>
      <xdr:col>31</xdr:col>
      <xdr:colOff>9525</xdr:colOff>
      <xdr:row>36</xdr:row>
      <xdr:rowOff>0</xdr:rowOff>
    </xdr:to>
    <xdr:sp macro="" textlink="">
      <xdr:nvSpPr>
        <xdr:cNvPr id="7" name="Line 19">
          <a:extLst>
            <a:ext uri="{FF2B5EF4-FFF2-40B4-BE49-F238E27FC236}">
              <a16:creationId xmlns:a16="http://schemas.microsoft.com/office/drawing/2014/main" id="{00000000-0008-0000-0400-000007000000}"/>
            </a:ext>
          </a:extLst>
        </xdr:cNvPr>
        <xdr:cNvSpPr>
          <a:spLocks noChangeShapeType="1"/>
        </xdr:cNvSpPr>
      </xdr:nvSpPr>
      <xdr:spPr bwMode="auto">
        <a:xfrm>
          <a:off x="14135100" y="9658350"/>
          <a:ext cx="9525"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8" name="Line 20">
          <a:extLst>
            <a:ext uri="{FF2B5EF4-FFF2-40B4-BE49-F238E27FC236}">
              <a16:creationId xmlns:a16="http://schemas.microsoft.com/office/drawing/2014/main" id="{00000000-0008-0000-0400-000008000000}"/>
            </a:ext>
          </a:extLst>
        </xdr:cNvPr>
        <xdr:cNvSpPr>
          <a:spLocks noChangeShapeType="1"/>
        </xdr:cNvSpPr>
      </xdr:nvSpPr>
      <xdr:spPr bwMode="auto">
        <a:xfrm>
          <a:off x="14135100" y="10534650"/>
          <a:ext cx="0" cy="0"/>
        </a:xfrm>
        <a:prstGeom prst="line">
          <a:avLst/>
        </a:prstGeom>
        <a:noFill/>
        <a:ln w="9525">
          <a:solidFill>
            <a:srgbClr val="000000"/>
          </a:solidFill>
          <a:prstDash val="sysDot"/>
          <a:round/>
          <a:headEnd/>
          <a:tailEnd/>
        </a:ln>
      </xdr:spPr>
    </xdr:sp>
    <xdr:clientData/>
  </xdr:twoCellAnchor>
  <xdr:twoCellAnchor>
    <xdr:from>
      <xdr:col>31</xdr:col>
      <xdr:colOff>0</xdr:colOff>
      <xdr:row>43</xdr:row>
      <xdr:rowOff>0</xdr:rowOff>
    </xdr:from>
    <xdr:to>
      <xdr:col>31</xdr:col>
      <xdr:colOff>0</xdr:colOff>
      <xdr:row>43</xdr:row>
      <xdr:rowOff>0</xdr:rowOff>
    </xdr:to>
    <xdr:sp macro="" textlink="">
      <xdr:nvSpPr>
        <xdr:cNvPr id="9" name="Line 22">
          <a:extLst>
            <a:ext uri="{FF2B5EF4-FFF2-40B4-BE49-F238E27FC236}">
              <a16:creationId xmlns:a16="http://schemas.microsoft.com/office/drawing/2014/main" id="{00000000-0008-0000-0400-000009000000}"/>
            </a:ext>
          </a:extLst>
        </xdr:cNvPr>
        <xdr:cNvSpPr>
          <a:spLocks noChangeShapeType="1"/>
        </xdr:cNvSpPr>
      </xdr:nvSpPr>
      <xdr:spPr bwMode="auto">
        <a:xfrm>
          <a:off x="14135100" y="10753725"/>
          <a:ext cx="0" cy="0"/>
        </a:xfrm>
        <a:prstGeom prst="line">
          <a:avLst/>
        </a:prstGeom>
        <a:noFill/>
        <a:ln w="9525">
          <a:solidFill>
            <a:srgbClr val="000000"/>
          </a:solidFill>
          <a:prstDash val="sysDot"/>
          <a:round/>
          <a:headEnd/>
          <a:tailEnd/>
        </a:ln>
      </xdr:spPr>
    </xdr:sp>
    <xdr:clientData/>
  </xdr:twoCellAnchor>
  <xdr:twoCellAnchor>
    <xdr:from>
      <xdr:col>31</xdr:col>
      <xdr:colOff>0</xdr:colOff>
      <xdr:row>45</xdr:row>
      <xdr:rowOff>0</xdr:rowOff>
    </xdr:from>
    <xdr:to>
      <xdr:col>31</xdr:col>
      <xdr:colOff>0</xdr:colOff>
      <xdr:row>45</xdr:row>
      <xdr:rowOff>0</xdr:rowOff>
    </xdr:to>
    <xdr:sp macro="" textlink="">
      <xdr:nvSpPr>
        <xdr:cNvPr id="10" name="Line 23">
          <a:extLst>
            <a:ext uri="{FF2B5EF4-FFF2-40B4-BE49-F238E27FC236}">
              <a16:creationId xmlns:a16="http://schemas.microsoft.com/office/drawing/2014/main" id="{00000000-0008-0000-0400-00000A000000}"/>
            </a:ext>
          </a:extLst>
        </xdr:cNvPr>
        <xdr:cNvSpPr>
          <a:spLocks noChangeShapeType="1"/>
        </xdr:cNvSpPr>
      </xdr:nvSpPr>
      <xdr:spPr bwMode="auto">
        <a:xfrm>
          <a:off x="14135100" y="11191875"/>
          <a:ext cx="0" cy="0"/>
        </a:xfrm>
        <a:prstGeom prst="line">
          <a:avLst/>
        </a:prstGeom>
        <a:noFill/>
        <a:ln w="9525">
          <a:solidFill>
            <a:srgbClr val="000000"/>
          </a:solidFill>
          <a:prstDash val="sysDot"/>
          <a:round/>
          <a:headEnd/>
          <a:tailEnd/>
        </a:ln>
      </xdr:spPr>
    </xdr:sp>
    <xdr:clientData/>
  </xdr:twoCellAnchor>
  <xdr:twoCellAnchor>
    <xdr:from>
      <xdr:col>27</xdr:col>
      <xdr:colOff>9525</xdr:colOff>
      <xdr:row>43</xdr:row>
      <xdr:rowOff>0</xdr:rowOff>
    </xdr:from>
    <xdr:to>
      <xdr:col>30</xdr:col>
      <xdr:colOff>1285875</xdr:colOff>
      <xdr:row>43</xdr:row>
      <xdr:rowOff>0</xdr:rowOff>
    </xdr:to>
    <xdr:sp macro="" textlink="">
      <xdr:nvSpPr>
        <xdr:cNvPr id="11" name="Line 24">
          <a:extLst>
            <a:ext uri="{FF2B5EF4-FFF2-40B4-BE49-F238E27FC236}">
              <a16:creationId xmlns:a16="http://schemas.microsoft.com/office/drawing/2014/main" id="{00000000-0008-0000-0400-00000B000000}"/>
            </a:ext>
          </a:extLst>
        </xdr:cNvPr>
        <xdr:cNvSpPr>
          <a:spLocks noChangeShapeType="1"/>
        </xdr:cNvSpPr>
      </xdr:nvSpPr>
      <xdr:spPr bwMode="auto">
        <a:xfrm>
          <a:off x="11096625" y="10753725"/>
          <a:ext cx="2752725" cy="0"/>
        </a:xfrm>
        <a:prstGeom prst="line">
          <a:avLst/>
        </a:prstGeom>
        <a:noFill/>
        <a:ln w="9525">
          <a:solidFill>
            <a:srgbClr val="000000"/>
          </a:solidFill>
          <a:prstDash val="sysDot"/>
          <a:round/>
          <a:headEnd/>
          <a:tailEnd/>
        </a:ln>
      </xdr:spPr>
    </xdr:sp>
    <xdr:clientData/>
  </xdr:twoCellAnchor>
  <xdr:twoCellAnchor>
    <xdr:from>
      <xdr:col>29</xdr:col>
      <xdr:colOff>0</xdr:colOff>
      <xdr:row>29</xdr:row>
      <xdr:rowOff>0</xdr:rowOff>
    </xdr:from>
    <xdr:to>
      <xdr:col>29</xdr:col>
      <xdr:colOff>0</xdr:colOff>
      <xdr:row>29</xdr:row>
      <xdr:rowOff>0</xdr:rowOff>
    </xdr:to>
    <xdr:sp macro="" textlink="">
      <xdr:nvSpPr>
        <xdr:cNvPr id="12" name="Line 8">
          <a:extLst>
            <a:ext uri="{FF2B5EF4-FFF2-40B4-BE49-F238E27FC236}">
              <a16:creationId xmlns:a16="http://schemas.microsoft.com/office/drawing/2014/main" id="{00000000-0008-0000-0400-00000C000000}"/>
            </a:ext>
          </a:extLst>
        </xdr:cNvPr>
        <xdr:cNvSpPr>
          <a:spLocks noChangeShapeType="1"/>
        </xdr:cNvSpPr>
      </xdr:nvSpPr>
      <xdr:spPr bwMode="auto">
        <a:xfrm>
          <a:off x="12325350" y="8248650"/>
          <a:ext cx="0" cy="0"/>
        </a:xfrm>
        <a:prstGeom prst="line">
          <a:avLst/>
        </a:prstGeom>
        <a:noFill/>
        <a:ln w="9525">
          <a:solidFill>
            <a:srgbClr val="000000"/>
          </a:solidFill>
          <a:prstDash val="sysDot"/>
          <a:round/>
          <a:headEnd/>
          <a:tailEnd/>
        </a:ln>
      </xdr:spPr>
    </xdr:sp>
    <xdr:clientData/>
  </xdr:twoCellAnchor>
  <xdr:twoCellAnchor>
    <xdr:from>
      <xdr:col>29</xdr:col>
      <xdr:colOff>0</xdr:colOff>
      <xdr:row>31</xdr:row>
      <xdr:rowOff>0</xdr:rowOff>
    </xdr:from>
    <xdr:to>
      <xdr:col>29</xdr:col>
      <xdr:colOff>0</xdr:colOff>
      <xdr:row>31</xdr:row>
      <xdr:rowOff>0</xdr:rowOff>
    </xdr:to>
    <xdr:sp macro="" textlink="">
      <xdr:nvSpPr>
        <xdr:cNvPr id="13" name="Line 9">
          <a:extLst>
            <a:ext uri="{FF2B5EF4-FFF2-40B4-BE49-F238E27FC236}">
              <a16:creationId xmlns:a16="http://schemas.microsoft.com/office/drawing/2014/main" id="{00000000-0008-0000-0400-00000D000000}"/>
            </a:ext>
          </a:extLst>
        </xdr:cNvPr>
        <xdr:cNvSpPr>
          <a:spLocks noChangeShapeType="1"/>
        </xdr:cNvSpPr>
      </xdr:nvSpPr>
      <xdr:spPr bwMode="auto">
        <a:xfrm>
          <a:off x="12325350" y="8782050"/>
          <a:ext cx="0" cy="0"/>
        </a:xfrm>
        <a:prstGeom prst="line">
          <a:avLst/>
        </a:prstGeom>
        <a:noFill/>
        <a:ln w="9525">
          <a:solidFill>
            <a:srgbClr val="000000"/>
          </a:solidFill>
          <a:prstDash val="sysDot"/>
          <a:round/>
          <a:headEnd/>
          <a:tailEnd/>
        </a:ln>
      </xdr:spPr>
    </xdr:sp>
    <xdr:clientData/>
  </xdr:twoCellAnchor>
  <xdr:twoCellAnchor>
    <xdr:from>
      <xdr:col>29</xdr:col>
      <xdr:colOff>0</xdr:colOff>
      <xdr:row>34</xdr:row>
      <xdr:rowOff>0</xdr:rowOff>
    </xdr:from>
    <xdr:to>
      <xdr:col>29</xdr:col>
      <xdr:colOff>0</xdr:colOff>
      <xdr:row>34</xdr:row>
      <xdr:rowOff>0</xdr:rowOff>
    </xdr:to>
    <xdr:sp macro="" textlink="">
      <xdr:nvSpPr>
        <xdr:cNvPr id="14" name="Line 18">
          <a:extLst>
            <a:ext uri="{FF2B5EF4-FFF2-40B4-BE49-F238E27FC236}">
              <a16:creationId xmlns:a16="http://schemas.microsoft.com/office/drawing/2014/main" id="{00000000-0008-0000-0400-00000E000000}"/>
            </a:ext>
          </a:extLst>
        </xdr:cNvPr>
        <xdr:cNvSpPr>
          <a:spLocks noChangeShapeType="1"/>
        </xdr:cNvSpPr>
      </xdr:nvSpPr>
      <xdr:spPr bwMode="auto">
        <a:xfrm>
          <a:off x="12325350" y="9439275"/>
          <a:ext cx="0" cy="0"/>
        </a:xfrm>
        <a:prstGeom prst="line">
          <a:avLst/>
        </a:prstGeom>
        <a:noFill/>
        <a:ln w="9525">
          <a:solidFill>
            <a:srgbClr val="000000"/>
          </a:solidFill>
          <a:prstDash val="sysDot"/>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50</xdr:row>
      <xdr:rowOff>0</xdr:rowOff>
    </xdr:from>
    <xdr:to>
      <xdr:col>1</xdr:col>
      <xdr:colOff>1457325</xdr:colOff>
      <xdr:row>50</xdr:row>
      <xdr:rowOff>9525</xdr:rowOff>
    </xdr:to>
    <xdr:sp macro="" textlink="">
      <xdr:nvSpPr>
        <xdr:cNvPr id="2" name="Line 3">
          <a:extLst>
            <a:ext uri="{FF2B5EF4-FFF2-40B4-BE49-F238E27FC236}">
              <a16:creationId xmlns:a16="http://schemas.microsoft.com/office/drawing/2014/main" id="{00000000-0008-0000-0500-000002000000}"/>
            </a:ext>
          </a:extLst>
        </xdr:cNvPr>
        <xdr:cNvSpPr>
          <a:spLocks noChangeShapeType="1"/>
        </xdr:cNvSpPr>
      </xdr:nvSpPr>
      <xdr:spPr bwMode="auto">
        <a:xfrm>
          <a:off x="57150" y="12687300"/>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50</xdr:row>
      <xdr:rowOff>0</xdr:rowOff>
    </xdr:from>
    <xdr:to>
      <xdr:col>4</xdr:col>
      <xdr:colOff>457200</xdr:colOff>
      <xdr:row>50</xdr:row>
      <xdr:rowOff>0</xdr:rowOff>
    </xdr:to>
    <xdr:sp macro="" textlink="">
      <xdr:nvSpPr>
        <xdr:cNvPr id="3" name="Line 4">
          <a:extLst>
            <a:ext uri="{FF2B5EF4-FFF2-40B4-BE49-F238E27FC236}">
              <a16:creationId xmlns:a16="http://schemas.microsoft.com/office/drawing/2014/main" id="{00000000-0008-0000-0500-000003000000}"/>
            </a:ext>
          </a:extLst>
        </xdr:cNvPr>
        <xdr:cNvSpPr>
          <a:spLocks noChangeShapeType="1"/>
        </xdr:cNvSpPr>
      </xdr:nvSpPr>
      <xdr:spPr bwMode="auto">
        <a:xfrm>
          <a:off x="2324100" y="12687300"/>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46</xdr:row>
      <xdr:rowOff>0</xdr:rowOff>
    </xdr:from>
    <xdr:to>
      <xdr:col>4</xdr:col>
      <xdr:colOff>19050</xdr:colOff>
      <xdr:row>46</xdr:row>
      <xdr:rowOff>0</xdr:rowOff>
    </xdr:to>
    <xdr:sp macro="" textlink="">
      <xdr:nvSpPr>
        <xdr:cNvPr id="4" name="Line 13">
          <a:extLst>
            <a:ext uri="{FF2B5EF4-FFF2-40B4-BE49-F238E27FC236}">
              <a16:creationId xmlns:a16="http://schemas.microsoft.com/office/drawing/2014/main" id="{00000000-0008-0000-0500-000004000000}"/>
            </a:ext>
          </a:extLst>
        </xdr:cNvPr>
        <xdr:cNvSpPr>
          <a:spLocks noChangeShapeType="1"/>
        </xdr:cNvSpPr>
      </xdr:nvSpPr>
      <xdr:spPr bwMode="auto">
        <a:xfrm>
          <a:off x="38100" y="12030075"/>
          <a:ext cx="3952875" cy="0"/>
        </a:xfrm>
        <a:prstGeom prst="line">
          <a:avLst/>
        </a:prstGeom>
        <a:noFill/>
        <a:ln w="9525">
          <a:solidFill>
            <a:srgbClr val="000000"/>
          </a:solidFill>
          <a:prstDash val="sysDot"/>
          <a:round/>
          <a:headEnd/>
          <a:tailEnd/>
        </a:ln>
      </xdr:spPr>
    </xdr:sp>
    <xdr:clientData/>
  </xdr:twoCellAnchor>
  <xdr:twoCellAnchor>
    <xdr:from>
      <xdr:col>2</xdr:col>
      <xdr:colOff>228600</xdr:colOff>
      <xdr:row>50</xdr:row>
      <xdr:rowOff>9525</xdr:rowOff>
    </xdr:from>
    <xdr:to>
      <xdr:col>4</xdr:col>
      <xdr:colOff>419100</xdr:colOff>
      <xdr:row>50</xdr:row>
      <xdr:rowOff>9525</xdr:rowOff>
    </xdr:to>
    <xdr:sp macro="" textlink="">
      <xdr:nvSpPr>
        <xdr:cNvPr id="5" name="Line 16">
          <a:extLst>
            <a:ext uri="{FF2B5EF4-FFF2-40B4-BE49-F238E27FC236}">
              <a16:creationId xmlns:a16="http://schemas.microsoft.com/office/drawing/2014/main" id="{00000000-0008-0000-0500-000005000000}"/>
            </a:ext>
          </a:extLst>
        </xdr:cNvPr>
        <xdr:cNvSpPr>
          <a:spLocks noChangeShapeType="1"/>
        </xdr:cNvSpPr>
      </xdr:nvSpPr>
      <xdr:spPr bwMode="auto">
        <a:xfrm>
          <a:off x="2286000" y="12696825"/>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6" name="Line 17">
          <a:extLst>
            <a:ext uri="{FF2B5EF4-FFF2-40B4-BE49-F238E27FC236}">
              <a16:creationId xmlns:a16="http://schemas.microsoft.com/office/drawing/2014/main" id="{00000000-0008-0000-0500-000006000000}"/>
            </a:ext>
          </a:extLst>
        </xdr:cNvPr>
        <xdr:cNvSpPr>
          <a:spLocks noChangeShapeType="1"/>
        </xdr:cNvSpPr>
      </xdr:nvSpPr>
      <xdr:spPr bwMode="auto">
        <a:xfrm>
          <a:off x="15401925" y="11372850"/>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9525</xdr:colOff>
      <xdr:row>44</xdr:row>
      <xdr:rowOff>0</xdr:rowOff>
    </xdr:to>
    <xdr:sp macro="" textlink="">
      <xdr:nvSpPr>
        <xdr:cNvPr id="7" name="Line 19">
          <a:extLst>
            <a:ext uri="{FF2B5EF4-FFF2-40B4-BE49-F238E27FC236}">
              <a16:creationId xmlns:a16="http://schemas.microsoft.com/office/drawing/2014/main" id="{00000000-0008-0000-0500-000007000000}"/>
            </a:ext>
          </a:extLst>
        </xdr:cNvPr>
        <xdr:cNvSpPr>
          <a:spLocks noChangeShapeType="1"/>
        </xdr:cNvSpPr>
      </xdr:nvSpPr>
      <xdr:spPr bwMode="auto">
        <a:xfrm>
          <a:off x="15401925" y="11811000"/>
          <a:ext cx="9525" cy="0"/>
        </a:xfrm>
        <a:prstGeom prst="line">
          <a:avLst/>
        </a:prstGeom>
        <a:noFill/>
        <a:ln w="9525">
          <a:solidFill>
            <a:srgbClr val="000000"/>
          </a:solidFill>
          <a:prstDash val="sysDot"/>
          <a:round/>
          <a:headEnd/>
          <a:tailEnd/>
        </a:ln>
      </xdr:spPr>
    </xdr:sp>
    <xdr:clientData/>
  </xdr:twoCellAnchor>
  <xdr:twoCellAnchor>
    <xdr:from>
      <xdr:col>31</xdr:col>
      <xdr:colOff>0</xdr:colOff>
      <xdr:row>50</xdr:row>
      <xdr:rowOff>0</xdr:rowOff>
    </xdr:from>
    <xdr:to>
      <xdr:col>31</xdr:col>
      <xdr:colOff>0</xdr:colOff>
      <xdr:row>50</xdr:row>
      <xdr:rowOff>0</xdr:rowOff>
    </xdr:to>
    <xdr:sp macro="" textlink="">
      <xdr:nvSpPr>
        <xdr:cNvPr id="8" name="Line 20">
          <a:extLst>
            <a:ext uri="{FF2B5EF4-FFF2-40B4-BE49-F238E27FC236}">
              <a16:creationId xmlns:a16="http://schemas.microsoft.com/office/drawing/2014/main" id="{00000000-0008-0000-0500-000008000000}"/>
            </a:ext>
          </a:extLst>
        </xdr:cNvPr>
        <xdr:cNvSpPr>
          <a:spLocks noChangeShapeType="1"/>
        </xdr:cNvSpPr>
      </xdr:nvSpPr>
      <xdr:spPr bwMode="auto">
        <a:xfrm>
          <a:off x="15401925" y="12687300"/>
          <a:ext cx="0" cy="0"/>
        </a:xfrm>
        <a:prstGeom prst="line">
          <a:avLst/>
        </a:prstGeom>
        <a:noFill/>
        <a:ln w="9525">
          <a:solidFill>
            <a:srgbClr val="000000"/>
          </a:solidFill>
          <a:prstDash val="sysDot"/>
          <a:round/>
          <a:headEnd/>
          <a:tailEnd/>
        </a:ln>
      </xdr:spPr>
    </xdr:sp>
    <xdr:clientData/>
  </xdr:twoCellAnchor>
  <xdr:twoCellAnchor>
    <xdr:from>
      <xdr:col>31</xdr:col>
      <xdr:colOff>0</xdr:colOff>
      <xdr:row>51</xdr:row>
      <xdr:rowOff>0</xdr:rowOff>
    </xdr:from>
    <xdr:to>
      <xdr:col>31</xdr:col>
      <xdr:colOff>0</xdr:colOff>
      <xdr:row>51</xdr:row>
      <xdr:rowOff>0</xdr:rowOff>
    </xdr:to>
    <xdr:sp macro="" textlink="">
      <xdr:nvSpPr>
        <xdr:cNvPr id="9" name="Line 22">
          <a:extLst>
            <a:ext uri="{FF2B5EF4-FFF2-40B4-BE49-F238E27FC236}">
              <a16:creationId xmlns:a16="http://schemas.microsoft.com/office/drawing/2014/main" id="{00000000-0008-0000-0500-000009000000}"/>
            </a:ext>
          </a:extLst>
        </xdr:cNvPr>
        <xdr:cNvSpPr>
          <a:spLocks noChangeShapeType="1"/>
        </xdr:cNvSpPr>
      </xdr:nvSpPr>
      <xdr:spPr bwMode="auto">
        <a:xfrm>
          <a:off x="15401925" y="12906375"/>
          <a:ext cx="0" cy="0"/>
        </a:xfrm>
        <a:prstGeom prst="line">
          <a:avLst/>
        </a:prstGeom>
        <a:noFill/>
        <a:ln w="9525">
          <a:solidFill>
            <a:srgbClr val="000000"/>
          </a:solidFill>
          <a:prstDash val="sysDot"/>
          <a:round/>
          <a:headEnd/>
          <a:tailEnd/>
        </a:ln>
      </xdr:spPr>
    </xdr:sp>
    <xdr:clientData/>
  </xdr:twoCellAnchor>
  <xdr:twoCellAnchor>
    <xdr:from>
      <xdr:col>31</xdr:col>
      <xdr:colOff>0</xdr:colOff>
      <xdr:row>53</xdr:row>
      <xdr:rowOff>0</xdr:rowOff>
    </xdr:from>
    <xdr:to>
      <xdr:col>31</xdr:col>
      <xdr:colOff>0</xdr:colOff>
      <xdr:row>53</xdr:row>
      <xdr:rowOff>0</xdr:rowOff>
    </xdr:to>
    <xdr:sp macro="" textlink="">
      <xdr:nvSpPr>
        <xdr:cNvPr id="10" name="Line 23">
          <a:extLst>
            <a:ext uri="{FF2B5EF4-FFF2-40B4-BE49-F238E27FC236}">
              <a16:creationId xmlns:a16="http://schemas.microsoft.com/office/drawing/2014/main" id="{00000000-0008-0000-0500-00000A000000}"/>
            </a:ext>
          </a:extLst>
        </xdr:cNvPr>
        <xdr:cNvSpPr>
          <a:spLocks noChangeShapeType="1"/>
        </xdr:cNvSpPr>
      </xdr:nvSpPr>
      <xdr:spPr bwMode="auto">
        <a:xfrm>
          <a:off x="15401925" y="13344525"/>
          <a:ext cx="0" cy="0"/>
        </a:xfrm>
        <a:prstGeom prst="line">
          <a:avLst/>
        </a:prstGeom>
        <a:noFill/>
        <a:ln w="9525">
          <a:solidFill>
            <a:srgbClr val="000000"/>
          </a:solidFill>
          <a:prstDash val="sysDot"/>
          <a:round/>
          <a:headEnd/>
          <a:tailEnd/>
        </a:ln>
      </xdr:spPr>
    </xdr:sp>
    <xdr:clientData/>
  </xdr:twoCellAnchor>
  <xdr:twoCellAnchor>
    <xdr:from>
      <xdr:col>27</xdr:col>
      <xdr:colOff>9525</xdr:colOff>
      <xdr:row>51</xdr:row>
      <xdr:rowOff>0</xdr:rowOff>
    </xdr:from>
    <xdr:to>
      <xdr:col>30</xdr:col>
      <xdr:colOff>1285875</xdr:colOff>
      <xdr:row>51</xdr:row>
      <xdr:rowOff>0</xdr:rowOff>
    </xdr:to>
    <xdr:sp macro="" textlink="">
      <xdr:nvSpPr>
        <xdr:cNvPr id="11" name="Line 24">
          <a:extLst>
            <a:ext uri="{FF2B5EF4-FFF2-40B4-BE49-F238E27FC236}">
              <a16:creationId xmlns:a16="http://schemas.microsoft.com/office/drawing/2014/main" id="{00000000-0008-0000-0500-00000B000000}"/>
            </a:ext>
          </a:extLst>
        </xdr:cNvPr>
        <xdr:cNvSpPr>
          <a:spLocks noChangeShapeType="1"/>
        </xdr:cNvSpPr>
      </xdr:nvSpPr>
      <xdr:spPr bwMode="auto">
        <a:xfrm>
          <a:off x="11972925" y="12906375"/>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37</xdr:row>
      <xdr:rowOff>0</xdr:rowOff>
    </xdr:from>
    <xdr:to>
      <xdr:col>29</xdr:col>
      <xdr:colOff>0</xdr:colOff>
      <xdr:row>37</xdr:row>
      <xdr:rowOff>0</xdr:rowOff>
    </xdr:to>
    <xdr:sp macro="" textlink="">
      <xdr:nvSpPr>
        <xdr:cNvPr id="12" name="Line 8">
          <a:extLst>
            <a:ext uri="{FF2B5EF4-FFF2-40B4-BE49-F238E27FC236}">
              <a16:creationId xmlns:a16="http://schemas.microsoft.com/office/drawing/2014/main" id="{00000000-0008-0000-0500-00000C000000}"/>
            </a:ext>
          </a:extLst>
        </xdr:cNvPr>
        <xdr:cNvSpPr>
          <a:spLocks noChangeShapeType="1"/>
        </xdr:cNvSpPr>
      </xdr:nvSpPr>
      <xdr:spPr bwMode="auto">
        <a:xfrm>
          <a:off x="13382625" y="10182225"/>
          <a:ext cx="0" cy="0"/>
        </a:xfrm>
        <a:prstGeom prst="line">
          <a:avLst/>
        </a:prstGeom>
        <a:noFill/>
        <a:ln w="9525">
          <a:solidFill>
            <a:srgbClr val="000000"/>
          </a:solidFill>
          <a:prstDash val="sysDot"/>
          <a:round/>
          <a:headEnd/>
          <a:tailEnd/>
        </a:ln>
      </xdr:spPr>
    </xdr:sp>
    <xdr:clientData/>
  </xdr:twoCellAnchor>
  <xdr:twoCellAnchor>
    <xdr:from>
      <xdr:col>29</xdr:col>
      <xdr:colOff>0</xdr:colOff>
      <xdr:row>39</xdr:row>
      <xdr:rowOff>0</xdr:rowOff>
    </xdr:from>
    <xdr:to>
      <xdr:col>29</xdr:col>
      <xdr:colOff>0</xdr:colOff>
      <xdr:row>39</xdr:row>
      <xdr:rowOff>0</xdr:rowOff>
    </xdr:to>
    <xdr:sp macro="" textlink="">
      <xdr:nvSpPr>
        <xdr:cNvPr id="13" name="Line 9">
          <a:extLst>
            <a:ext uri="{FF2B5EF4-FFF2-40B4-BE49-F238E27FC236}">
              <a16:creationId xmlns:a16="http://schemas.microsoft.com/office/drawing/2014/main" id="{00000000-0008-0000-0500-00000D000000}"/>
            </a:ext>
          </a:extLst>
        </xdr:cNvPr>
        <xdr:cNvSpPr>
          <a:spLocks noChangeShapeType="1"/>
        </xdr:cNvSpPr>
      </xdr:nvSpPr>
      <xdr:spPr bwMode="auto">
        <a:xfrm>
          <a:off x="13382625" y="10715625"/>
          <a:ext cx="0" cy="0"/>
        </a:xfrm>
        <a:prstGeom prst="line">
          <a:avLst/>
        </a:prstGeom>
        <a:noFill/>
        <a:ln w="9525">
          <a:solidFill>
            <a:srgbClr val="000000"/>
          </a:solidFill>
          <a:prstDash val="sysDot"/>
          <a:round/>
          <a:headEnd/>
          <a:tailEnd/>
        </a:ln>
      </xdr:spPr>
    </xdr:sp>
    <xdr:clientData/>
  </xdr:twoCellAnchor>
  <xdr:twoCellAnchor>
    <xdr:from>
      <xdr:col>29</xdr:col>
      <xdr:colOff>0</xdr:colOff>
      <xdr:row>42</xdr:row>
      <xdr:rowOff>0</xdr:rowOff>
    </xdr:from>
    <xdr:to>
      <xdr:col>29</xdr:col>
      <xdr:colOff>0</xdr:colOff>
      <xdr:row>42</xdr:row>
      <xdr:rowOff>0</xdr:rowOff>
    </xdr:to>
    <xdr:sp macro="" textlink="">
      <xdr:nvSpPr>
        <xdr:cNvPr id="14" name="Line 18">
          <a:extLst>
            <a:ext uri="{FF2B5EF4-FFF2-40B4-BE49-F238E27FC236}">
              <a16:creationId xmlns:a16="http://schemas.microsoft.com/office/drawing/2014/main" id="{00000000-0008-0000-0500-00000E000000}"/>
            </a:ext>
          </a:extLst>
        </xdr:cNvPr>
        <xdr:cNvSpPr>
          <a:spLocks noChangeShapeType="1"/>
        </xdr:cNvSpPr>
      </xdr:nvSpPr>
      <xdr:spPr bwMode="auto">
        <a:xfrm>
          <a:off x="13382625" y="11372850"/>
          <a:ext cx="0" cy="0"/>
        </a:xfrm>
        <a:prstGeom prst="line">
          <a:avLst/>
        </a:prstGeom>
        <a:noFill/>
        <a:ln w="9525">
          <a:solidFill>
            <a:srgbClr val="000000"/>
          </a:solidFill>
          <a:prstDash val="sysDot"/>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44</xdr:row>
      <xdr:rowOff>0</xdr:rowOff>
    </xdr:from>
    <xdr:to>
      <xdr:col>1</xdr:col>
      <xdr:colOff>1457325</xdr:colOff>
      <xdr:row>44</xdr:row>
      <xdr:rowOff>9525</xdr:rowOff>
    </xdr:to>
    <xdr:sp macro="" textlink="">
      <xdr:nvSpPr>
        <xdr:cNvPr id="2" name="Line 3">
          <a:extLst>
            <a:ext uri="{FF2B5EF4-FFF2-40B4-BE49-F238E27FC236}">
              <a16:creationId xmlns:a16="http://schemas.microsoft.com/office/drawing/2014/main" id="{00000000-0008-0000-0600-000002000000}"/>
            </a:ext>
          </a:extLst>
        </xdr:cNvPr>
        <xdr:cNvSpPr>
          <a:spLocks noChangeShapeType="1"/>
        </xdr:cNvSpPr>
      </xdr:nvSpPr>
      <xdr:spPr bwMode="auto">
        <a:xfrm>
          <a:off x="57150" y="1204912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44</xdr:row>
      <xdr:rowOff>0</xdr:rowOff>
    </xdr:from>
    <xdr:to>
      <xdr:col>4</xdr:col>
      <xdr:colOff>457200</xdr:colOff>
      <xdr:row>44</xdr:row>
      <xdr:rowOff>0</xdr:rowOff>
    </xdr:to>
    <xdr:sp macro="" textlink="">
      <xdr:nvSpPr>
        <xdr:cNvPr id="3" name="Line 4">
          <a:extLst>
            <a:ext uri="{FF2B5EF4-FFF2-40B4-BE49-F238E27FC236}">
              <a16:creationId xmlns:a16="http://schemas.microsoft.com/office/drawing/2014/main" id="{00000000-0008-0000-0600-000003000000}"/>
            </a:ext>
          </a:extLst>
        </xdr:cNvPr>
        <xdr:cNvSpPr>
          <a:spLocks noChangeShapeType="1"/>
        </xdr:cNvSpPr>
      </xdr:nvSpPr>
      <xdr:spPr bwMode="auto">
        <a:xfrm>
          <a:off x="2419350" y="1204912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40</xdr:row>
      <xdr:rowOff>0</xdr:rowOff>
    </xdr:from>
    <xdr:to>
      <xdr:col>4</xdr:col>
      <xdr:colOff>19050</xdr:colOff>
      <xdr:row>40</xdr:row>
      <xdr:rowOff>0</xdr:rowOff>
    </xdr:to>
    <xdr:sp macro="" textlink="">
      <xdr:nvSpPr>
        <xdr:cNvPr id="4" name="Line 13">
          <a:extLst>
            <a:ext uri="{FF2B5EF4-FFF2-40B4-BE49-F238E27FC236}">
              <a16:creationId xmlns:a16="http://schemas.microsoft.com/office/drawing/2014/main" id="{00000000-0008-0000-0600-000004000000}"/>
            </a:ext>
          </a:extLst>
        </xdr:cNvPr>
        <xdr:cNvSpPr>
          <a:spLocks noChangeShapeType="1"/>
        </xdr:cNvSpPr>
      </xdr:nvSpPr>
      <xdr:spPr bwMode="auto">
        <a:xfrm>
          <a:off x="38100" y="11391900"/>
          <a:ext cx="4048125" cy="0"/>
        </a:xfrm>
        <a:prstGeom prst="line">
          <a:avLst/>
        </a:prstGeom>
        <a:noFill/>
        <a:ln w="9525">
          <a:solidFill>
            <a:srgbClr val="000000"/>
          </a:solidFill>
          <a:prstDash val="sysDot"/>
          <a:round/>
          <a:headEnd/>
          <a:tailEnd/>
        </a:ln>
      </xdr:spPr>
    </xdr:sp>
    <xdr:clientData/>
  </xdr:twoCellAnchor>
  <xdr:twoCellAnchor>
    <xdr:from>
      <xdr:col>2</xdr:col>
      <xdr:colOff>228600</xdr:colOff>
      <xdr:row>44</xdr:row>
      <xdr:rowOff>9525</xdr:rowOff>
    </xdr:from>
    <xdr:to>
      <xdr:col>4</xdr:col>
      <xdr:colOff>419100</xdr:colOff>
      <xdr:row>44</xdr:row>
      <xdr:rowOff>9525</xdr:rowOff>
    </xdr:to>
    <xdr:sp macro="" textlink="">
      <xdr:nvSpPr>
        <xdr:cNvPr id="5" name="Line 16">
          <a:extLst>
            <a:ext uri="{FF2B5EF4-FFF2-40B4-BE49-F238E27FC236}">
              <a16:creationId xmlns:a16="http://schemas.microsoft.com/office/drawing/2014/main" id="{00000000-0008-0000-0600-000005000000}"/>
            </a:ext>
          </a:extLst>
        </xdr:cNvPr>
        <xdr:cNvSpPr>
          <a:spLocks noChangeShapeType="1"/>
        </xdr:cNvSpPr>
      </xdr:nvSpPr>
      <xdr:spPr bwMode="auto">
        <a:xfrm>
          <a:off x="2381250" y="1205865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36</xdr:row>
      <xdr:rowOff>0</xdr:rowOff>
    </xdr:from>
    <xdr:to>
      <xdr:col>31</xdr:col>
      <xdr:colOff>0</xdr:colOff>
      <xdr:row>36</xdr:row>
      <xdr:rowOff>0</xdr:rowOff>
    </xdr:to>
    <xdr:sp macro="" textlink="">
      <xdr:nvSpPr>
        <xdr:cNvPr id="6" name="Line 17">
          <a:extLst>
            <a:ext uri="{FF2B5EF4-FFF2-40B4-BE49-F238E27FC236}">
              <a16:creationId xmlns:a16="http://schemas.microsoft.com/office/drawing/2014/main" id="{00000000-0008-0000-0600-000006000000}"/>
            </a:ext>
          </a:extLst>
        </xdr:cNvPr>
        <xdr:cNvSpPr>
          <a:spLocks noChangeShapeType="1"/>
        </xdr:cNvSpPr>
      </xdr:nvSpPr>
      <xdr:spPr bwMode="auto">
        <a:xfrm>
          <a:off x="15887700" y="10734675"/>
          <a:ext cx="0" cy="0"/>
        </a:xfrm>
        <a:prstGeom prst="line">
          <a:avLst/>
        </a:prstGeom>
        <a:noFill/>
        <a:ln w="9525">
          <a:solidFill>
            <a:srgbClr val="000000"/>
          </a:solidFill>
          <a:prstDash val="sysDot"/>
          <a:round/>
          <a:headEnd/>
          <a:tailEnd/>
        </a:ln>
      </xdr:spPr>
    </xdr:sp>
    <xdr:clientData/>
  </xdr:twoCellAnchor>
  <xdr:twoCellAnchor>
    <xdr:from>
      <xdr:col>31</xdr:col>
      <xdr:colOff>0</xdr:colOff>
      <xdr:row>38</xdr:row>
      <xdr:rowOff>0</xdr:rowOff>
    </xdr:from>
    <xdr:to>
      <xdr:col>31</xdr:col>
      <xdr:colOff>9525</xdr:colOff>
      <xdr:row>38</xdr:row>
      <xdr:rowOff>0</xdr:rowOff>
    </xdr:to>
    <xdr:sp macro="" textlink="">
      <xdr:nvSpPr>
        <xdr:cNvPr id="7" name="Line 19">
          <a:extLst>
            <a:ext uri="{FF2B5EF4-FFF2-40B4-BE49-F238E27FC236}">
              <a16:creationId xmlns:a16="http://schemas.microsoft.com/office/drawing/2014/main" id="{00000000-0008-0000-0600-000007000000}"/>
            </a:ext>
          </a:extLst>
        </xdr:cNvPr>
        <xdr:cNvSpPr>
          <a:spLocks noChangeShapeType="1"/>
        </xdr:cNvSpPr>
      </xdr:nvSpPr>
      <xdr:spPr bwMode="auto">
        <a:xfrm>
          <a:off x="15887700" y="111728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8" name="Line 20">
          <a:extLst>
            <a:ext uri="{FF2B5EF4-FFF2-40B4-BE49-F238E27FC236}">
              <a16:creationId xmlns:a16="http://schemas.microsoft.com/office/drawing/2014/main" id="{00000000-0008-0000-0600-000008000000}"/>
            </a:ext>
          </a:extLst>
        </xdr:cNvPr>
        <xdr:cNvSpPr>
          <a:spLocks noChangeShapeType="1"/>
        </xdr:cNvSpPr>
      </xdr:nvSpPr>
      <xdr:spPr bwMode="auto">
        <a:xfrm>
          <a:off x="15887700" y="12049125"/>
          <a:ext cx="0" cy="0"/>
        </a:xfrm>
        <a:prstGeom prst="line">
          <a:avLst/>
        </a:prstGeom>
        <a:noFill/>
        <a:ln w="9525">
          <a:solidFill>
            <a:srgbClr val="000000"/>
          </a:solidFill>
          <a:prstDash val="sysDot"/>
          <a:round/>
          <a:headEnd/>
          <a:tailEnd/>
        </a:ln>
      </xdr:spPr>
    </xdr:sp>
    <xdr:clientData/>
  </xdr:twoCellAnchor>
  <xdr:twoCellAnchor>
    <xdr:from>
      <xdr:col>31</xdr:col>
      <xdr:colOff>0</xdr:colOff>
      <xdr:row>45</xdr:row>
      <xdr:rowOff>0</xdr:rowOff>
    </xdr:from>
    <xdr:to>
      <xdr:col>31</xdr:col>
      <xdr:colOff>0</xdr:colOff>
      <xdr:row>45</xdr:row>
      <xdr:rowOff>0</xdr:rowOff>
    </xdr:to>
    <xdr:sp macro="" textlink="">
      <xdr:nvSpPr>
        <xdr:cNvPr id="9" name="Line 22">
          <a:extLst>
            <a:ext uri="{FF2B5EF4-FFF2-40B4-BE49-F238E27FC236}">
              <a16:creationId xmlns:a16="http://schemas.microsoft.com/office/drawing/2014/main" id="{00000000-0008-0000-0600-000009000000}"/>
            </a:ext>
          </a:extLst>
        </xdr:cNvPr>
        <xdr:cNvSpPr>
          <a:spLocks noChangeShapeType="1"/>
        </xdr:cNvSpPr>
      </xdr:nvSpPr>
      <xdr:spPr bwMode="auto">
        <a:xfrm>
          <a:off x="15887700" y="12268200"/>
          <a:ext cx="0" cy="0"/>
        </a:xfrm>
        <a:prstGeom prst="line">
          <a:avLst/>
        </a:prstGeom>
        <a:noFill/>
        <a:ln w="9525">
          <a:solidFill>
            <a:srgbClr val="000000"/>
          </a:solidFill>
          <a:prstDash val="sysDot"/>
          <a:round/>
          <a:headEnd/>
          <a:tailEnd/>
        </a:ln>
      </xdr:spPr>
    </xdr:sp>
    <xdr:clientData/>
  </xdr:twoCellAnchor>
  <xdr:twoCellAnchor>
    <xdr:from>
      <xdr:col>31</xdr:col>
      <xdr:colOff>0</xdr:colOff>
      <xdr:row>47</xdr:row>
      <xdr:rowOff>0</xdr:rowOff>
    </xdr:from>
    <xdr:to>
      <xdr:col>31</xdr:col>
      <xdr:colOff>0</xdr:colOff>
      <xdr:row>47</xdr:row>
      <xdr:rowOff>0</xdr:rowOff>
    </xdr:to>
    <xdr:sp macro="" textlink="">
      <xdr:nvSpPr>
        <xdr:cNvPr id="10" name="Line 23">
          <a:extLst>
            <a:ext uri="{FF2B5EF4-FFF2-40B4-BE49-F238E27FC236}">
              <a16:creationId xmlns:a16="http://schemas.microsoft.com/office/drawing/2014/main" id="{00000000-0008-0000-0600-00000A000000}"/>
            </a:ext>
          </a:extLst>
        </xdr:cNvPr>
        <xdr:cNvSpPr>
          <a:spLocks noChangeShapeType="1"/>
        </xdr:cNvSpPr>
      </xdr:nvSpPr>
      <xdr:spPr bwMode="auto">
        <a:xfrm>
          <a:off x="15887700" y="1270635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45</xdr:row>
      <xdr:rowOff>0</xdr:rowOff>
    </xdr:from>
    <xdr:to>
      <xdr:col>30</xdr:col>
      <xdr:colOff>1285875</xdr:colOff>
      <xdr:row>45</xdr:row>
      <xdr:rowOff>0</xdr:rowOff>
    </xdr:to>
    <xdr:sp macro="" textlink="">
      <xdr:nvSpPr>
        <xdr:cNvPr id="11" name="Line 24">
          <a:extLst>
            <a:ext uri="{FF2B5EF4-FFF2-40B4-BE49-F238E27FC236}">
              <a16:creationId xmlns:a16="http://schemas.microsoft.com/office/drawing/2014/main" id="{00000000-0008-0000-0600-00000B000000}"/>
            </a:ext>
          </a:extLst>
        </xdr:cNvPr>
        <xdr:cNvSpPr>
          <a:spLocks noChangeShapeType="1"/>
        </xdr:cNvSpPr>
      </xdr:nvSpPr>
      <xdr:spPr bwMode="auto">
        <a:xfrm>
          <a:off x="12458700" y="1226820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31</xdr:row>
      <xdr:rowOff>0</xdr:rowOff>
    </xdr:from>
    <xdr:to>
      <xdr:col>29</xdr:col>
      <xdr:colOff>0</xdr:colOff>
      <xdr:row>31</xdr:row>
      <xdr:rowOff>0</xdr:rowOff>
    </xdr:to>
    <xdr:sp macro="" textlink="">
      <xdr:nvSpPr>
        <xdr:cNvPr id="12" name="Line 8">
          <a:extLst>
            <a:ext uri="{FF2B5EF4-FFF2-40B4-BE49-F238E27FC236}">
              <a16:creationId xmlns:a16="http://schemas.microsoft.com/office/drawing/2014/main" id="{00000000-0008-0000-0600-00000C000000}"/>
            </a:ext>
          </a:extLst>
        </xdr:cNvPr>
        <xdr:cNvSpPr>
          <a:spLocks noChangeShapeType="1"/>
        </xdr:cNvSpPr>
      </xdr:nvSpPr>
      <xdr:spPr bwMode="auto">
        <a:xfrm>
          <a:off x="13868400" y="9544050"/>
          <a:ext cx="0" cy="0"/>
        </a:xfrm>
        <a:prstGeom prst="line">
          <a:avLst/>
        </a:prstGeom>
        <a:noFill/>
        <a:ln w="9525">
          <a:solidFill>
            <a:srgbClr val="000000"/>
          </a:solidFill>
          <a:prstDash val="sysDot"/>
          <a:round/>
          <a:headEnd/>
          <a:tailEnd/>
        </a:ln>
      </xdr:spPr>
    </xdr:sp>
    <xdr:clientData/>
  </xdr:twoCellAnchor>
  <xdr:twoCellAnchor>
    <xdr:from>
      <xdr:col>29</xdr:col>
      <xdr:colOff>0</xdr:colOff>
      <xdr:row>33</xdr:row>
      <xdr:rowOff>0</xdr:rowOff>
    </xdr:from>
    <xdr:to>
      <xdr:col>29</xdr:col>
      <xdr:colOff>0</xdr:colOff>
      <xdr:row>33</xdr:row>
      <xdr:rowOff>0</xdr:rowOff>
    </xdr:to>
    <xdr:sp macro="" textlink="">
      <xdr:nvSpPr>
        <xdr:cNvPr id="13" name="Line 9">
          <a:extLst>
            <a:ext uri="{FF2B5EF4-FFF2-40B4-BE49-F238E27FC236}">
              <a16:creationId xmlns:a16="http://schemas.microsoft.com/office/drawing/2014/main" id="{00000000-0008-0000-0600-00000D000000}"/>
            </a:ext>
          </a:extLst>
        </xdr:cNvPr>
        <xdr:cNvSpPr>
          <a:spLocks noChangeShapeType="1"/>
        </xdr:cNvSpPr>
      </xdr:nvSpPr>
      <xdr:spPr bwMode="auto">
        <a:xfrm>
          <a:off x="13868400" y="10077450"/>
          <a:ext cx="0" cy="0"/>
        </a:xfrm>
        <a:prstGeom prst="line">
          <a:avLst/>
        </a:prstGeom>
        <a:noFill/>
        <a:ln w="9525">
          <a:solidFill>
            <a:srgbClr val="000000"/>
          </a:solidFill>
          <a:prstDash val="sysDot"/>
          <a:round/>
          <a:headEnd/>
          <a:tailEnd/>
        </a:ln>
      </xdr:spPr>
    </xdr:sp>
    <xdr:clientData/>
  </xdr:twoCellAnchor>
  <xdr:twoCellAnchor>
    <xdr:from>
      <xdr:col>29</xdr:col>
      <xdr:colOff>0</xdr:colOff>
      <xdr:row>36</xdr:row>
      <xdr:rowOff>0</xdr:rowOff>
    </xdr:from>
    <xdr:to>
      <xdr:col>29</xdr:col>
      <xdr:colOff>0</xdr:colOff>
      <xdr:row>36</xdr:row>
      <xdr:rowOff>0</xdr:rowOff>
    </xdr:to>
    <xdr:sp macro="" textlink="">
      <xdr:nvSpPr>
        <xdr:cNvPr id="14" name="Line 18">
          <a:extLst>
            <a:ext uri="{FF2B5EF4-FFF2-40B4-BE49-F238E27FC236}">
              <a16:creationId xmlns:a16="http://schemas.microsoft.com/office/drawing/2014/main" id="{00000000-0008-0000-0600-00000E000000}"/>
            </a:ext>
          </a:extLst>
        </xdr:cNvPr>
        <xdr:cNvSpPr>
          <a:spLocks noChangeShapeType="1"/>
        </xdr:cNvSpPr>
      </xdr:nvSpPr>
      <xdr:spPr bwMode="auto">
        <a:xfrm>
          <a:off x="13868400" y="10734675"/>
          <a:ext cx="0" cy="0"/>
        </a:xfrm>
        <a:prstGeom prst="line">
          <a:avLst/>
        </a:prstGeom>
        <a:noFill/>
        <a:ln w="9525">
          <a:solidFill>
            <a:srgbClr val="000000"/>
          </a:solidFill>
          <a:prstDash val="sysDot"/>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57150</xdr:colOff>
      <xdr:row>41</xdr:row>
      <xdr:rowOff>0</xdr:rowOff>
    </xdr:from>
    <xdr:to>
      <xdr:col>1</xdr:col>
      <xdr:colOff>1457325</xdr:colOff>
      <xdr:row>41</xdr:row>
      <xdr:rowOff>9525</xdr:rowOff>
    </xdr:to>
    <xdr:sp macro="" textlink="">
      <xdr:nvSpPr>
        <xdr:cNvPr id="2" name="Line 3">
          <a:extLst>
            <a:ext uri="{FF2B5EF4-FFF2-40B4-BE49-F238E27FC236}">
              <a16:creationId xmlns:a16="http://schemas.microsoft.com/office/drawing/2014/main" id="{00000000-0008-0000-0700-000002000000}"/>
            </a:ext>
          </a:extLst>
        </xdr:cNvPr>
        <xdr:cNvSpPr>
          <a:spLocks noChangeShapeType="1"/>
        </xdr:cNvSpPr>
      </xdr:nvSpPr>
      <xdr:spPr bwMode="auto">
        <a:xfrm>
          <a:off x="57150" y="1204912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41</xdr:row>
      <xdr:rowOff>0</xdr:rowOff>
    </xdr:from>
    <xdr:to>
      <xdr:col>4</xdr:col>
      <xdr:colOff>457200</xdr:colOff>
      <xdr:row>41</xdr:row>
      <xdr:rowOff>0</xdr:rowOff>
    </xdr:to>
    <xdr:sp macro="" textlink="">
      <xdr:nvSpPr>
        <xdr:cNvPr id="3" name="Line 4">
          <a:extLst>
            <a:ext uri="{FF2B5EF4-FFF2-40B4-BE49-F238E27FC236}">
              <a16:creationId xmlns:a16="http://schemas.microsoft.com/office/drawing/2014/main" id="{00000000-0008-0000-0700-000003000000}"/>
            </a:ext>
          </a:extLst>
        </xdr:cNvPr>
        <xdr:cNvSpPr>
          <a:spLocks noChangeShapeType="1"/>
        </xdr:cNvSpPr>
      </xdr:nvSpPr>
      <xdr:spPr bwMode="auto">
        <a:xfrm>
          <a:off x="2419350" y="1204912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37</xdr:row>
      <xdr:rowOff>0</xdr:rowOff>
    </xdr:from>
    <xdr:to>
      <xdr:col>4</xdr:col>
      <xdr:colOff>19050</xdr:colOff>
      <xdr:row>37</xdr:row>
      <xdr:rowOff>0</xdr:rowOff>
    </xdr:to>
    <xdr:sp macro="" textlink="">
      <xdr:nvSpPr>
        <xdr:cNvPr id="4" name="Line 13">
          <a:extLst>
            <a:ext uri="{FF2B5EF4-FFF2-40B4-BE49-F238E27FC236}">
              <a16:creationId xmlns:a16="http://schemas.microsoft.com/office/drawing/2014/main" id="{00000000-0008-0000-0700-000004000000}"/>
            </a:ext>
          </a:extLst>
        </xdr:cNvPr>
        <xdr:cNvSpPr>
          <a:spLocks noChangeShapeType="1"/>
        </xdr:cNvSpPr>
      </xdr:nvSpPr>
      <xdr:spPr bwMode="auto">
        <a:xfrm>
          <a:off x="38100" y="11391900"/>
          <a:ext cx="4048125" cy="0"/>
        </a:xfrm>
        <a:prstGeom prst="line">
          <a:avLst/>
        </a:prstGeom>
        <a:noFill/>
        <a:ln w="9525">
          <a:solidFill>
            <a:srgbClr val="000000"/>
          </a:solidFill>
          <a:prstDash val="sysDot"/>
          <a:round/>
          <a:headEnd/>
          <a:tailEnd/>
        </a:ln>
      </xdr:spPr>
    </xdr:sp>
    <xdr:clientData/>
  </xdr:twoCellAnchor>
  <xdr:twoCellAnchor>
    <xdr:from>
      <xdr:col>2</xdr:col>
      <xdr:colOff>228600</xdr:colOff>
      <xdr:row>41</xdr:row>
      <xdr:rowOff>9525</xdr:rowOff>
    </xdr:from>
    <xdr:to>
      <xdr:col>4</xdr:col>
      <xdr:colOff>419100</xdr:colOff>
      <xdr:row>41</xdr:row>
      <xdr:rowOff>9525</xdr:rowOff>
    </xdr:to>
    <xdr:sp macro="" textlink="">
      <xdr:nvSpPr>
        <xdr:cNvPr id="5" name="Line 16">
          <a:extLst>
            <a:ext uri="{FF2B5EF4-FFF2-40B4-BE49-F238E27FC236}">
              <a16:creationId xmlns:a16="http://schemas.microsoft.com/office/drawing/2014/main" id="{00000000-0008-0000-0700-000005000000}"/>
            </a:ext>
          </a:extLst>
        </xdr:cNvPr>
        <xdr:cNvSpPr>
          <a:spLocks noChangeShapeType="1"/>
        </xdr:cNvSpPr>
      </xdr:nvSpPr>
      <xdr:spPr bwMode="auto">
        <a:xfrm>
          <a:off x="2381250" y="1205865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33</xdr:row>
      <xdr:rowOff>0</xdr:rowOff>
    </xdr:from>
    <xdr:to>
      <xdr:col>31</xdr:col>
      <xdr:colOff>0</xdr:colOff>
      <xdr:row>33</xdr:row>
      <xdr:rowOff>0</xdr:rowOff>
    </xdr:to>
    <xdr:sp macro="" textlink="">
      <xdr:nvSpPr>
        <xdr:cNvPr id="6" name="Line 17">
          <a:extLst>
            <a:ext uri="{FF2B5EF4-FFF2-40B4-BE49-F238E27FC236}">
              <a16:creationId xmlns:a16="http://schemas.microsoft.com/office/drawing/2014/main" id="{00000000-0008-0000-0700-000006000000}"/>
            </a:ext>
          </a:extLst>
        </xdr:cNvPr>
        <xdr:cNvSpPr>
          <a:spLocks noChangeShapeType="1"/>
        </xdr:cNvSpPr>
      </xdr:nvSpPr>
      <xdr:spPr bwMode="auto">
        <a:xfrm>
          <a:off x="15887700" y="10734675"/>
          <a:ext cx="0"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9525</xdr:colOff>
      <xdr:row>35</xdr:row>
      <xdr:rowOff>0</xdr:rowOff>
    </xdr:to>
    <xdr:sp macro="" textlink="">
      <xdr:nvSpPr>
        <xdr:cNvPr id="7" name="Line 19">
          <a:extLst>
            <a:ext uri="{FF2B5EF4-FFF2-40B4-BE49-F238E27FC236}">
              <a16:creationId xmlns:a16="http://schemas.microsoft.com/office/drawing/2014/main" id="{00000000-0008-0000-0700-000007000000}"/>
            </a:ext>
          </a:extLst>
        </xdr:cNvPr>
        <xdr:cNvSpPr>
          <a:spLocks noChangeShapeType="1"/>
        </xdr:cNvSpPr>
      </xdr:nvSpPr>
      <xdr:spPr bwMode="auto">
        <a:xfrm>
          <a:off x="15887700" y="111728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41</xdr:row>
      <xdr:rowOff>0</xdr:rowOff>
    </xdr:from>
    <xdr:to>
      <xdr:col>31</xdr:col>
      <xdr:colOff>0</xdr:colOff>
      <xdr:row>41</xdr:row>
      <xdr:rowOff>0</xdr:rowOff>
    </xdr:to>
    <xdr:sp macro="" textlink="">
      <xdr:nvSpPr>
        <xdr:cNvPr id="8" name="Line 20">
          <a:extLst>
            <a:ext uri="{FF2B5EF4-FFF2-40B4-BE49-F238E27FC236}">
              <a16:creationId xmlns:a16="http://schemas.microsoft.com/office/drawing/2014/main" id="{00000000-0008-0000-0700-000008000000}"/>
            </a:ext>
          </a:extLst>
        </xdr:cNvPr>
        <xdr:cNvSpPr>
          <a:spLocks noChangeShapeType="1"/>
        </xdr:cNvSpPr>
      </xdr:nvSpPr>
      <xdr:spPr bwMode="auto">
        <a:xfrm>
          <a:off x="15887700" y="12049125"/>
          <a:ext cx="0"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9" name="Line 22">
          <a:extLst>
            <a:ext uri="{FF2B5EF4-FFF2-40B4-BE49-F238E27FC236}">
              <a16:creationId xmlns:a16="http://schemas.microsoft.com/office/drawing/2014/main" id="{00000000-0008-0000-0700-000009000000}"/>
            </a:ext>
          </a:extLst>
        </xdr:cNvPr>
        <xdr:cNvSpPr>
          <a:spLocks noChangeShapeType="1"/>
        </xdr:cNvSpPr>
      </xdr:nvSpPr>
      <xdr:spPr bwMode="auto">
        <a:xfrm>
          <a:off x="15887700" y="12268200"/>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10" name="Line 23">
          <a:extLst>
            <a:ext uri="{FF2B5EF4-FFF2-40B4-BE49-F238E27FC236}">
              <a16:creationId xmlns:a16="http://schemas.microsoft.com/office/drawing/2014/main" id="{00000000-0008-0000-0700-00000A000000}"/>
            </a:ext>
          </a:extLst>
        </xdr:cNvPr>
        <xdr:cNvSpPr>
          <a:spLocks noChangeShapeType="1"/>
        </xdr:cNvSpPr>
      </xdr:nvSpPr>
      <xdr:spPr bwMode="auto">
        <a:xfrm>
          <a:off x="15887700" y="1270635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42</xdr:row>
      <xdr:rowOff>0</xdr:rowOff>
    </xdr:from>
    <xdr:to>
      <xdr:col>30</xdr:col>
      <xdr:colOff>1285875</xdr:colOff>
      <xdr:row>42</xdr:row>
      <xdr:rowOff>0</xdr:rowOff>
    </xdr:to>
    <xdr:sp macro="" textlink="">
      <xdr:nvSpPr>
        <xdr:cNvPr id="11" name="Line 24">
          <a:extLst>
            <a:ext uri="{FF2B5EF4-FFF2-40B4-BE49-F238E27FC236}">
              <a16:creationId xmlns:a16="http://schemas.microsoft.com/office/drawing/2014/main" id="{00000000-0008-0000-0700-00000B000000}"/>
            </a:ext>
          </a:extLst>
        </xdr:cNvPr>
        <xdr:cNvSpPr>
          <a:spLocks noChangeShapeType="1"/>
        </xdr:cNvSpPr>
      </xdr:nvSpPr>
      <xdr:spPr bwMode="auto">
        <a:xfrm>
          <a:off x="12458700" y="1226820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28</xdr:row>
      <xdr:rowOff>0</xdr:rowOff>
    </xdr:from>
    <xdr:to>
      <xdr:col>29</xdr:col>
      <xdr:colOff>0</xdr:colOff>
      <xdr:row>28</xdr:row>
      <xdr:rowOff>0</xdr:rowOff>
    </xdr:to>
    <xdr:sp macro="" textlink="">
      <xdr:nvSpPr>
        <xdr:cNvPr id="12" name="Line 8">
          <a:extLst>
            <a:ext uri="{FF2B5EF4-FFF2-40B4-BE49-F238E27FC236}">
              <a16:creationId xmlns:a16="http://schemas.microsoft.com/office/drawing/2014/main" id="{00000000-0008-0000-0700-00000C000000}"/>
            </a:ext>
          </a:extLst>
        </xdr:cNvPr>
        <xdr:cNvSpPr>
          <a:spLocks noChangeShapeType="1"/>
        </xdr:cNvSpPr>
      </xdr:nvSpPr>
      <xdr:spPr bwMode="auto">
        <a:xfrm>
          <a:off x="13868400" y="9544050"/>
          <a:ext cx="0"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3" name="Line 9">
          <a:extLst>
            <a:ext uri="{FF2B5EF4-FFF2-40B4-BE49-F238E27FC236}">
              <a16:creationId xmlns:a16="http://schemas.microsoft.com/office/drawing/2014/main" id="{00000000-0008-0000-0700-00000D000000}"/>
            </a:ext>
          </a:extLst>
        </xdr:cNvPr>
        <xdr:cNvSpPr>
          <a:spLocks noChangeShapeType="1"/>
        </xdr:cNvSpPr>
      </xdr:nvSpPr>
      <xdr:spPr bwMode="auto">
        <a:xfrm>
          <a:off x="13868400" y="10077450"/>
          <a:ext cx="0" cy="0"/>
        </a:xfrm>
        <a:prstGeom prst="line">
          <a:avLst/>
        </a:prstGeom>
        <a:noFill/>
        <a:ln w="9525">
          <a:solidFill>
            <a:srgbClr val="000000"/>
          </a:solidFill>
          <a:prstDash val="sysDot"/>
          <a:round/>
          <a:headEnd/>
          <a:tailEnd/>
        </a:ln>
      </xdr:spPr>
    </xdr:sp>
    <xdr:clientData/>
  </xdr:twoCellAnchor>
  <xdr:twoCellAnchor>
    <xdr:from>
      <xdr:col>29</xdr:col>
      <xdr:colOff>0</xdr:colOff>
      <xdr:row>33</xdr:row>
      <xdr:rowOff>0</xdr:rowOff>
    </xdr:from>
    <xdr:to>
      <xdr:col>29</xdr:col>
      <xdr:colOff>0</xdr:colOff>
      <xdr:row>33</xdr:row>
      <xdr:rowOff>0</xdr:rowOff>
    </xdr:to>
    <xdr:sp macro="" textlink="">
      <xdr:nvSpPr>
        <xdr:cNvPr id="14" name="Line 18">
          <a:extLst>
            <a:ext uri="{FF2B5EF4-FFF2-40B4-BE49-F238E27FC236}">
              <a16:creationId xmlns:a16="http://schemas.microsoft.com/office/drawing/2014/main" id="{00000000-0008-0000-0700-00000E000000}"/>
            </a:ext>
          </a:extLst>
        </xdr:cNvPr>
        <xdr:cNvSpPr>
          <a:spLocks noChangeShapeType="1"/>
        </xdr:cNvSpPr>
      </xdr:nvSpPr>
      <xdr:spPr bwMode="auto">
        <a:xfrm>
          <a:off x="13868400" y="10734675"/>
          <a:ext cx="0" cy="0"/>
        </a:xfrm>
        <a:prstGeom prst="line">
          <a:avLst/>
        </a:prstGeom>
        <a:noFill/>
        <a:ln w="9525">
          <a:solidFill>
            <a:srgbClr val="000000"/>
          </a:solidFill>
          <a:prstDash val="sysDot"/>
          <a:round/>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57150</xdr:colOff>
      <xdr:row>43</xdr:row>
      <xdr:rowOff>0</xdr:rowOff>
    </xdr:from>
    <xdr:to>
      <xdr:col>1</xdr:col>
      <xdr:colOff>1457325</xdr:colOff>
      <xdr:row>43</xdr:row>
      <xdr:rowOff>9525</xdr:rowOff>
    </xdr:to>
    <xdr:sp macro="" textlink="">
      <xdr:nvSpPr>
        <xdr:cNvPr id="2" name="Line 3">
          <a:extLst>
            <a:ext uri="{FF2B5EF4-FFF2-40B4-BE49-F238E27FC236}">
              <a16:creationId xmlns:a16="http://schemas.microsoft.com/office/drawing/2014/main" id="{00000000-0008-0000-0800-000002000000}"/>
            </a:ext>
          </a:extLst>
        </xdr:cNvPr>
        <xdr:cNvSpPr>
          <a:spLocks noChangeShapeType="1"/>
        </xdr:cNvSpPr>
      </xdr:nvSpPr>
      <xdr:spPr bwMode="auto">
        <a:xfrm>
          <a:off x="57150" y="12049125"/>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43</xdr:row>
      <xdr:rowOff>0</xdr:rowOff>
    </xdr:from>
    <xdr:to>
      <xdr:col>4</xdr:col>
      <xdr:colOff>457200</xdr:colOff>
      <xdr:row>43</xdr:row>
      <xdr:rowOff>0</xdr:rowOff>
    </xdr:to>
    <xdr:sp macro="" textlink="">
      <xdr:nvSpPr>
        <xdr:cNvPr id="3" name="Line 4">
          <a:extLst>
            <a:ext uri="{FF2B5EF4-FFF2-40B4-BE49-F238E27FC236}">
              <a16:creationId xmlns:a16="http://schemas.microsoft.com/office/drawing/2014/main" id="{00000000-0008-0000-0800-000003000000}"/>
            </a:ext>
          </a:extLst>
        </xdr:cNvPr>
        <xdr:cNvSpPr>
          <a:spLocks noChangeShapeType="1"/>
        </xdr:cNvSpPr>
      </xdr:nvSpPr>
      <xdr:spPr bwMode="auto">
        <a:xfrm>
          <a:off x="2419350" y="12049125"/>
          <a:ext cx="2105025" cy="0"/>
        </a:xfrm>
        <a:prstGeom prst="line">
          <a:avLst/>
        </a:prstGeom>
        <a:noFill/>
        <a:ln w="9525">
          <a:solidFill>
            <a:srgbClr val="000000"/>
          </a:solidFill>
          <a:prstDash val="sysDot"/>
          <a:round/>
          <a:headEnd/>
          <a:tailEnd/>
        </a:ln>
      </xdr:spPr>
    </xdr:sp>
    <xdr:clientData/>
  </xdr:twoCellAnchor>
  <xdr:twoCellAnchor>
    <xdr:from>
      <xdr:col>0</xdr:col>
      <xdr:colOff>38100</xdr:colOff>
      <xdr:row>39</xdr:row>
      <xdr:rowOff>0</xdr:rowOff>
    </xdr:from>
    <xdr:to>
      <xdr:col>4</xdr:col>
      <xdr:colOff>19050</xdr:colOff>
      <xdr:row>39</xdr:row>
      <xdr:rowOff>0</xdr:rowOff>
    </xdr:to>
    <xdr:sp macro="" textlink="">
      <xdr:nvSpPr>
        <xdr:cNvPr id="4" name="Line 13">
          <a:extLst>
            <a:ext uri="{FF2B5EF4-FFF2-40B4-BE49-F238E27FC236}">
              <a16:creationId xmlns:a16="http://schemas.microsoft.com/office/drawing/2014/main" id="{00000000-0008-0000-0800-000004000000}"/>
            </a:ext>
          </a:extLst>
        </xdr:cNvPr>
        <xdr:cNvSpPr>
          <a:spLocks noChangeShapeType="1"/>
        </xdr:cNvSpPr>
      </xdr:nvSpPr>
      <xdr:spPr bwMode="auto">
        <a:xfrm>
          <a:off x="38100" y="11391900"/>
          <a:ext cx="4048125" cy="0"/>
        </a:xfrm>
        <a:prstGeom prst="line">
          <a:avLst/>
        </a:prstGeom>
        <a:noFill/>
        <a:ln w="9525">
          <a:solidFill>
            <a:srgbClr val="000000"/>
          </a:solidFill>
          <a:prstDash val="sysDot"/>
          <a:round/>
          <a:headEnd/>
          <a:tailEnd/>
        </a:ln>
      </xdr:spPr>
    </xdr:sp>
    <xdr:clientData/>
  </xdr:twoCellAnchor>
  <xdr:twoCellAnchor>
    <xdr:from>
      <xdr:col>2</xdr:col>
      <xdr:colOff>228600</xdr:colOff>
      <xdr:row>43</xdr:row>
      <xdr:rowOff>9525</xdr:rowOff>
    </xdr:from>
    <xdr:to>
      <xdr:col>4</xdr:col>
      <xdr:colOff>419100</xdr:colOff>
      <xdr:row>43</xdr:row>
      <xdr:rowOff>9525</xdr:rowOff>
    </xdr:to>
    <xdr:sp macro="" textlink="">
      <xdr:nvSpPr>
        <xdr:cNvPr id="5" name="Line 16">
          <a:extLst>
            <a:ext uri="{FF2B5EF4-FFF2-40B4-BE49-F238E27FC236}">
              <a16:creationId xmlns:a16="http://schemas.microsoft.com/office/drawing/2014/main" id="{00000000-0008-0000-0800-000005000000}"/>
            </a:ext>
          </a:extLst>
        </xdr:cNvPr>
        <xdr:cNvSpPr>
          <a:spLocks noChangeShapeType="1"/>
        </xdr:cNvSpPr>
      </xdr:nvSpPr>
      <xdr:spPr bwMode="auto">
        <a:xfrm>
          <a:off x="2381250" y="12058650"/>
          <a:ext cx="2105025"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0</xdr:colOff>
      <xdr:row>35</xdr:row>
      <xdr:rowOff>0</xdr:rowOff>
    </xdr:to>
    <xdr:sp macro="" textlink="">
      <xdr:nvSpPr>
        <xdr:cNvPr id="6" name="Line 17">
          <a:extLst>
            <a:ext uri="{FF2B5EF4-FFF2-40B4-BE49-F238E27FC236}">
              <a16:creationId xmlns:a16="http://schemas.microsoft.com/office/drawing/2014/main" id="{00000000-0008-0000-0800-000006000000}"/>
            </a:ext>
          </a:extLst>
        </xdr:cNvPr>
        <xdr:cNvSpPr>
          <a:spLocks noChangeShapeType="1"/>
        </xdr:cNvSpPr>
      </xdr:nvSpPr>
      <xdr:spPr bwMode="auto">
        <a:xfrm>
          <a:off x="15887700" y="10734675"/>
          <a:ext cx="0" cy="0"/>
        </a:xfrm>
        <a:prstGeom prst="line">
          <a:avLst/>
        </a:prstGeom>
        <a:noFill/>
        <a:ln w="9525">
          <a:solidFill>
            <a:srgbClr val="000000"/>
          </a:solidFill>
          <a:prstDash val="sysDot"/>
          <a:round/>
          <a:headEnd/>
          <a:tailEnd/>
        </a:ln>
      </xdr:spPr>
    </xdr:sp>
    <xdr:clientData/>
  </xdr:twoCellAnchor>
  <xdr:twoCellAnchor>
    <xdr:from>
      <xdr:col>31</xdr:col>
      <xdr:colOff>0</xdr:colOff>
      <xdr:row>37</xdr:row>
      <xdr:rowOff>0</xdr:rowOff>
    </xdr:from>
    <xdr:to>
      <xdr:col>31</xdr:col>
      <xdr:colOff>9525</xdr:colOff>
      <xdr:row>37</xdr:row>
      <xdr:rowOff>0</xdr:rowOff>
    </xdr:to>
    <xdr:sp macro="" textlink="">
      <xdr:nvSpPr>
        <xdr:cNvPr id="7" name="Line 19">
          <a:extLst>
            <a:ext uri="{FF2B5EF4-FFF2-40B4-BE49-F238E27FC236}">
              <a16:creationId xmlns:a16="http://schemas.microsoft.com/office/drawing/2014/main" id="{00000000-0008-0000-0800-000007000000}"/>
            </a:ext>
          </a:extLst>
        </xdr:cNvPr>
        <xdr:cNvSpPr>
          <a:spLocks noChangeShapeType="1"/>
        </xdr:cNvSpPr>
      </xdr:nvSpPr>
      <xdr:spPr bwMode="auto">
        <a:xfrm>
          <a:off x="15887700" y="111728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43</xdr:row>
      <xdr:rowOff>0</xdr:rowOff>
    </xdr:from>
    <xdr:to>
      <xdr:col>31</xdr:col>
      <xdr:colOff>0</xdr:colOff>
      <xdr:row>43</xdr:row>
      <xdr:rowOff>0</xdr:rowOff>
    </xdr:to>
    <xdr:sp macro="" textlink="">
      <xdr:nvSpPr>
        <xdr:cNvPr id="8" name="Line 20">
          <a:extLst>
            <a:ext uri="{FF2B5EF4-FFF2-40B4-BE49-F238E27FC236}">
              <a16:creationId xmlns:a16="http://schemas.microsoft.com/office/drawing/2014/main" id="{00000000-0008-0000-0800-000008000000}"/>
            </a:ext>
          </a:extLst>
        </xdr:cNvPr>
        <xdr:cNvSpPr>
          <a:spLocks noChangeShapeType="1"/>
        </xdr:cNvSpPr>
      </xdr:nvSpPr>
      <xdr:spPr bwMode="auto">
        <a:xfrm>
          <a:off x="15887700" y="12049125"/>
          <a:ext cx="0" cy="0"/>
        </a:xfrm>
        <a:prstGeom prst="line">
          <a:avLst/>
        </a:prstGeom>
        <a:noFill/>
        <a:ln w="9525">
          <a:solidFill>
            <a:srgbClr val="000000"/>
          </a:solidFill>
          <a:prstDash val="sysDot"/>
          <a:round/>
          <a:headEnd/>
          <a:tailEnd/>
        </a:ln>
      </xdr:spPr>
    </xdr:sp>
    <xdr:clientData/>
  </xdr:twoCellAnchor>
  <xdr:twoCellAnchor>
    <xdr:from>
      <xdr:col>31</xdr:col>
      <xdr:colOff>0</xdr:colOff>
      <xdr:row>44</xdr:row>
      <xdr:rowOff>0</xdr:rowOff>
    </xdr:from>
    <xdr:to>
      <xdr:col>31</xdr:col>
      <xdr:colOff>0</xdr:colOff>
      <xdr:row>44</xdr:row>
      <xdr:rowOff>0</xdr:rowOff>
    </xdr:to>
    <xdr:sp macro="" textlink="">
      <xdr:nvSpPr>
        <xdr:cNvPr id="9" name="Line 22">
          <a:extLst>
            <a:ext uri="{FF2B5EF4-FFF2-40B4-BE49-F238E27FC236}">
              <a16:creationId xmlns:a16="http://schemas.microsoft.com/office/drawing/2014/main" id="{00000000-0008-0000-0800-000009000000}"/>
            </a:ext>
          </a:extLst>
        </xdr:cNvPr>
        <xdr:cNvSpPr>
          <a:spLocks noChangeShapeType="1"/>
        </xdr:cNvSpPr>
      </xdr:nvSpPr>
      <xdr:spPr bwMode="auto">
        <a:xfrm>
          <a:off x="15887700" y="12268200"/>
          <a:ext cx="0" cy="0"/>
        </a:xfrm>
        <a:prstGeom prst="line">
          <a:avLst/>
        </a:prstGeom>
        <a:noFill/>
        <a:ln w="9525">
          <a:solidFill>
            <a:srgbClr val="000000"/>
          </a:solidFill>
          <a:prstDash val="sysDot"/>
          <a:round/>
          <a:headEnd/>
          <a:tailEnd/>
        </a:ln>
      </xdr:spPr>
    </xdr:sp>
    <xdr:clientData/>
  </xdr:twoCellAnchor>
  <xdr:twoCellAnchor>
    <xdr:from>
      <xdr:col>31</xdr:col>
      <xdr:colOff>0</xdr:colOff>
      <xdr:row>46</xdr:row>
      <xdr:rowOff>0</xdr:rowOff>
    </xdr:from>
    <xdr:to>
      <xdr:col>31</xdr:col>
      <xdr:colOff>0</xdr:colOff>
      <xdr:row>46</xdr:row>
      <xdr:rowOff>0</xdr:rowOff>
    </xdr:to>
    <xdr:sp macro="" textlink="">
      <xdr:nvSpPr>
        <xdr:cNvPr id="10" name="Line 23">
          <a:extLst>
            <a:ext uri="{FF2B5EF4-FFF2-40B4-BE49-F238E27FC236}">
              <a16:creationId xmlns:a16="http://schemas.microsoft.com/office/drawing/2014/main" id="{00000000-0008-0000-0800-00000A000000}"/>
            </a:ext>
          </a:extLst>
        </xdr:cNvPr>
        <xdr:cNvSpPr>
          <a:spLocks noChangeShapeType="1"/>
        </xdr:cNvSpPr>
      </xdr:nvSpPr>
      <xdr:spPr bwMode="auto">
        <a:xfrm>
          <a:off x="15887700" y="12706350"/>
          <a:ext cx="0" cy="0"/>
        </a:xfrm>
        <a:prstGeom prst="line">
          <a:avLst/>
        </a:prstGeom>
        <a:noFill/>
        <a:ln w="9525">
          <a:solidFill>
            <a:srgbClr val="000000"/>
          </a:solidFill>
          <a:prstDash val="sysDot"/>
          <a:round/>
          <a:headEnd/>
          <a:tailEnd/>
        </a:ln>
      </xdr:spPr>
    </xdr:sp>
    <xdr:clientData/>
  </xdr:twoCellAnchor>
  <xdr:twoCellAnchor>
    <xdr:from>
      <xdr:col>27</xdr:col>
      <xdr:colOff>9525</xdr:colOff>
      <xdr:row>44</xdr:row>
      <xdr:rowOff>0</xdr:rowOff>
    </xdr:from>
    <xdr:to>
      <xdr:col>30</xdr:col>
      <xdr:colOff>1285875</xdr:colOff>
      <xdr:row>44</xdr:row>
      <xdr:rowOff>0</xdr:rowOff>
    </xdr:to>
    <xdr:sp macro="" textlink="">
      <xdr:nvSpPr>
        <xdr:cNvPr id="11" name="Line 24">
          <a:extLst>
            <a:ext uri="{FF2B5EF4-FFF2-40B4-BE49-F238E27FC236}">
              <a16:creationId xmlns:a16="http://schemas.microsoft.com/office/drawing/2014/main" id="{00000000-0008-0000-0800-00000B000000}"/>
            </a:ext>
          </a:extLst>
        </xdr:cNvPr>
        <xdr:cNvSpPr>
          <a:spLocks noChangeShapeType="1"/>
        </xdr:cNvSpPr>
      </xdr:nvSpPr>
      <xdr:spPr bwMode="auto">
        <a:xfrm>
          <a:off x="12458700" y="12268200"/>
          <a:ext cx="2933700"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2" name="Line 8">
          <a:extLst>
            <a:ext uri="{FF2B5EF4-FFF2-40B4-BE49-F238E27FC236}">
              <a16:creationId xmlns:a16="http://schemas.microsoft.com/office/drawing/2014/main" id="{00000000-0008-0000-0800-00000C000000}"/>
            </a:ext>
          </a:extLst>
        </xdr:cNvPr>
        <xdr:cNvSpPr>
          <a:spLocks noChangeShapeType="1"/>
        </xdr:cNvSpPr>
      </xdr:nvSpPr>
      <xdr:spPr bwMode="auto">
        <a:xfrm>
          <a:off x="13868400" y="9544050"/>
          <a:ext cx="0" cy="0"/>
        </a:xfrm>
        <a:prstGeom prst="line">
          <a:avLst/>
        </a:prstGeom>
        <a:noFill/>
        <a:ln w="9525">
          <a:solidFill>
            <a:srgbClr val="000000"/>
          </a:solidFill>
          <a:prstDash val="sysDot"/>
          <a:round/>
          <a:headEnd/>
          <a:tailEnd/>
        </a:ln>
      </xdr:spPr>
    </xdr:sp>
    <xdr:clientData/>
  </xdr:twoCellAnchor>
  <xdr:twoCellAnchor>
    <xdr:from>
      <xdr:col>29</xdr:col>
      <xdr:colOff>0</xdr:colOff>
      <xdr:row>32</xdr:row>
      <xdr:rowOff>0</xdr:rowOff>
    </xdr:from>
    <xdr:to>
      <xdr:col>29</xdr:col>
      <xdr:colOff>0</xdr:colOff>
      <xdr:row>32</xdr:row>
      <xdr:rowOff>0</xdr:rowOff>
    </xdr:to>
    <xdr:sp macro="" textlink="">
      <xdr:nvSpPr>
        <xdr:cNvPr id="13" name="Line 9">
          <a:extLst>
            <a:ext uri="{FF2B5EF4-FFF2-40B4-BE49-F238E27FC236}">
              <a16:creationId xmlns:a16="http://schemas.microsoft.com/office/drawing/2014/main" id="{00000000-0008-0000-0800-00000D000000}"/>
            </a:ext>
          </a:extLst>
        </xdr:cNvPr>
        <xdr:cNvSpPr>
          <a:spLocks noChangeShapeType="1"/>
        </xdr:cNvSpPr>
      </xdr:nvSpPr>
      <xdr:spPr bwMode="auto">
        <a:xfrm>
          <a:off x="13868400" y="10077450"/>
          <a:ext cx="0" cy="0"/>
        </a:xfrm>
        <a:prstGeom prst="line">
          <a:avLst/>
        </a:prstGeom>
        <a:noFill/>
        <a:ln w="9525">
          <a:solidFill>
            <a:srgbClr val="000000"/>
          </a:solidFill>
          <a:prstDash val="sysDot"/>
          <a:round/>
          <a:headEnd/>
          <a:tailEnd/>
        </a:ln>
      </xdr:spPr>
    </xdr:sp>
    <xdr:clientData/>
  </xdr:twoCellAnchor>
  <xdr:twoCellAnchor>
    <xdr:from>
      <xdr:col>29</xdr:col>
      <xdr:colOff>0</xdr:colOff>
      <xdr:row>35</xdr:row>
      <xdr:rowOff>0</xdr:rowOff>
    </xdr:from>
    <xdr:to>
      <xdr:col>29</xdr:col>
      <xdr:colOff>0</xdr:colOff>
      <xdr:row>35</xdr:row>
      <xdr:rowOff>0</xdr:rowOff>
    </xdr:to>
    <xdr:sp macro="" textlink="">
      <xdr:nvSpPr>
        <xdr:cNvPr id="14" name="Line 18">
          <a:extLst>
            <a:ext uri="{FF2B5EF4-FFF2-40B4-BE49-F238E27FC236}">
              <a16:creationId xmlns:a16="http://schemas.microsoft.com/office/drawing/2014/main" id="{00000000-0008-0000-0800-00000E000000}"/>
            </a:ext>
          </a:extLst>
        </xdr:cNvPr>
        <xdr:cNvSpPr>
          <a:spLocks noChangeShapeType="1"/>
        </xdr:cNvSpPr>
      </xdr:nvSpPr>
      <xdr:spPr bwMode="auto">
        <a:xfrm>
          <a:off x="13868400" y="10734675"/>
          <a:ext cx="0" cy="0"/>
        </a:xfrm>
        <a:prstGeom prst="line">
          <a:avLst/>
        </a:prstGeom>
        <a:noFill/>
        <a:ln w="9525">
          <a:solidFill>
            <a:srgbClr val="000000"/>
          </a:solidFill>
          <a:prstDash val="sysDot"/>
          <a:round/>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0</xdr:colOff>
      <xdr:row>34</xdr:row>
      <xdr:rowOff>0</xdr:rowOff>
    </xdr:from>
    <xdr:to>
      <xdr:col>29</xdr:col>
      <xdr:colOff>0</xdr:colOff>
      <xdr:row>34</xdr:row>
      <xdr:rowOff>0</xdr:rowOff>
    </xdr:to>
    <xdr:sp macro="" textlink="">
      <xdr:nvSpPr>
        <xdr:cNvPr id="2" name="Line 29">
          <a:extLst>
            <a:ext uri="{FF2B5EF4-FFF2-40B4-BE49-F238E27FC236}">
              <a16:creationId xmlns:a16="http://schemas.microsoft.com/office/drawing/2014/main" id="{00000000-0008-0000-0900-000002000000}"/>
            </a:ext>
          </a:extLst>
        </xdr:cNvPr>
        <xdr:cNvSpPr>
          <a:spLocks noChangeShapeType="1"/>
        </xdr:cNvSpPr>
      </xdr:nvSpPr>
      <xdr:spPr bwMode="auto">
        <a:xfrm>
          <a:off x="21078825" y="16468725"/>
          <a:ext cx="0" cy="0"/>
        </a:xfrm>
        <a:prstGeom prst="line">
          <a:avLst/>
        </a:prstGeom>
        <a:noFill/>
        <a:ln w="9525">
          <a:solidFill>
            <a:srgbClr val="000000"/>
          </a:solidFill>
          <a:prstDash val="sysDot"/>
          <a:round/>
          <a:headEnd/>
          <a:tailEnd/>
        </a:ln>
      </xdr:spPr>
    </xdr:sp>
    <xdr:clientData/>
  </xdr:twoCellAnchor>
  <xdr:twoCellAnchor>
    <xdr:from>
      <xdr:col>29</xdr:col>
      <xdr:colOff>0</xdr:colOff>
      <xdr:row>36</xdr:row>
      <xdr:rowOff>0</xdr:rowOff>
    </xdr:from>
    <xdr:to>
      <xdr:col>29</xdr:col>
      <xdr:colOff>9525</xdr:colOff>
      <xdr:row>36</xdr:row>
      <xdr:rowOff>0</xdr:rowOff>
    </xdr:to>
    <xdr:sp macro="" textlink="">
      <xdr:nvSpPr>
        <xdr:cNvPr id="3" name="Line 31">
          <a:extLst>
            <a:ext uri="{FF2B5EF4-FFF2-40B4-BE49-F238E27FC236}">
              <a16:creationId xmlns:a16="http://schemas.microsoft.com/office/drawing/2014/main" id="{00000000-0008-0000-0900-000003000000}"/>
            </a:ext>
          </a:extLst>
        </xdr:cNvPr>
        <xdr:cNvSpPr>
          <a:spLocks noChangeShapeType="1"/>
        </xdr:cNvSpPr>
      </xdr:nvSpPr>
      <xdr:spPr bwMode="auto">
        <a:xfrm>
          <a:off x="21078825" y="16840200"/>
          <a:ext cx="9525" cy="0"/>
        </a:xfrm>
        <a:prstGeom prst="line">
          <a:avLst/>
        </a:prstGeom>
        <a:noFill/>
        <a:ln w="9525">
          <a:solidFill>
            <a:srgbClr val="000000"/>
          </a:solidFill>
          <a:prstDash val="sysDot"/>
          <a:round/>
          <a:headEnd/>
          <a:tailEnd/>
        </a:ln>
      </xdr:spPr>
    </xdr:sp>
    <xdr:clientData/>
  </xdr:twoCellAnchor>
  <xdr:twoCellAnchor>
    <xdr:from>
      <xdr:col>29</xdr:col>
      <xdr:colOff>0</xdr:colOff>
      <xdr:row>42</xdr:row>
      <xdr:rowOff>0</xdr:rowOff>
    </xdr:from>
    <xdr:to>
      <xdr:col>29</xdr:col>
      <xdr:colOff>0</xdr:colOff>
      <xdr:row>42</xdr:row>
      <xdr:rowOff>0</xdr:rowOff>
    </xdr:to>
    <xdr:sp macro="" textlink="">
      <xdr:nvSpPr>
        <xdr:cNvPr id="4" name="Line 32">
          <a:extLst>
            <a:ext uri="{FF2B5EF4-FFF2-40B4-BE49-F238E27FC236}">
              <a16:creationId xmlns:a16="http://schemas.microsoft.com/office/drawing/2014/main" id="{00000000-0008-0000-0900-000004000000}"/>
            </a:ext>
          </a:extLst>
        </xdr:cNvPr>
        <xdr:cNvSpPr>
          <a:spLocks noChangeShapeType="1"/>
        </xdr:cNvSpPr>
      </xdr:nvSpPr>
      <xdr:spPr bwMode="auto">
        <a:xfrm>
          <a:off x="21078825" y="17697450"/>
          <a:ext cx="0" cy="0"/>
        </a:xfrm>
        <a:prstGeom prst="line">
          <a:avLst/>
        </a:prstGeom>
        <a:noFill/>
        <a:ln w="9525">
          <a:solidFill>
            <a:srgbClr val="000000"/>
          </a:solidFill>
          <a:prstDash val="sysDot"/>
          <a:round/>
          <a:headEnd/>
          <a:tailEnd/>
        </a:ln>
      </xdr:spPr>
    </xdr:sp>
    <xdr:clientData/>
  </xdr:twoCellAnchor>
  <xdr:twoCellAnchor>
    <xdr:from>
      <xdr:col>29</xdr:col>
      <xdr:colOff>0</xdr:colOff>
      <xdr:row>42</xdr:row>
      <xdr:rowOff>0</xdr:rowOff>
    </xdr:from>
    <xdr:to>
      <xdr:col>29</xdr:col>
      <xdr:colOff>0</xdr:colOff>
      <xdr:row>42</xdr:row>
      <xdr:rowOff>0</xdr:rowOff>
    </xdr:to>
    <xdr:sp macro="" textlink="">
      <xdr:nvSpPr>
        <xdr:cNvPr id="5" name="Line 34">
          <a:extLst>
            <a:ext uri="{FF2B5EF4-FFF2-40B4-BE49-F238E27FC236}">
              <a16:creationId xmlns:a16="http://schemas.microsoft.com/office/drawing/2014/main" id="{00000000-0008-0000-0900-000005000000}"/>
            </a:ext>
          </a:extLst>
        </xdr:cNvPr>
        <xdr:cNvSpPr>
          <a:spLocks noChangeShapeType="1"/>
        </xdr:cNvSpPr>
      </xdr:nvSpPr>
      <xdr:spPr bwMode="auto">
        <a:xfrm>
          <a:off x="21078825" y="17697450"/>
          <a:ext cx="0" cy="0"/>
        </a:xfrm>
        <a:prstGeom prst="line">
          <a:avLst/>
        </a:prstGeom>
        <a:noFill/>
        <a:ln w="9525">
          <a:solidFill>
            <a:srgbClr val="000000"/>
          </a:solidFill>
          <a:prstDash val="sysDot"/>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30</xdr:col>
      <xdr:colOff>0</xdr:colOff>
      <xdr:row>83</xdr:row>
      <xdr:rowOff>0</xdr:rowOff>
    </xdr:from>
    <xdr:to>
      <xdr:col>30</xdr:col>
      <xdr:colOff>0</xdr:colOff>
      <xdr:row>83</xdr:row>
      <xdr:rowOff>0</xdr:rowOff>
    </xdr:to>
    <xdr:sp macro="" textlink="">
      <xdr:nvSpPr>
        <xdr:cNvPr id="2" name="Line 29">
          <a:extLst>
            <a:ext uri="{FF2B5EF4-FFF2-40B4-BE49-F238E27FC236}">
              <a16:creationId xmlns:a16="http://schemas.microsoft.com/office/drawing/2014/main" id="{00000000-0008-0000-0A00-000002000000}"/>
            </a:ext>
          </a:extLst>
        </xdr:cNvPr>
        <xdr:cNvSpPr>
          <a:spLocks noChangeShapeType="1"/>
        </xdr:cNvSpPr>
      </xdr:nvSpPr>
      <xdr:spPr bwMode="auto">
        <a:xfrm>
          <a:off x="18878550" y="18116550"/>
          <a:ext cx="0" cy="0"/>
        </a:xfrm>
        <a:prstGeom prst="line">
          <a:avLst/>
        </a:prstGeom>
        <a:noFill/>
        <a:ln w="9525">
          <a:solidFill>
            <a:srgbClr val="000000"/>
          </a:solidFill>
          <a:prstDash val="sysDot"/>
          <a:round/>
          <a:headEnd/>
          <a:tailEnd/>
        </a:ln>
      </xdr:spPr>
    </xdr:sp>
    <xdr:clientData/>
  </xdr:twoCellAnchor>
  <xdr:twoCellAnchor>
    <xdr:from>
      <xdr:col>30</xdr:col>
      <xdr:colOff>0</xdr:colOff>
      <xdr:row>85</xdr:row>
      <xdr:rowOff>0</xdr:rowOff>
    </xdr:from>
    <xdr:to>
      <xdr:col>30</xdr:col>
      <xdr:colOff>9525</xdr:colOff>
      <xdr:row>85</xdr:row>
      <xdr:rowOff>0</xdr:rowOff>
    </xdr:to>
    <xdr:sp macro="" textlink="">
      <xdr:nvSpPr>
        <xdr:cNvPr id="3" name="Line 31">
          <a:extLst>
            <a:ext uri="{FF2B5EF4-FFF2-40B4-BE49-F238E27FC236}">
              <a16:creationId xmlns:a16="http://schemas.microsoft.com/office/drawing/2014/main" id="{00000000-0008-0000-0A00-000003000000}"/>
            </a:ext>
          </a:extLst>
        </xdr:cNvPr>
        <xdr:cNvSpPr>
          <a:spLocks noChangeShapeType="1"/>
        </xdr:cNvSpPr>
      </xdr:nvSpPr>
      <xdr:spPr bwMode="auto">
        <a:xfrm>
          <a:off x="18878550" y="18402300"/>
          <a:ext cx="9525" cy="0"/>
        </a:xfrm>
        <a:prstGeom prst="line">
          <a:avLst/>
        </a:prstGeom>
        <a:noFill/>
        <a:ln w="9525">
          <a:solidFill>
            <a:srgbClr val="000000"/>
          </a:solidFill>
          <a:prstDash val="sysDot"/>
          <a:round/>
          <a:headEnd/>
          <a:tailEnd/>
        </a:ln>
      </xdr:spPr>
    </xdr:sp>
    <xdr:clientData/>
  </xdr:twoCellAnchor>
  <xdr:twoCellAnchor>
    <xdr:from>
      <xdr:col>30</xdr:col>
      <xdr:colOff>0</xdr:colOff>
      <xdr:row>91</xdr:row>
      <xdr:rowOff>0</xdr:rowOff>
    </xdr:from>
    <xdr:to>
      <xdr:col>30</xdr:col>
      <xdr:colOff>0</xdr:colOff>
      <xdr:row>91</xdr:row>
      <xdr:rowOff>0</xdr:rowOff>
    </xdr:to>
    <xdr:sp macro="" textlink="">
      <xdr:nvSpPr>
        <xdr:cNvPr id="4" name="Line 32">
          <a:extLst>
            <a:ext uri="{FF2B5EF4-FFF2-40B4-BE49-F238E27FC236}">
              <a16:creationId xmlns:a16="http://schemas.microsoft.com/office/drawing/2014/main" id="{00000000-0008-0000-0A00-000004000000}"/>
            </a:ext>
          </a:extLst>
        </xdr:cNvPr>
        <xdr:cNvSpPr>
          <a:spLocks noChangeShapeType="1"/>
        </xdr:cNvSpPr>
      </xdr:nvSpPr>
      <xdr:spPr bwMode="auto">
        <a:xfrm>
          <a:off x="18878550" y="19259550"/>
          <a:ext cx="0" cy="0"/>
        </a:xfrm>
        <a:prstGeom prst="line">
          <a:avLst/>
        </a:prstGeom>
        <a:noFill/>
        <a:ln w="9525">
          <a:solidFill>
            <a:srgbClr val="000000"/>
          </a:solidFill>
          <a:prstDash val="sysDot"/>
          <a:round/>
          <a:headEnd/>
          <a:tailEnd/>
        </a:ln>
      </xdr:spPr>
    </xdr:sp>
    <xdr:clientData/>
  </xdr:twoCellAnchor>
  <xdr:twoCellAnchor>
    <xdr:from>
      <xdr:col>30</xdr:col>
      <xdr:colOff>0</xdr:colOff>
      <xdr:row>91</xdr:row>
      <xdr:rowOff>0</xdr:rowOff>
    </xdr:from>
    <xdr:to>
      <xdr:col>30</xdr:col>
      <xdr:colOff>0</xdr:colOff>
      <xdr:row>91</xdr:row>
      <xdr:rowOff>0</xdr:rowOff>
    </xdr:to>
    <xdr:sp macro="" textlink="">
      <xdr:nvSpPr>
        <xdr:cNvPr id="5" name="Line 34">
          <a:extLst>
            <a:ext uri="{FF2B5EF4-FFF2-40B4-BE49-F238E27FC236}">
              <a16:creationId xmlns:a16="http://schemas.microsoft.com/office/drawing/2014/main" id="{00000000-0008-0000-0A00-000005000000}"/>
            </a:ext>
          </a:extLst>
        </xdr:cNvPr>
        <xdr:cNvSpPr>
          <a:spLocks noChangeShapeType="1"/>
        </xdr:cNvSpPr>
      </xdr:nvSpPr>
      <xdr:spPr bwMode="auto">
        <a:xfrm>
          <a:off x="18878550" y="19402425"/>
          <a:ext cx="0" cy="0"/>
        </a:xfrm>
        <a:prstGeom prst="line">
          <a:avLst/>
        </a:prstGeom>
        <a:noFill/>
        <a:ln w="9525">
          <a:solidFill>
            <a:srgbClr val="000000"/>
          </a:solidFill>
          <a:prstDash val="sysDot"/>
          <a:round/>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31</xdr:col>
      <xdr:colOff>0</xdr:colOff>
      <xdr:row>34</xdr:row>
      <xdr:rowOff>0</xdr:rowOff>
    </xdr:from>
    <xdr:to>
      <xdr:col>31</xdr:col>
      <xdr:colOff>0</xdr:colOff>
      <xdr:row>34</xdr:row>
      <xdr:rowOff>0</xdr:rowOff>
    </xdr:to>
    <xdr:sp macro="" textlink="">
      <xdr:nvSpPr>
        <xdr:cNvPr id="2" name="Line 29">
          <a:extLst>
            <a:ext uri="{FF2B5EF4-FFF2-40B4-BE49-F238E27FC236}">
              <a16:creationId xmlns:a16="http://schemas.microsoft.com/office/drawing/2014/main" id="{00000000-0008-0000-0B00-000002000000}"/>
            </a:ext>
          </a:extLst>
        </xdr:cNvPr>
        <xdr:cNvSpPr>
          <a:spLocks noChangeShapeType="1"/>
        </xdr:cNvSpPr>
      </xdr:nvSpPr>
      <xdr:spPr bwMode="auto">
        <a:xfrm>
          <a:off x="15973425" y="9315450"/>
          <a:ext cx="0" cy="0"/>
        </a:xfrm>
        <a:prstGeom prst="line">
          <a:avLst/>
        </a:prstGeom>
        <a:noFill/>
        <a:ln w="9525">
          <a:solidFill>
            <a:srgbClr val="000000"/>
          </a:solidFill>
          <a:prstDash val="sysDot"/>
          <a:round/>
          <a:headEnd/>
          <a:tailEnd/>
        </a:ln>
      </xdr:spPr>
    </xdr:sp>
    <xdr:clientData/>
  </xdr:twoCellAnchor>
  <xdr:twoCellAnchor>
    <xdr:from>
      <xdr:col>31</xdr:col>
      <xdr:colOff>0</xdr:colOff>
      <xdr:row>36</xdr:row>
      <xdr:rowOff>0</xdr:rowOff>
    </xdr:from>
    <xdr:to>
      <xdr:col>31</xdr:col>
      <xdr:colOff>9525</xdr:colOff>
      <xdr:row>36</xdr:row>
      <xdr:rowOff>0</xdr:rowOff>
    </xdr:to>
    <xdr:sp macro="" textlink="">
      <xdr:nvSpPr>
        <xdr:cNvPr id="3" name="Line 31">
          <a:extLst>
            <a:ext uri="{FF2B5EF4-FFF2-40B4-BE49-F238E27FC236}">
              <a16:creationId xmlns:a16="http://schemas.microsoft.com/office/drawing/2014/main" id="{00000000-0008-0000-0B00-000003000000}"/>
            </a:ext>
          </a:extLst>
        </xdr:cNvPr>
        <xdr:cNvSpPr>
          <a:spLocks noChangeShapeType="1"/>
        </xdr:cNvSpPr>
      </xdr:nvSpPr>
      <xdr:spPr bwMode="auto">
        <a:xfrm>
          <a:off x="15973425" y="9601200"/>
          <a:ext cx="9525"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4" name="Line 32">
          <a:extLst>
            <a:ext uri="{FF2B5EF4-FFF2-40B4-BE49-F238E27FC236}">
              <a16:creationId xmlns:a16="http://schemas.microsoft.com/office/drawing/2014/main" id="{00000000-0008-0000-0B00-000004000000}"/>
            </a:ext>
          </a:extLst>
        </xdr:cNvPr>
        <xdr:cNvSpPr>
          <a:spLocks noChangeShapeType="1"/>
        </xdr:cNvSpPr>
      </xdr:nvSpPr>
      <xdr:spPr bwMode="auto">
        <a:xfrm>
          <a:off x="15973425" y="10458450"/>
          <a:ext cx="0" cy="0"/>
        </a:xfrm>
        <a:prstGeom prst="line">
          <a:avLst/>
        </a:prstGeom>
        <a:noFill/>
        <a:ln w="9525">
          <a:solidFill>
            <a:srgbClr val="000000"/>
          </a:solidFill>
          <a:prstDash val="sysDot"/>
          <a:round/>
          <a:headEnd/>
          <a:tailEnd/>
        </a:ln>
      </xdr:spPr>
    </xdr:sp>
    <xdr:clientData/>
  </xdr:twoCellAnchor>
  <xdr:twoCellAnchor>
    <xdr:from>
      <xdr:col>31</xdr:col>
      <xdr:colOff>0</xdr:colOff>
      <xdr:row>43</xdr:row>
      <xdr:rowOff>0</xdr:rowOff>
    </xdr:from>
    <xdr:to>
      <xdr:col>31</xdr:col>
      <xdr:colOff>0</xdr:colOff>
      <xdr:row>43</xdr:row>
      <xdr:rowOff>0</xdr:rowOff>
    </xdr:to>
    <xdr:sp macro="" textlink="">
      <xdr:nvSpPr>
        <xdr:cNvPr id="5" name="Line 34">
          <a:extLst>
            <a:ext uri="{FF2B5EF4-FFF2-40B4-BE49-F238E27FC236}">
              <a16:creationId xmlns:a16="http://schemas.microsoft.com/office/drawing/2014/main" id="{00000000-0008-0000-0B00-000005000000}"/>
            </a:ext>
          </a:extLst>
        </xdr:cNvPr>
        <xdr:cNvSpPr>
          <a:spLocks noChangeShapeType="1"/>
        </xdr:cNvSpPr>
      </xdr:nvSpPr>
      <xdr:spPr bwMode="auto">
        <a:xfrm>
          <a:off x="15973425" y="10601325"/>
          <a:ext cx="0" cy="0"/>
        </a:xfrm>
        <a:prstGeom prst="line">
          <a:avLst/>
        </a:prstGeom>
        <a:noFill/>
        <a:ln w="9525">
          <a:solidFill>
            <a:srgbClr val="000000"/>
          </a:solidFill>
          <a:prstDash val="sysDot"/>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32</xdr:col>
      <xdr:colOff>0</xdr:colOff>
      <xdr:row>27</xdr:row>
      <xdr:rowOff>0</xdr:rowOff>
    </xdr:from>
    <xdr:to>
      <xdr:col>32</xdr:col>
      <xdr:colOff>0</xdr:colOff>
      <xdr:row>27</xdr:row>
      <xdr:rowOff>0</xdr:rowOff>
    </xdr:to>
    <xdr:sp macro="" textlink="">
      <xdr:nvSpPr>
        <xdr:cNvPr id="2" name="Line 7">
          <a:extLst>
            <a:ext uri="{FF2B5EF4-FFF2-40B4-BE49-F238E27FC236}">
              <a16:creationId xmlns:a16="http://schemas.microsoft.com/office/drawing/2014/main" id="{00000000-0008-0000-0C00-000002000000}"/>
            </a:ext>
          </a:extLst>
        </xdr:cNvPr>
        <xdr:cNvSpPr>
          <a:spLocks noChangeShapeType="1"/>
        </xdr:cNvSpPr>
      </xdr:nvSpPr>
      <xdr:spPr bwMode="auto">
        <a:xfrm>
          <a:off x="17783175" y="13916025"/>
          <a:ext cx="0" cy="0"/>
        </a:xfrm>
        <a:prstGeom prst="line">
          <a:avLst/>
        </a:prstGeom>
        <a:noFill/>
        <a:ln w="9525">
          <a:solidFill>
            <a:srgbClr val="000000"/>
          </a:solidFill>
          <a:prstDash val="sysDot"/>
          <a:round/>
          <a:headEnd/>
          <a:tailEnd/>
        </a:ln>
      </xdr:spPr>
    </xdr:sp>
    <xdr:clientData/>
  </xdr:twoCellAnchor>
  <xdr:twoCellAnchor>
    <xdr:from>
      <xdr:col>32</xdr:col>
      <xdr:colOff>0</xdr:colOff>
      <xdr:row>28</xdr:row>
      <xdr:rowOff>0</xdr:rowOff>
    </xdr:from>
    <xdr:to>
      <xdr:col>32</xdr:col>
      <xdr:colOff>0</xdr:colOff>
      <xdr:row>28</xdr:row>
      <xdr:rowOff>0</xdr:rowOff>
    </xdr:to>
    <xdr:sp macro="" textlink="">
      <xdr:nvSpPr>
        <xdr:cNvPr id="3" name="Line 8">
          <a:extLst>
            <a:ext uri="{FF2B5EF4-FFF2-40B4-BE49-F238E27FC236}">
              <a16:creationId xmlns:a16="http://schemas.microsoft.com/office/drawing/2014/main" id="{00000000-0008-0000-0C00-000003000000}"/>
            </a:ext>
          </a:extLst>
        </xdr:cNvPr>
        <xdr:cNvSpPr>
          <a:spLocks noChangeShapeType="1"/>
        </xdr:cNvSpPr>
      </xdr:nvSpPr>
      <xdr:spPr bwMode="auto">
        <a:xfrm>
          <a:off x="17783175" y="14058900"/>
          <a:ext cx="0" cy="0"/>
        </a:xfrm>
        <a:prstGeom prst="line">
          <a:avLst/>
        </a:prstGeom>
        <a:noFill/>
        <a:ln w="9525">
          <a:solidFill>
            <a:srgbClr val="000000"/>
          </a:solidFill>
          <a:prstDash val="sysDot"/>
          <a:round/>
          <a:headEnd/>
          <a:tailEnd/>
        </a:ln>
      </xdr:spPr>
    </xdr:sp>
    <xdr:clientData/>
  </xdr:twoCellAnchor>
  <xdr:twoCellAnchor>
    <xdr:from>
      <xdr:col>32</xdr:col>
      <xdr:colOff>0</xdr:colOff>
      <xdr:row>30</xdr:row>
      <xdr:rowOff>0</xdr:rowOff>
    </xdr:from>
    <xdr:to>
      <xdr:col>32</xdr:col>
      <xdr:colOff>0</xdr:colOff>
      <xdr:row>30</xdr:row>
      <xdr:rowOff>0</xdr:rowOff>
    </xdr:to>
    <xdr:sp macro="" textlink="">
      <xdr:nvSpPr>
        <xdr:cNvPr id="4" name="Line 9">
          <a:extLst>
            <a:ext uri="{FF2B5EF4-FFF2-40B4-BE49-F238E27FC236}">
              <a16:creationId xmlns:a16="http://schemas.microsoft.com/office/drawing/2014/main" id="{00000000-0008-0000-0C00-000004000000}"/>
            </a:ext>
          </a:extLst>
        </xdr:cNvPr>
        <xdr:cNvSpPr>
          <a:spLocks noChangeShapeType="1"/>
        </xdr:cNvSpPr>
      </xdr:nvSpPr>
      <xdr:spPr bwMode="auto">
        <a:xfrm>
          <a:off x="17783175" y="14239875"/>
          <a:ext cx="0" cy="0"/>
        </a:xfrm>
        <a:prstGeom prst="line">
          <a:avLst/>
        </a:prstGeom>
        <a:noFill/>
        <a:ln w="9525">
          <a:solidFill>
            <a:srgbClr val="000000"/>
          </a:solidFill>
          <a:prstDash val="sysDot"/>
          <a:round/>
          <a:headEnd/>
          <a:tailEnd/>
        </a:ln>
      </xdr:spPr>
    </xdr:sp>
    <xdr:clientData/>
  </xdr:twoCellAnchor>
  <xdr:twoCellAnchor>
    <xdr:from>
      <xdr:col>32</xdr:col>
      <xdr:colOff>0</xdr:colOff>
      <xdr:row>25</xdr:row>
      <xdr:rowOff>0</xdr:rowOff>
    </xdr:from>
    <xdr:to>
      <xdr:col>32</xdr:col>
      <xdr:colOff>0</xdr:colOff>
      <xdr:row>25</xdr:row>
      <xdr:rowOff>0</xdr:rowOff>
    </xdr:to>
    <xdr:sp macro="" textlink="">
      <xdr:nvSpPr>
        <xdr:cNvPr id="5" name="Line 16">
          <a:extLst>
            <a:ext uri="{FF2B5EF4-FFF2-40B4-BE49-F238E27FC236}">
              <a16:creationId xmlns:a16="http://schemas.microsoft.com/office/drawing/2014/main" id="{00000000-0008-0000-0C00-000005000000}"/>
            </a:ext>
          </a:extLst>
        </xdr:cNvPr>
        <xdr:cNvSpPr>
          <a:spLocks noChangeShapeType="1"/>
        </xdr:cNvSpPr>
      </xdr:nvSpPr>
      <xdr:spPr bwMode="auto">
        <a:xfrm>
          <a:off x="17783175" y="13592175"/>
          <a:ext cx="0" cy="0"/>
        </a:xfrm>
        <a:prstGeom prst="line">
          <a:avLst/>
        </a:prstGeom>
        <a:noFill/>
        <a:ln w="9525">
          <a:solidFill>
            <a:srgbClr val="000000"/>
          </a:solidFill>
          <a:prstDash val="sysDot"/>
          <a:round/>
          <a:headEnd/>
          <a:tailEnd/>
        </a:ln>
      </xdr:spPr>
    </xdr:sp>
    <xdr:clientData/>
  </xdr:twoCellAnchor>
  <xdr:twoCellAnchor>
    <xdr:from>
      <xdr:col>32</xdr:col>
      <xdr:colOff>0</xdr:colOff>
      <xdr:row>27</xdr:row>
      <xdr:rowOff>0</xdr:rowOff>
    </xdr:from>
    <xdr:to>
      <xdr:col>32</xdr:col>
      <xdr:colOff>9525</xdr:colOff>
      <xdr:row>27</xdr:row>
      <xdr:rowOff>0</xdr:rowOff>
    </xdr:to>
    <xdr:sp macro="" textlink="">
      <xdr:nvSpPr>
        <xdr:cNvPr id="6" name="Line 17">
          <a:extLst>
            <a:ext uri="{FF2B5EF4-FFF2-40B4-BE49-F238E27FC236}">
              <a16:creationId xmlns:a16="http://schemas.microsoft.com/office/drawing/2014/main" id="{00000000-0008-0000-0C00-000006000000}"/>
            </a:ext>
          </a:extLst>
        </xdr:cNvPr>
        <xdr:cNvSpPr>
          <a:spLocks noChangeShapeType="1"/>
        </xdr:cNvSpPr>
      </xdr:nvSpPr>
      <xdr:spPr bwMode="auto">
        <a:xfrm>
          <a:off x="17783175" y="139160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33</xdr:row>
      <xdr:rowOff>0</xdr:rowOff>
    </xdr:from>
    <xdr:to>
      <xdr:col>32</xdr:col>
      <xdr:colOff>0</xdr:colOff>
      <xdr:row>33</xdr:row>
      <xdr:rowOff>0</xdr:rowOff>
    </xdr:to>
    <xdr:sp macro="" textlink="">
      <xdr:nvSpPr>
        <xdr:cNvPr id="7" name="Line 18">
          <a:extLst>
            <a:ext uri="{FF2B5EF4-FFF2-40B4-BE49-F238E27FC236}">
              <a16:creationId xmlns:a16="http://schemas.microsoft.com/office/drawing/2014/main" id="{00000000-0008-0000-0C00-000007000000}"/>
            </a:ext>
          </a:extLst>
        </xdr:cNvPr>
        <xdr:cNvSpPr>
          <a:spLocks noChangeShapeType="1"/>
        </xdr:cNvSpPr>
      </xdr:nvSpPr>
      <xdr:spPr bwMode="auto">
        <a:xfrm>
          <a:off x="17783175" y="14687550"/>
          <a:ext cx="0" cy="0"/>
        </a:xfrm>
        <a:prstGeom prst="line">
          <a:avLst/>
        </a:prstGeom>
        <a:noFill/>
        <a:ln w="9525">
          <a:solidFill>
            <a:srgbClr val="000000"/>
          </a:solidFill>
          <a:prstDash val="sysDot"/>
          <a:round/>
          <a:headEnd/>
          <a:tailEnd/>
        </a:ln>
      </xdr:spPr>
    </xdr:sp>
    <xdr:clientData/>
  </xdr:twoCellAnchor>
  <xdr:twoCellAnchor>
    <xdr:from>
      <xdr:col>32</xdr:col>
      <xdr:colOff>0</xdr:colOff>
      <xdr:row>34</xdr:row>
      <xdr:rowOff>0</xdr:rowOff>
    </xdr:from>
    <xdr:to>
      <xdr:col>32</xdr:col>
      <xdr:colOff>0</xdr:colOff>
      <xdr:row>34</xdr:row>
      <xdr:rowOff>0</xdr:rowOff>
    </xdr:to>
    <xdr:sp macro="" textlink="">
      <xdr:nvSpPr>
        <xdr:cNvPr id="8" name="Line 19">
          <a:extLst>
            <a:ext uri="{FF2B5EF4-FFF2-40B4-BE49-F238E27FC236}">
              <a16:creationId xmlns:a16="http://schemas.microsoft.com/office/drawing/2014/main" id="{00000000-0008-0000-0C00-000008000000}"/>
            </a:ext>
          </a:extLst>
        </xdr:cNvPr>
        <xdr:cNvSpPr>
          <a:spLocks noChangeShapeType="1"/>
        </xdr:cNvSpPr>
      </xdr:nvSpPr>
      <xdr:spPr bwMode="auto">
        <a:xfrm>
          <a:off x="17783175" y="14830425"/>
          <a:ext cx="0" cy="0"/>
        </a:xfrm>
        <a:prstGeom prst="line">
          <a:avLst/>
        </a:prstGeom>
        <a:noFill/>
        <a:ln w="9525">
          <a:solidFill>
            <a:srgbClr val="000000"/>
          </a:solidFill>
          <a:prstDash val="sysDot"/>
          <a:round/>
          <a:headEnd/>
          <a:tailEnd/>
        </a:ln>
      </xdr:spPr>
    </xdr:sp>
    <xdr:clientData/>
  </xdr:twoCellAnchor>
  <xdr:twoCellAnchor>
    <xdr:from>
      <xdr:col>32</xdr:col>
      <xdr:colOff>0</xdr:colOff>
      <xdr:row>36</xdr:row>
      <xdr:rowOff>0</xdr:rowOff>
    </xdr:from>
    <xdr:to>
      <xdr:col>32</xdr:col>
      <xdr:colOff>0</xdr:colOff>
      <xdr:row>36</xdr:row>
      <xdr:rowOff>0</xdr:rowOff>
    </xdr:to>
    <xdr:sp macro="" textlink="">
      <xdr:nvSpPr>
        <xdr:cNvPr id="9" name="Line 20">
          <a:extLst>
            <a:ext uri="{FF2B5EF4-FFF2-40B4-BE49-F238E27FC236}">
              <a16:creationId xmlns:a16="http://schemas.microsoft.com/office/drawing/2014/main" id="{00000000-0008-0000-0C00-000009000000}"/>
            </a:ext>
          </a:extLst>
        </xdr:cNvPr>
        <xdr:cNvSpPr>
          <a:spLocks noChangeShapeType="1"/>
        </xdr:cNvSpPr>
      </xdr:nvSpPr>
      <xdr:spPr bwMode="auto">
        <a:xfrm>
          <a:off x="17783175" y="15116175"/>
          <a:ext cx="0" cy="0"/>
        </a:xfrm>
        <a:prstGeom prst="line">
          <a:avLst/>
        </a:prstGeom>
        <a:noFill/>
        <a:ln w="9525">
          <a:solidFill>
            <a:srgbClr val="000000"/>
          </a:solidFill>
          <a:prstDash val="sysDot"/>
          <a:round/>
          <a:headEnd/>
          <a:tailEnd/>
        </a:ln>
      </xdr:spPr>
    </xdr:sp>
    <xdr:clientData/>
  </xdr:twoCellAnchor>
  <xdr:twoCellAnchor>
    <xdr:from>
      <xdr:col>34</xdr:col>
      <xdr:colOff>0</xdr:colOff>
      <xdr:row>32</xdr:row>
      <xdr:rowOff>0</xdr:rowOff>
    </xdr:from>
    <xdr:to>
      <xdr:col>34</xdr:col>
      <xdr:colOff>0</xdr:colOff>
      <xdr:row>32</xdr:row>
      <xdr:rowOff>0</xdr:rowOff>
    </xdr:to>
    <xdr:sp macro="" textlink="">
      <xdr:nvSpPr>
        <xdr:cNvPr id="10" name="Line 29">
          <a:extLst>
            <a:ext uri="{FF2B5EF4-FFF2-40B4-BE49-F238E27FC236}">
              <a16:creationId xmlns:a16="http://schemas.microsoft.com/office/drawing/2014/main" id="{00000000-0008-0000-0C00-00000A000000}"/>
            </a:ext>
          </a:extLst>
        </xdr:cNvPr>
        <xdr:cNvSpPr>
          <a:spLocks noChangeShapeType="1"/>
        </xdr:cNvSpPr>
      </xdr:nvSpPr>
      <xdr:spPr bwMode="auto">
        <a:xfrm>
          <a:off x="19783425" y="14544675"/>
          <a:ext cx="0" cy="0"/>
        </a:xfrm>
        <a:prstGeom prst="line">
          <a:avLst/>
        </a:prstGeom>
        <a:noFill/>
        <a:ln w="9525">
          <a:solidFill>
            <a:srgbClr val="000000"/>
          </a:solidFill>
          <a:prstDash val="sysDot"/>
          <a:round/>
          <a:headEnd/>
          <a:tailEnd/>
        </a:ln>
      </xdr:spPr>
    </xdr:sp>
    <xdr:clientData/>
  </xdr:twoCellAnchor>
  <xdr:twoCellAnchor>
    <xdr:from>
      <xdr:col>34</xdr:col>
      <xdr:colOff>0</xdr:colOff>
      <xdr:row>34</xdr:row>
      <xdr:rowOff>0</xdr:rowOff>
    </xdr:from>
    <xdr:to>
      <xdr:col>34</xdr:col>
      <xdr:colOff>9525</xdr:colOff>
      <xdr:row>34</xdr:row>
      <xdr:rowOff>0</xdr:rowOff>
    </xdr:to>
    <xdr:sp macro="" textlink="">
      <xdr:nvSpPr>
        <xdr:cNvPr id="11" name="Line 31">
          <a:extLst>
            <a:ext uri="{FF2B5EF4-FFF2-40B4-BE49-F238E27FC236}">
              <a16:creationId xmlns:a16="http://schemas.microsoft.com/office/drawing/2014/main" id="{00000000-0008-0000-0C00-00000B000000}"/>
            </a:ext>
          </a:extLst>
        </xdr:cNvPr>
        <xdr:cNvSpPr>
          <a:spLocks noChangeShapeType="1"/>
        </xdr:cNvSpPr>
      </xdr:nvSpPr>
      <xdr:spPr bwMode="auto">
        <a:xfrm>
          <a:off x="19783425" y="148304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40</xdr:row>
      <xdr:rowOff>0</xdr:rowOff>
    </xdr:from>
    <xdr:to>
      <xdr:col>34</xdr:col>
      <xdr:colOff>0</xdr:colOff>
      <xdr:row>40</xdr:row>
      <xdr:rowOff>0</xdr:rowOff>
    </xdr:to>
    <xdr:sp macro="" textlink="">
      <xdr:nvSpPr>
        <xdr:cNvPr id="12" name="Line 32">
          <a:extLst>
            <a:ext uri="{FF2B5EF4-FFF2-40B4-BE49-F238E27FC236}">
              <a16:creationId xmlns:a16="http://schemas.microsoft.com/office/drawing/2014/main" id="{00000000-0008-0000-0C00-00000C000000}"/>
            </a:ext>
          </a:extLst>
        </xdr:cNvPr>
        <xdr:cNvSpPr>
          <a:spLocks noChangeShapeType="1"/>
        </xdr:cNvSpPr>
      </xdr:nvSpPr>
      <xdr:spPr bwMode="auto">
        <a:xfrm>
          <a:off x="19783425" y="15687675"/>
          <a:ext cx="0" cy="0"/>
        </a:xfrm>
        <a:prstGeom prst="line">
          <a:avLst/>
        </a:prstGeom>
        <a:noFill/>
        <a:ln w="9525">
          <a:solidFill>
            <a:srgbClr val="000000"/>
          </a:solidFill>
          <a:prstDash val="sysDot"/>
          <a:round/>
          <a:headEnd/>
          <a:tailEnd/>
        </a:ln>
      </xdr:spPr>
    </xdr:sp>
    <xdr:clientData/>
  </xdr:twoCellAnchor>
  <xdr:twoCellAnchor>
    <xdr:from>
      <xdr:col>34</xdr:col>
      <xdr:colOff>0</xdr:colOff>
      <xdr:row>43</xdr:row>
      <xdr:rowOff>0</xdr:rowOff>
    </xdr:from>
    <xdr:to>
      <xdr:col>34</xdr:col>
      <xdr:colOff>0</xdr:colOff>
      <xdr:row>43</xdr:row>
      <xdr:rowOff>0</xdr:rowOff>
    </xdr:to>
    <xdr:sp macro="" textlink="">
      <xdr:nvSpPr>
        <xdr:cNvPr id="13" name="Line 35">
          <a:extLst>
            <a:ext uri="{FF2B5EF4-FFF2-40B4-BE49-F238E27FC236}">
              <a16:creationId xmlns:a16="http://schemas.microsoft.com/office/drawing/2014/main" id="{00000000-0008-0000-0C00-00000D000000}"/>
            </a:ext>
          </a:extLst>
        </xdr:cNvPr>
        <xdr:cNvSpPr>
          <a:spLocks noChangeShapeType="1"/>
        </xdr:cNvSpPr>
      </xdr:nvSpPr>
      <xdr:spPr bwMode="auto">
        <a:xfrm>
          <a:off x="19783425" y="16116300"/>
          <a:ext cx="0" cy="0"/>
        </a:xfrm>
        <a:prstGeom prst="line">
          <a:avLst/>
        </a:prstGeom>
        <a:noFill/>
        <a:ln w="9525">
          <a:solidFill>
            <a:srgbClr val="000000"/>
          </a:solidFill>
          <a:prstDash val="sysDot"/>
          <a:round/>
          <a:headEnd/>
          <a:tailEnd/>
        </a:ln>
      </xdr:spPr>
    </xdr:sp>
    <xdr:clientData/>
  </xdr:twoCellAnchor>
  <xdr:twoCellAnchor>
    <xdr:from>
      <xdr:col>34</xdr:col>
      <xdr:colOff>0</xdr:colOff>
      <xdr:row>38</xdr:row>
      <xdr:rowOff>0</xdr:rowOff>
    </xdr:from>
    <xdr:to>
      <xdr:col>34</xdr:col>
      <xdr:colOff>0</xdr:colOff>
      <xdr:row>38</xdr:row>
      <xdr:rowOff>0</xdr:rowOff>
    </xdr:to>
    <xdr:sp macro="" textlink="">
      <xdr:nvSpPr>
        <xdr:cNvPr id="14" name="Line 29">
          <a:extLst>
            <a:ext uri="{FF2B5EF4-FFF2-40B4-BE49-F238E27FC236}">
              <a16:creationId xmlns:a16="http://schemas.microsoft.com/office/drawing/2014/main" id="{00000000-0008-0000-0C00-00000E000000}"/>
            </a:ext>
          </a:extLst>
        </xdr:cNvPr>
        <xdr:cNvSpPr>
          <a:spLocks noChangeShapeType="1"/>
        </xdr:cNvSpPr>
      </xdr:nvSpPr>
      <xdr:spPr bwMode="auto">
        <a:xfrm>
          <a:off x="19783425" y="15401925"/>
          <a:ext cx="0" cy="0"/>
        </a:xfrm>
        <a:prstGeom prst="line">
          <a:avLst/>
        </a:prstGeom>
        <a:noFill/>
        <a:ln w="9525">
          <a:solidFill>
            <a:srgbClr val="000000"/>
          </a:solidFill>
          <a:prstDash val="sysDot"/>
          <a:round/>
          <a:headEnd/>
          <a:tailEnd/>
        </a:ln>
      </xdr:spPr>
    </xdr:sp>
    <xdr:clientData/>
  </xdr:twoCellAnchor>
  <xdr:twoCellAnchor>
    <xdr:from>
      <xdr:col>34</xdr:col>
      <xdr:colOff>0</xdr:colOff>
      <xdr:row>40</xdr:row>
      <xdr:rowOff>0</xdr:rowOff>
    </xdr:from>
    <xdr:to>
      <xdr:col>34</xdr:col>
      <xdr:colOff>9525</xdr:colOff>
      <xdr:row>40</xdr:row>
      <xdr:rowOff>0</xdr:rowOff>
    </xdr:to>
    <xdr:sp macro="" textlink="">
      <xdr:nvSpPr>
        <xdr:cNvPr id="15" name="Line 31">
          <a:extLst>
            <a:ext uri="{FF2B5EF4-FFF2-40B4-BE49-F238E27FC236}">
              <a16:creationId xmlns:a16="http://schemas.microsoft.com/office/drawing/2014/main" id="{00000000-0008-0000-0C00-00000F000000}"/>
            </a:ext>
          </a:extLst>
        </xdr:cNvPr>
        <xdr:cNvSpPr>
          <a:spLocks noChangeShapeType="1"/>
        </xdr:cNvSpPr>
      </xdr:nvSpPr>
      <xdr:spPr bwMode="auto">
        <a:xfrm>
          <a:off x="19783425" y="156876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46</xdr:row>
      <xdr:rowOff>0</xdr:rowOff>
    </xdr:from>
    <xdr:to>
      <xdr:col>34</xdr:col>
      <xdr:colOff>0</xdr:colOff>
      <xdr:row>46</xdr:row>
      <xdr:rowOff>0</xdr:rowOff>
    </xdr:to>
    <xdr:sp macro="" textlink="">
      <xdr:nvSpPr>
        <xdr:cNvPr id="16" name="Line 32">
          <a:extLst>
            <a:ext uri="{FF2B5EF4-FFF2-40B4-BE49-F238E27FC236}">
              <a16:creationId xmlns:a16="http://schemas.microsoft.com/office/drawing/2014/main" id="{00000000-0008-0000-0C00-000010000000}"/>
            </a:ext>
          </a:extLst>
        </xdr:cNvPr>
        <xdr:cNvSpPr>
          <a:spLocks noChangeShapeType="1"/>
        </xdr:cNvSpPr>
      </xdr:nvSpPr>
      <xdr:spPr bwMode="auto">
        <a:xfrm>
          <a:off x="19783425" y="16544925"/>
          <a:ext cx="0" cy="0"/>
        </a:xfrm>
        <a:prstGeom prst="line">
          <a:avLst/>
        </a:prstGeom>
        <a:noFill/>
        <a:ln w="9525">
          <a:solidFill>
            <a:srgbClr val="000000"/>
          </a:solidFill>
          <a:prstDash val="sysDot"/>
          <a:round/>
          <a:headEnd/>
          <a:tailEnd/>
        </a:ln>
      </xdr:spPr>
    </xdr:sp>
    <xdr:clientData/>
  </xdr:twoCellAnchor>
  <xdr:twoCellAnchor>
    <xdr:from>
      <xdr:col>34</xdr:col>
      <xdr:colOff>0</xdr:colOff>
      <xdr:row>47</xdr:row>
      <xdr:rowOff>0</xdr:rowOff>
    </xdr:from>
    <xdr:to>
      <xdr:col>34</xdr:col>
      <xdr:colOff>0</xdr:colOff>
      <xdr:row>47</xdr:row>
      <xdr:rowOff>0</xdr:rowOff>
    </xdr:to>
    <xdr:sp macro="" textlink="">
      <xdr:nvSpPr>
        <xdr:cNvPr id="17" name="Line 34">
          <a:extLst>
            <a:ext uri="{FF2B5EF4-FFF2-40B4-BE49-F238E27FC236}">
              <a16:creationId xmlns:a16="http://schemas.microsoft.com/office/drawing/2014/main" id="{00000000-0008-0000-0C00-000011000000}"/>
            </a:ext>
          </a:extLst>
        </xdr:cNvPr>
        <xdr:cNvSpPr>
          <a:spLocks noChangeShapeType="1"/>
        </xdr:cNvSpPr>
      </xdr:nvSpPr>
      <xdr:spPr bwMode="auto">
        <a:xfrm>
          <a:off x="19783425" y="16687800"/>
          <a:ext cx="0" cy="0"/>
        </a:xfrm>
        <a:prstGeom prst="line">
          <a:avLst/>
        </a:prstGeom>
        <a:noFill/>
        <a:ln w="9525">
          <a:solidFill>
            <a:srgbClr val="000000"/>
          </a:solidFill>
          <a:prstDash val="sysDot"/>
          <a:round/>
          <a:headEnd/>
          <a:tailEnd/>
        </a:ln>
      </xdr:spPr>
    </xdr:sp>
    <xdr:clientData/>
  </xdr:twoCellAnchor>
  <xdr:twoCellAnchor>
    <xdr:from>
      <xdr:col>32</xdr:col>
      <xdr:colOff>0</xdr:colOff>
      <xdr:row>24</xdr:row>
      <xdr:rowOff>0</xdr:rowOff>
    </xdr:from>
    <xdr:to>
      <xdr:col>32</xdr:col>
      <xdr:colOff>0</xdr:colOff>
      <xdr:row>24</xdr:row>
      <xdr:rowOff>0</xdr:rowOff>
    </xdr:to>
    <xdr:sp macro="" textlink="">
      <xdr:nvSpPr>
        <xdr:cNvPr id="18" name="Line 8">
          <a:extLst>
            <a:ext uri="{FF2B5EF4-FFF2-40B4-BE49-F238E27FC236}">
              <a16:creationId xmlns:a16="http://schemas.microsoft.com/office/drawing/2014/main" id="{00000000-0008-0000-0C00-000012000000}"/>
            </a:ext>
          </a:extLst>
        </xdr:cNvPr>
        <xdr:cNvSpPr>
          <a:spLocks noChangeShapeType="1"/>
        </xdr:cNvSpPr>
      </xdr:nvSpPr>
      <xdr:spPr bwMode="auto">
        <a:xfrm>
          <a:off x="17783175" y="13401675"/>
          <a:ext cx="0" cy="0"/>
        </a:xfrm>
        <a:prstGeom prst="line">
          <a:avLst/>
        </a:prstGeom>
        <a:noFill/>
        <a:ln w="9525">
          <a:solidFill>
            <a:srgbClr val="000000"/>
          </a:solidFill>
          <a:prstDash val="sysDot"/>
          <a:round/>
          <a:headEnd/>
          <a:tailEnd/>
        </a:ln>
      </xdr:spPr>
    </xdr:sp>
    <xdr:clientData/>
  </xdr:twoCellAnchor>
  <xdr:twoCellAnchor>
    <xdr:from>
      <xdr:col>32</xdr:col>
      <xdr:colOff>0</xdr:colOff>
      <xdr:row>26</xdr:row>
      <xdr:rowOff>0</xdr:rowOff>
    </xdr:from>
    <xdr:to>
      <xdr:col>32</xdr:col>
      <xdr:colOff>0</xdr:colOff>
      <xdr:row>26</xdr:row>
      <xdr:rowOff>0</xdr:rowOff>
    </xdr:to>
    <xdr:sp macro="" textlink="">
      <xdr:nvSpPr>
        <xdr:cNvPr id="19" name="Line 9">
          <a:extLst>
            <a:ext uri="{FF2B5EF4-FFF2-40B4-BE49-F238E27FC236}">
              <a16:creationId xmlns:a16="http://schemas.microsoft.com/office/drawing/2014/main" id="{00000000-0008-0000-0C00-000013000000}"/>
            </a:ext>
          </a:extLst>
        </xdr:cNvPr>
        <xdr:cNvSpPr>
          <a:spLocks noChangeShapeType="1"/>
        </xdr:cNvSpPr>
      </xdr:nvSpPr>
      <xdr:spPr bwMode="auto">
        <a:xfrm>
          <a:off x="17783175" y="13735050"/>
          <a:ext cx="0" cy="0"/>
        </a:xfrm>
        <a:prstGeom prst="line">
          <a:avLst/>
        </a:prstGeom>
        <a:noFill/>
        <a:ln w="9525">
          <a:solidFill>
            <a:srgbClr val="000000"/>
          </a:solidFill>
          <a:prstDash val="sysDot"/>
          <a:round/>
          <a:headEnd/>
          <a:tailEnd/>
        </a:ln>
      </xdr:spPr>
    </xdr:sp>
    <xdr:clientData/>
  </xdr:twoCellAnchor>
  <xdr:twoCellAnchor>
    <xdr:from>
      <xdr:col>32</xdr:col>
      <xdr:colOff>0</xdr:colOff>
      <xdr:row>29</xdr:row>
      <xdr:rowOff>0</xdr:rowOff>
    </xdr:from>
    <xdr:to>
      <xdr:col>32</xdr:col>
      <xdr:colOff>0</xdr:colOff>
      <xdr:row>29</xdr:row>
      <xdr:rowOff>0</xdr:rowOff>
    </xdr:to>
    <xdr:sp macro="" textlink="">
      <xdr:nvSpPr>
        <xdr:cNvPr id="20" name="Line 18">
          <a:extLst>
            <a:ext uri="{FF2B5EF4-FFF2-40B4-BE49-F238E27FC236}">
              <a16:creationId xmlns:a16="http://schemas.microsoft.com/office/drawing/2014/main" id="{00000000-0008-0000-0C00-000014000000}"/>
            </a:ext>
          </a:extLst>
        </xdr:cNvPr>
        <xdr:cNvSpPr>
          <a:spLocks noChangeShapeType="1"/>
        </xdr:cNvSpPr>
      </xdr:nvSpPr>
      <xdr:spPr bwMode="auto">
        <a:xfrm>
          <a:off x="17783175" y="14097000"/>
          <a:ext cx="0" cy="0"/>
        </a:xfrm>
        <a:prstGeom prst="line">
          <a:avLst/>
        </a:prstGeom>
        <a:noFill/>
        <a:ln w="9525">
          <a:solidFill>
            <a:srgbClr val="000000"/>
          </a:solidFill>
          <a:prstDash val="sysDot"/>
          <a:round/>
          <a:headEnd/>
          <a:tailEnd/>
        </a:ln>
      </xdr:spPr>
    </xdr:sp>
    <xdr:clientData/>
  </xdr:twoCellAnchor>
  <xdr:twoCellAnchor>
    <xdr:from>
      <xdr:col>32</xdr:col>
      <xdr:colOff>0</xdr:colOff>
      <xdr:row>30</xdr:row>
      <xdr:rowOff>0</xdr:rowOff>
    </xdr:from>
    <xdr:to>
      <xdr:col>32</xdr:col>
      <xdr:colOff>0</xdr:colOff>
      <xdr:row>30</xdr:row>
      <xdr:rowOff>0</xdr:rowOff>
    </xdr:to>
    <xdr:sp macro="" textlink="">
      <xdr:nvSpPr>
        <xdr:cNvPr id="21" name="Line 19">
          <a:extLst>
            <a:ext uri="{FF2B5EF4-FFF2-40B4-BE49-F238E27FC236}">
              <a16:creationId xmlns:a16="http://schemas.microsoft.com/office/drawing/2014/main" id="{00000000-0008-0000-0C00-000015000000}"/>
            </a:ext>
          </a:extLst>
        </xdr:cNvPr>
        <xdr:cNvSpPr>
          <a:spLocks noChangeShapeType="1"/>
        </xdr:cNvSpPr>
      </xdr:nvSpPr>
      <xdr:spPr bwMode="auto">
        <a:xfrm>
          <a:off x="17783175" y="14239875"/>
          <a:ext cx="0" cy="0"/>
        </a:xfrm>
        <a:prstGeom prst="line">
          <a:avLst/>
        </a:prstGeom>
        <a:noFill/>
        <a:ln w="9525">
          <a:solidFill>
            <a:srgbClr val="000000"/>
          </a:solidFill>
          <a:prstDash val="sysDot"/>
          <a:round/>
          <a:headEnd/>
          <a:tailEnd/>
        </a:ln>
      </xdr:spPr>
    </xdr:sp>
    <xdr:clientData/>
  </xdr:twoCellAnchor>
  <xdr:twoCellAnchor>
    <xdr:from>
      <xdr:col>32</xdr:col>
      <xdr:colOff>0</xdr:colOff>
      <xdr:row>32</xdr:row>
      <xdr:rowOff>0</xdr:rowOff>
    </xdr:from>
    <xdr:to>
      <xdr:col>32</xdr:col>
      <xdr:colOff>0</xdr:colOff>
      <xdr:row>32</xdr:row>
      <xdr:rowOff>0</xdr:rowOff>
    </xdr:to>
    <xdr:sp macro="" textlink="">
      <xdr:nvSpPr>
        <xdr:cNvPr id="22" name="Line 20">
          <a:extLst>
            <a:ext uri="{FF2B5EF4-FFF2-40B4-BE49-F238E27FC236}">
              <a16:creationId xmlns:a16="http://schemas.microsoft.com/office/drawing/2014/main" id="{00000000-0008-0000-0C00-000016000000}"/>
            </a:ext>
          </a:extLst>
        </xdr:cNvPr>
        <xdr:cNvSpPr>
          <a:spLocks noChangeShapeType="1"/>
        </xdr:cNvSpPr>
      </xdr:nvSpPr>
      <xdr:spPr bwMode="auto">
        <a:xfrm>
          <a:off x="17783175" y="14544675"/>
          <a:ext cx="0" cy="0"/>
        </a:xfrm>
        <a:prstGeom prst="line">
          <a:avLst/>
        </a:prstGeom>
        <a:noFill/>
        <a:ln w="9525">
          <a:solidFill>
            <a:srgbClr val="000000"/>
          </a:solidFill>
          <a:prstDash val="sysDot"/>
          <a:round/>
          <a:headEnd/>
          <a:tailEnd/>
        </a:ln>
      </xdr:spPr>
    </xdr:sp>
    <xdr:clientData/>
  </xdr:twoCellAnchor>
  <xdr:twoCellAnchor>
    <xdr:from>
      <xdr:col>34</xdr:col>
      <xdr:colOff>0</xdr:colOff>
      <xdr:row>28</xdr:row>
      <xdr:rowOff>0</xdr:rowOff>
    </xdr:from>
    <xdr:to>
      <xdr:col>34</xdr:col>
      <xdr:colOff>0</xdr:colOff>
      <xdr:row>28</xdr:row>
      <xdr:rowOff>0</xdr:rowOff>
    </xdr:to>
    <xdr:sp macro="" textlink="">
      <xdr:nvSpPr>
        <xdr:cNvPr id="23" name="Line 29">
          <a:extLst>
            <a:ext uri="{FF2B5EF4-FFF2-40B4-BE49-F238E27FC236}">
              <a16:creationId xmlns:a16="http://schemas.microsoft.com/office/drawing/2014/main" id="{00000000-0008-0000-0C00-000017000000}"/>
            </a:ext>
          </a:extLst>
        </xdr:cNvPr>
        <xdr:cNvSpPr>
          <a:spLocks noChangeShapeType="1"/>
        </xdr:cNvSpPr>
      </xdr:nvSpPr>
      <xdr:spPr bwMode="auto">
        <a:xfrm>
          <a:off x="19783425" y="14058900"/>
          <a:ext cx="0" cy="0"/>
        </a:xfrm>
        <a:prstGeom prst="line">
          <a:avLst/>
        </a:prstGeom>
        <a:noFill/>
        <a:ln w="9525">
          <a:solidFill>
            <a:srgbClr val="000000"/>
          </a:solidFill>
          <a:prstDash val="sysDot"/>
          <a:round/>
          <a:headEnd/>
          <a:tailEnd/>
        </a:ln>
      </xdr:spPr>
    </xdr:sp>
    <xdr:clientData/>
  </xdr:twoCellAnchor>
  <xdr:twoCellAnchor>
    <xdr:from>
      <xdr:col>34</xdr:col>
      <xdr:colOff>0</xdr:colOff>
      <xdr:row>30</xdr:row>
      <xdr:rowOff>0</xdr:rowOff>
    </xdr:from>
    <xdr:to>
      <xdr:col>34</xdr:col>
      <xdr:colOff>9525</xdr:colOff>
      <xdr:row>30</xdr:row>
      <xdr:rowOff>0</xdr:rowOff>
    </xdr:to>
    <xdr:sp macro="" textlink="">
      <xdr:nvSpPr>
        <xdr:cNvPr id="24" name="Line 31">
          <a:extLst>
            <a:ext uri="{FF2B5EF4-FFF2-40B4-BE49-F238E27FC236}">
              <a16:creationId xmlns:a16="http://schemas.microsoft.com/office/drawing/2014/main" id="{00000000-0008-0000-0C00-000018000000}"/>
            </a:ext>
          </a:extLst>
        </xdr:cNvPr>
        <xdr:cNvSpPr>
          <a:spLocks noChangeShapeType="1"/>
        </xdr:cNvSpPr>
      </xdr:nvSpPr>
      <xdr:spPr bwMode="auto">
        <a:xfrm>
          <a:off x="19783425" y="142398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36</xdr:row>
      <xdr:rowOff>0</xdr:rowOff>
    </xdr:from>
    <xdr:to>
      <xdr:col>34</xdr:col>
      <xdr:colOff>0</xdr:colOff>
      <xdr:row>36</xdr:row>
      <xdr:rowOff>0</xdr:rowOff>
    </xdr:to>
    <xdr:sp macro="" textlink="">
      <xdr:nvSpPr>
        <xdr:cNvPr id="25" name="Line 32">
          <a:extLst>
            <a:ext uri="{FF2B5EF4-FFF2-40B4-BE49-F238E27FC236}">
              <a16:creationId xmlns:a16="http://schemas.microsoft.com/office/drawing/2014/main" id="{00000000-0008-0000-0C00-000019000000}"/>
            </a:ext>
          </a:extLst>
        </xdr:cNvPr>
        <xdr:cNvSpPr>
          <a:spLocks noChangeShapeType="1"/>
        </xdr:cNvSpPr>
      </xdr:nvSpPr>
      <xdr:spPr bwMode="auto">
        <a:xfrm>
          <a:off x="19783425" y="15116175"/>
          <a:ext cx="0" cy="0"/>
        </a:xfrm>
        <a:prstGeom prst="line">
          <a:avLst/>
        </a:prstGeom>
        <a:noFill/>
        <a:ln w="9525">
          <a:solidFill>
            <a:srgbClr val="000000"/>
          </a:solidFill>
          <a:prstDash val="sysDot"/>
          <a:round/>
          <a:headEnd/>
          <a:tailEnd/>
        </a:ln>
      </xdr:spPr>
    </xdr:sp>
    <xdr:clientData/>
  </xdr:twoCellAnchor>
  <xdr:twoCellAnchor>
    <xdr:from>
      <xdr:col>34</xdr:col>
      <xdr:colOff>0</xdr:colOff>
      <xdr:row>39</xdr:row>
      <xdr:rowOff>0</xdr:rowOff>
    </xdr:from>
    <xdr:to>
      <xdr:col>34</xdr:col>
      <xdr:colOff>0</xdr:colOff>
      <xdr:row>39</xdr:row>
      <xdr:rowOff>0</xdr:rowOff>
    </xdr:to>
    <xdr:sp macro="" textlink="">
      <xdr:nvSpPr>
        <xdr:cNvPr id="26" name="Line 35">
          <a:extLst>
            <a:ext uri="{FF2B5EF4-FFF2-40B4-BE49-F238E27FC236}">
              <a16:creationId xmlns:a16="http://schemas.microsoft.com/office/drawing/2014/main" id="{00000000-0008-0000-0C00-00001A000000}"/>
            </a:ext>
          </a:extLst>
        </xdr:cNvPr>
        <xdr:cNvSpPr>
          <a:spLocks noChangeShapeType="1"/>
        </xdr:cNvSpPr>
      </xdr:nvSpPr>
      <xdr:spPr bwMode="auto">
        <a:xfrm>
          <a:off x="19783425" y="15544800"/>
          <a:ext cx="0" cy="0"/>
        </a:xfrm>
        <a:prstGeom prst="line">
          <a:avLst/>
        </a:prstGeom>
        <a:noFill/>
        <a:ln w="9525">
          <a:solidFill>
            <a:srgbClr val="000000"/>
          </a:solidFill>
          <a:prstDash val="sysDot"/>
          <a:round/>
          <a:headEnd/>
          <a:tailEnd/>
        </a:ln>
      </xdr:spPr>
    </xdr:sp>
    <xdr:clientData/>
  </xdr:twoCellAnchor>
  <xdr:twoCellAnchor>
    <xdr:from>
      <xdr:col>34</xdr:col>
      <xdr:colOff>0</xdr:colOff>
      <xdr:row>34</xdr:row>
      <xdr:rowOff>0</xdr:rowOff>
    </xdr:from>
    <xdr:to>
      <xdr:col>34</xdr:col>
      <xdr:colOff>0</xdr:colOff>
      <xdr:row>34</xdr:row>
      <xdr:rowOff>0</xdr:rowOff>
    </xdr:to>
    <xdr:sp macro="" textlink="">
      <xdr:nvSpPr>
        <xdr:cNvPr id="27" name="Line 29">
          <a:extLst>
            <a:ext uri="{FF2B5EF4-FFF2-40B4-BE49-F238E27FC236}">
              <a16:creationId xmlns:a16="http://schemas.microsoft.com/office/drawing/2014/main" id="{00000000-0008-0000-0C00-00001B000000}"/>
            </a:ext>
          </a:extLst>
        </xdr:cNvPr>
        <xdr:cNvSpPr>
          <a:spLocks noChangeShapeType="1"/>
        </xdr:cNvSpPr>
      </xdr:nvSpPr>
      <xdr:spPr bwMode="auto">
        <a:xfrm>
          <a:off x="19783425" y="14830425"/>
          <a:ext cx="0" cy="0"/>
        </a:xfrm>
        <a:prstGeom prst="line">
          <a:avLst/>
        </a:prstGeom>
        <a:noFill/>
        <a:ln w="9525">
          <a:solidFill>
            <a:srgbClr val="000000"/>
          </a:solidFill>
          <a:prstDash val="sysDot"/>
          <a:round/>
          <a:headEnd/>
          <a:tailEnd/>
        </a:ln>
      </xdr:spPr>
    </xdr:sp>
    <xdr:clientData/>
  </xdr:twoCellAnchor>
  <xdr:twoCellAnchor>
    <xdr:from>
      <xdr:col>34</xdr:col>
      <xdr:colOff>0</xdr:colOff>
      <xdr:row>36</xdr:row>
      <xdr:rowOff>0</xdr:rowOff>
    </xdr:from>
    <xdr:to>
      <xdr:col>34</xdr:col>
      <xdr:colOff>9525</xdr:colOff>
      <xdr:row>36</xdr:row>
      <xdr:rowOff>0</xdr:rowOff>
    </xdr:to>
    <xdr:sp macro="" textlink="">
      <xdr:nvSpPr>
        <xdr:cNvPr id="28" name="Line 31">
          <a:extLst>
            <a:ext uri="{FF2B5EF4-FFF2-40B4-BE49-F238E27FC236}">
              <a16:creationId xmlns:a16="http://schemas.microsoft.com/office/drawing/2014/main" id="{00000000-0008-0000-0C00-00001C000000}"/>
            </a:ext>
          </a:extLst>
        </xdr:cNvPr>
        <xdr:cNvSpPr>
          <a:spLocks noChangeShapeType="1"/>
        </xdr:cNvSpPr>
      </xdr:nvSpPr>
      <xdr:spPr bwMode="auto">
        <a:xfrm>
          <a:off x="19783425" y="151161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42</xdr:row>
      <xdr:rowOff>0</xdr:rowOff>
    </xdr:from>
    <xdr:to>
      <xdr:col>34</xdr:col>
      <xdr:colOff>0</xdr:colOff>
      <xdr:row>42</xdr:row>
      <xdr:rowOff>0</xdr:rowOff>
    </xdr:to>
    <xdr:sp macro="" textlink="">
      <xdr:nvSpPr>
        <xdr:cNvPr id="29" name="Line 32">
          <a:extLst>
            <a:ext uri="{FF2B5EF4-FFF2-40B4-BE49-F238E27FC236}">
              <a16:creationId xmlns:a16="http://schemas.microsoft.com/office/drawing/2014/main" id="{00000000-0008-0000-0C00-00001D000000}"/>
            </a:ext>
          </a:extLst>
        </xdr:cNvPr>
        <xdr:cNvSpPr>
          <a:spLocks noChangeShapeType="1"/>
        </xdr:cNvSpPr>
      </xdr:nvSpPr>
      <xdr:spPr bwMode="auto">
        <a:xfrm>
          <a:off x="19783425" y="15973425"/>
          <a:ext cx="0" cy="0"/>
        </a:xfrm>
        <a:prstGeom prst="line">
          <a:avLst/>
        </a:prstGeom>
        <a:noFill/>
        <a:ln w="9525">
          <a:solidFill>
            <a:srgbClr val="000000"/>
          </a:solidFill>
          <a:prstDash val="sysDot"/>
          <a:round/>
          <a:headEnd/>
          <a:tailEnd/>
        </a:ln>
      </xdr:spPr>
    </xdr:sp>
    <xdr:clientData/>
  </xdr:twoCellAnchor>
  <xdr:twoCellAnchor>
    <xdr:from>
      <xdr:col>34</xdr:col>
      <xdr:colOff>0</xdr:colOff>
      <xdr:row>43</xdr:row>
      <xdr:rowOff>0</xdr:rowOff>
    </xdr:from>
    <xdr:to>
      <xdr:col>34</xdr:col>
      <xdr:colOff>0</xdr:colOff>
      <xdr:row>43</xdr:row>
      <xdr:rowOff>0</xdr:rowOff>
    </xdr:to>
    <xdr:sp macro="" textlink="">
      <xdr:nvSpPr>
        <xdr:cNvPr id="30" name="Line 34">
          <a:extLst>
            <a:ext uri="{FF2B5EF4-FFF2-40B4-BE49-F238E27FC236}">
              <a16:creationId xmlns:a16="http://schemas.microsoft.com/office/drawing/2014/main" id="{00000000-0008-0000-0C00-00001E000000}"/>
            </a:ext>
          </a:extLst>
        </xdr:cNvPr>
        <xdr:cNvSpPr>
          <a:spLocks noChangeShapeType="1"/>
        </xdr:cNvSpPr>
      </xdr:nvSpPr>
      <xdr:spPr bwMode="auto">
        <a:xfrm>
          <a:off x="19783425" y="16116300"/>
          <a:ext cx="0" cy="0"/>
        </a:xfrm>
        <a:prstGeom prst="line">
          <a:avLst/>
        </a:prstGeom>
        <a:noFill/>
        <a:ln w="9525">
          <a:solidFill>
            <a:srgbClr val="000000"/>
          </a:solidFill>
          <a:prstDash val="sysDot"/>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0</xdr:colOff>
      <xdr:row>31</xdr:row>
      <xdr:rowOff>0</xdr:rowOff>
    </xdr:from>
    <xdr:to>
      <xdr:col>31</xdr:col>
      <xdr:colOff>0</xdr:colOff>
      <xdr:row>31</xdr:row>
      <xdr:rowOff>0</xdr:rowOff>
    </xdr:to>
    <xdr:sp macro="" textlink="">
      <xdr:nvSpPr>
        <xdr:cNvPr id="2" name="Line 7">
          <a:extLst>
            <a:ext uri="{FF2B5EF4-FFF2-40B4-BE49-F238E27FC236}">
              <a16:creationId xmlns:a16="http://schemas.microsoft.com/office/drawing/2014/main" id="{00000000-0008-0000-0D00-000002000000}"/>
            </a:ext>
          </a:extLst>
        </xdr:cNvPr>
        <xdr:cNvSpPr>
          <a:spLocks noChangeShapeType="1"/>
        </xdr:cNvSpPr>
      </xdr:nvSpPr>
      <xdr:spPr bwMode="auto">
        <a:xfrm>
          <a:off x="16249650" y="12239625"/>
          <a:ext cx="0" cy="0"/>
        </a:xfrm>
        <a:prstGeom prst="line">
          <a:avLst/>
        </a:prstGeom>
        <a:noFill/>
        <a:ln w="9525">
          <a:solidFill>
            <a:srgbClr val="000000"/>
          </a:solidFill>
          <a:prstDash val="sysDot"/>
          <a:round/>
          <a:headEnd/>
          <a:tailEnd/>
        </a:ln>
      </xdr:spPr>
    </xdr:sp>
    <xdr:clientData/>
  </xdr:twoCellAnchor>
  <xdr:twoCellAnchor>
    <xdr:from>
      <xdr:col>31</xdr:col>
      <xdr:colOff>0</xdr:colOff>
      <xdr:row>32</xdr:row>
      <xdr:rowOff>0</xdr:rowOff>
    </xdr:from>
    <xdr:to>
      <xdr:col>31</xdr:col>
      <xdr:colOff>0</xdr:colOff>
      <xdr:row>32</xdr:row>
      <xdr:rowOff>0</xdr:rowOff>
    </xdr:to>
    <xdr:sp macro="" textlink="">
      <xdr:nvSpPr>
        <xdr:cNvPr id="3" name="Line 8">
          <a:extLst>
            <a:ext uri="{FF2B5EF4-FFF2-40B4-BE49-F238E27FC236}">
              <a16:creationId xmlns:a16="http://schemas.microsoft.com/office/drawing/2014/main" id="{00000000-0008-0000-0D00-000003000000}"/>
            </a:ext>
          </a:extLst>
        </xdr:cNvPr>
        <xdr:cNvSpPr>
          <a:spLocks noChangeShapeType="1"/>
        </xdr:cNvSpPr>
      </xdr:nvSpPr>
      <xdr:spPr bwMode="auto">
        <a:xfrm>
          <a:off x="16249650" y="12430125"/>
          <a:ext cx="0" cy="0"/>
        </a:xfrm>
        <a:prstGeom prst="line">
          <a:avLst/>
        </a:prstGeom>
        <a:noFill/>
        <a:ln w="9525">
          <a:solidFill>
            <a:srgbClr val="000000"/>
          </a:solidFill>
          <a:prstDash val="sysDot"/>
          <a:round/>
          <a:headEnd/>
          <a:tailEnd/>
        </a:ln>
      </xdr:spPr>
    </xdr:sp>
    <xdr:clientData/>
  </xdr:twoCellAnchor>
  <xdr:twoCellAnchor>
    <xdr:from>
      <xdr:col>31</xdr:col>
      <xdr:colOff>0</xdr:colOff>
      <xdr:row>34</xdr:row>
      <xdr:rowOff>0</xdr:rowOff>
    </xdr:from>
    <xdr:to>
      <xdr:col>31</xdr:col>
      <xdr:colOff>0</xdr:colOff>
      <xdr:row>34</xdr:row>
      <xdr:rowOff>0</xdr:rowOff>
    </xdr:to>
    <xdr:sp macro="" textlink="">
      <xdr:nvSpPr>
        <xdr:cNvPr id="4" name="Line 9">
          <a:extLst>
            <a:ext uri="{FF2B5EF4-FFF2-40B4-BE49-F238E27FC236}">
              <a16:creationId xmlns:a16="http://schemas.microsoft.com/office/drawing/2014/main" id="{00000000-0008-0000-0D00-000004000000}"/>
            </a:ext>
          </a:extLst>
        </xdr:cNvPr>
        <xdr:cNvSpPr>
          <a:spLocks noChangeShapeType="1"/>
        </xdr:cNvSpPr>
      </xdr:nvSpPr>
      <xdr:spPr bwMode="auto">
        <a:xfrm>
          <a:off x="16249650" y="12734925"/>
          <a:ext cx="0" cy="0"/>
        </a:xfrm>
        <a:prstGeom prst="line">
          <a:avLst/>
        </a:prstGeom>
        <a:noFill/>
        <a:ln w="9525">
          <a:solidFill>
            <a:srgbClr val="000000"/>
          </a:solidFill>
          <a:prstDash val="sysDot"/>
          <a:round/>
          <a:headEnd/>
          <a:tailEnd/>
        </a:ln>
      </xdr:spPr>
    </xdr:sp>
    <xdr:clientData/>
  </xdr:twoCellAnchor>
  <xdr:twoCellAnchor>
    <xdr:from>
      <xdr:col>31</xdr:col>
      <xdr:colOff>0</xdr:colOff>
      <xdr:row>29</xdr:row>
      <xdr:rowOff>0</xdr:rowOff>
    </xdr:from>
    <xdr:to>
      <xdr:col>31</xdr:col>
      <xdr:colOff>0</xdr:colOff>
      <xdr:row>29</xdr:row>
      <xdr:rowOff>0</xdr:rowOff>
    </xdr:to>
    <xdr:sp macro="" textlink="">
      <xdr:nvSpPr>
        <xdr:cNvPr id="5" name="Line 16">
          <a:extLst>
            <a:ext uri="{FF2B5EF4-FFF2-40B4-BE49-F238E27FC236}">
              <a16:creationId xmlns:a16="http://schemas.microsoft.com/office/drawing/2014/main" id="{00000000-0008-0000-0D00-000005000000}"/>
            </a:ext>
          </a:extLst>
        </xdr:cNvPr>
        <xdr:cNvSpPr>
          <a:spLocks noChangeShapeType="1"/>
        </xdr:cNvSpPr>
      </xdr:nvSpPr>
      <xdr:spPr bwMode="auto">
        <a:xfrm>
          <a:off x="16249650" y="11877675"/>
          <a:ext cx="0" cy="0"/>
        </a:xfrm>
        <a:prstGeom prst="line">
          <a:avLst/>
        </a:prstGeom>
        <a:noFill/>
        <a:ln w="9525">
          <a:solidFill>
            <a:srgbClr val="000000"/>
          </a:solidFill>
          <a:prstDash val="sysDot"/>
          <a:round/>
          <a:headEnd/>
          <a:tailEnd/>
        </a:ln>
      </xdr:spPr>
    </xdr:sp>
    <xdr:clientData/>
  </xdr:twoCellAnchor>
  <xdr:twoCellAnchor>
    <xdr:from>
      <xdr:col>31</xdr:col>
      <xdr:colOff>0</xdr:colOff>
      <xdr:row>31</xdr:row>
      <xdr:rowOff>0</xdr:rowOff>
    </xdr:from>
    <xdr:to>
      <xdr:col>31</xdr:col>
      <xdr:colOff>9525</xdr:colOff>
      <xdr:row>31</xdr:row>
      <xdr:rowOff>0</xdr:rowOff>
    </xdr:to>
    <xdr:sp macro="" textlink="">
      <xdr:nvSpPr>
        <xdr:cNvPr id="6" name="Line 17">
          <a:extLst>
            <a:ext uri="{FF2B5EF4-FFF2-40B4-BE49-F238E27FC236}">
              <a16:creationId xmlns:a16="http://schemas.microsoft.com/office/drawing/2014/main" id="{00000000-0008-0000-0D00-000006000000}"/>
            </a:ext>
          </a:extLst>
        </xdr:cNvPr>
        <xdr:cNvSpPr>
          <a:spLocks noChangeShapeType="1"/>
        </xdr:cNvSpPr>
      </xdr:nvSpPr>
      <xdr:spPr bwMode="auto">
        <a:xfrm>
          <a:off x="16249650" y="122396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37</xdr:row>
      <xdr:rowOff>0</xdr:rowOff>
    </xdr:from>
    <xdr:to>
      <xdr:col>31</xdr:col>
      <xdr:colOff>0</xdr:colOff>
      <xdr:row>37</xdr:row>
      <xdr:rowOff>0</xdr:rowOff>
    </xdr:to>
    <xdr:sp macro="" textlink="">
      <xdr:nvSpPr>
        <xdr:cNvPr id="7" name="Line 18">
          <a:extLst>
            <a:ext uri="{FF2B5EF4-FFF2-40B4-BE49-F238E27FC236}">
              <a16:creationId xmlns:a16="http://schemas.microsoft.com/office/drawing/2014/main" id="{00000000-0008-0000-0D00-000007000000}"/>
            </a:ext>
          </a:extLst>
        </xdr:cNvPr>
        <xdr:cNvSpPr>
          <a:spLocks noChangeShapeType="1"/>
        </xdr:cNvSpPr>
      </xdr:nvSpPr>
      <xdr:spPr bwMode="auto">
        <a:xfrm>
          <a:off x="16249650" y="13163550"/>
          <a:ext cx="0" cy="0"/>
        </a:xfrm>
        <a:prstGeom prst="line">
          <a:avLst/>
        </a:prstGeom>
        <a:noFill/>
        <a:ln w="9525">
          <a:solidFill>
            <a:srgbClr val="000000"/>
          </a:solidFill>
          <a:prstDash val="sysDot"/>
          <a:round/>
          <a:headEnd/>
          <a:tailEnd/>
        </a:ln>
      </xdr:spPr>
    </xdr:sp>
    <xdr:clientData/>
  </xdr:twoCellAnchor>
  <xdr:twoCellAnchor>
    <xdr:from>
      <xdr:col>31</xdr:col>
      <xdr:colOff>0</xdr:colOff>
      <xdr:row>38</xdr:row>
      <xdr:rowOff>0</xdr:rowOff>
    </xdr:from>
    <xdr:to>
      <xdr:col>31</xdr:col>
      <xdr:colOff>0</xdr:colOff>
      <xdr:row>38</xdr:row>
      <xdr:rowOff>0</xdr:rowOff>
    </xdr:to>
    <xdr:sp macro="" textlink="">
      <xdr:nvSpPr>
        <xdr:cNvPr id="8" name="Line 19">
          <a:extLst>
            <a:ext uri="{FF2B5EF4-FFF2-40B4-BE49-F238E27FC236}">
              <a16:creationId xmlns:a16="http://schemas.microsoft.com/office/drawing/2014/main" id="{00000000-0008-0000-0D00-000008000000}"/>
            </a:ext>
          </a:extLst>
        </xdr:cNvPr>
        <xdr:cNvSpPr>
          <a:spLocks noChangeShapeType="1"/>
        </xdr:cNvSpPr>
      </xdr:nvSpPr>
      <xdr:spPr bwMode="auto">
        <a:xfrm>
          <a:off x="16249650" y="13306425"/>
          <a:ext cx="0" cy="0"/>
        </a:xfrm>
        <a:prstGeom prst="line">
          <a:avLst/>
        </a:prstGeom>
        <a:noFill/>
        <a:ln w="9525">
          <a:solidFill>
            <a:srgbClr val="000000"/>
          </a:solidFill>
          <a:prstDash val="sysDot"/>
          <a:round/>
          <a:headEnd/>
          <a:tailEnd/>
        </a:ln>
      </xdr:spPr>
    </xdr:sp>
    <xdr:clientData/>
  </xdr:twoCellAnchor>
  <xdr:twoCellAnchor>
    <xdr:from>
      <xdr:col>31</xdr:col>
      <xdr:colOff>0</xdr:colOff>
      <xdr:row>40</xdr:row>
      <xdr:rowOff>0</xdr:rowOff>
    </xdr:from>
    <xdr:to>
      <xdr:col>31</xdr:col>
      <xdr:colOff>0</xdr:colOff>
      <xdr:row>40</xdr:row>
      <xdr:rowOff>0</xdr:rowOff>
    </xdr:to>
    <xdr:sp macro="" textlink="">
      <xdr:nvSpPr>
        <xdr:cNvPr id="9" name="Line 20">
          <a:extLst>
            <a:ext uri="{FF2B5EF4-FFF2-40B4-BE49-F238E27FC236}">
              <a16:creationId xmlns:a16="http://schemas.microsoft.com/office/drawing/2014/main" id="{00000000-0008-0000-0D00-000009000000}"/>
            </a:ext>
          </a:extLst>
        </xdr:cNvPr>
        <xdr:cNvSpPr>
          <a:spLocks noChangeShapeType="1"/>
        </xdr:cNvSpPr>
      </xdr:nvSpPr>
      <xdr:spPr bwMode="auto">
        <a:xfrm>
          <a:off x="16249650" y="13592175"/>
          <a:ext cx="0" cy="0"/>
        </a:xfrm>
        <a:prstGeom prst="line">
          <a:avLst/>
        </a:prstGeom>
        <a:noFill/>
        <a:ln w="9525">
          <a:solidFill>
            <a:srgbClr val="000000"/>
          </a:solidFill>
          <a:prstDash val="sysDot"/>
          <a:round/>
          <a:headEnd/>
          <a:tailEnd/>
        </a:ln>
      </xdr:spPr>
    </xdr:sp>
    <xdr:clientData/>
  </xdr:twoCellAnchor>
  <xdr:twoCellAnchor>
    <xdr:from>
      <xdr:col>33</xdr:col>
      <xdr:colOff>0</xdr:colOff>
      <xdr:row>36</xdr:row>
      <xdr:rowOff>0</xdr:rowOff>
    </xdr:from>
    <xdr:to>
      <xdr:col>33</xdr:col>
      <xdr:colOff>0</xdr:colOff>
      <xdr:row>36</xdr:row>
      <xdr:rowOff>0</xdr:rowOff>
    </xdr:to>
    <xdr:sp macro="" textlink="">
      <xdr:nvSpPr>
        <xdr:cNvPr id="10" name="Line 29">
          <a:extLst>
            <a:ext uri="{FF2B5EF4-FFF2-40B4-BE49-F238E27FC236}">
              <a16:creationId xmlns:a16="http://schemas.microsoft.com/office/drawing/2014/main" id="{00000000-0008-0000-0D00-00000A000000}"/>
            </a:ext>
          </a:extLst>
        </xdr:cNvPr>
        <xdr:cNvSpPr>
          <a:spLocks noChangeShapeType="1"/>
        </xdr:cNvSpPr>
      </xdr:nvSpPr>
      <xdr:spPr bwMode="auto">
        <a:xfrm>
          <a:off x="18230850" y="13020675"/>
          <a:ext cx="0" cy="0"/>
        </a:xfrm>
        <a:prstGeom prst="line">
          <a:avLst/>
        </a:prstGeom>
        <a:noFill/>
        <a:ln w="9525">
          <a:solidFill>
            <a:srgbClr val="000000"/>
          </a:solidFill>
          <a:prstDash val="sysDot"/>
          <a:round/>
          <a:headEnd/>
          <a:tailEnd/>
        </a:ln>
      </xdr:spPr>
    </xdr:sp>
    <xdr:clientData/>
  </xdr:twoCellAnchor>
  <xdr:twoCellAnchor>
    <xdr:from>
      <xdr:col>33</xdr:col>
      <xdr:colOff>0</xdr:colOff>
      <xdr:row>38</xdr:row>
      <xdr:rowOff>0</xdr:rowOff>
    </xdr:from>
    <xdr:to>
      <xdr:col>33</xdr:col>
      <xdr:colOff>9525</xdr:colOff>
      <xdr:row>38</xdr:row>
      <xdr:rowOff>0</xdr:rowOff>
    </xdr:to>
    <xdr:sp macro="" textlink="">
      <xdr:nvSpPr>
        <xdr:cNvPr id="11" name="Line 31">
          <a:extLst>
            <a:ext uri="{FF2B5EF4-FFF2-40B4-BE49-F238E27FC236}">
              <a16:creationId xmlns:a16="http://schemas.microsoft.com/office/drawing/2014/main" id="{00000000-0008-0000-0D00-00000B000000}"/>
            </a:ext>
          </a:extLst>
        </xdr:cNvPr>
        <xdr:cNvSpPr>
          <a:spLocks noChangeShapeType="1"/>
        </xdr:cNvSpPr>
      </xdr:nvSpPr>
      <xdr:spPr bwMode="auto">
        <a:xfrm>
          <a:off x="18230850" y="13306425"/>
          <a:ext cx="9525" cy="0"/>
        </a:xfrm>
        <a:prstGeom prst="line">
          <a:avLst/>
        </a:prstGeom>
        <a:noFill/>
        <a:ln w="9525">
          <a:solidFill>
            <a:srgbClr val="000000"/>
          </a:solidFill>
          <a:prstDash val="sysDot"/>
          <a:round/>
          <a:headEnd/>
          <a:tailEnd/>
        </a:ln>
      </xdr:spPr>
    </xdr:sp>
    <xdr:clientData/>
  </xdr:twoCellAnchor>
  <xdr:twoCellAnchor>
    <xdr:from>
      <xdr:col>33</xdr:col>
      <xdr:colOff>0</xdr:colOff>
      <xdr:row>44</xdr:row>
      <xdr:rowOff>0</xdr:rowOff>
    </xdr:from>
    <xdr:to>
      <xdr:col>33</xdr:col>
      <xdr:colOff>0</xdr:colOff>
      <xdr:row>44</xdr:row>
      <xdr:rowOff>0</xdr:rowOff>
    </xdr:to>
    <xdr:sp macro="" textlink="">
      <xdr:nvSpPr>
        <xdr:cNvPr id="12" name="Line 32">
          <a:extLst>
            <a:ext uri="{FF2B5EF4-FFF2-40B4-BE49-F238E27FC236}">
              <a16:creationId xmlns:a16="http://schemas.microsoft.com/office/drawing/2014/main" id="{00000000-0008-0000-0D00-00000C000000}"/>
            </a:ext>
          </a:extLst>
        </xdr:cNvPr>
        <xdr:cNvSpPr>
          <a:spLocks noChangeShapeType="1"/>
        </xdr:cNvSpPr>
      </xdr:nvSpPr>
      <xdr:spPr bwMode="auto">
        <a:xfrm>
          <a:off x="18230850" y="14163675"/>
          <a:ext cx="0" cy="0"/>
        </a:xfrm>
        <a:prstGeom prst="line">
          <a:avLst/>
        </a:prstGeom>
        <a:noFill/>
        <a:ln w="9525">
          <a:solidFill>
            <a:srgbClr val="000000"/>
          </a:solidFill>
          <a:prstDash val="sysDot"/>
          <a:round/>
          <a:headEnd/>
          <a:tailEnd/>
        </a:ln>
      </xdr:spPr>
    </xdr:sp>
    <xdr:clientData/>
  </xdr:twoCellAnchor>
  <xdr:twoCellAnchor>
    <xdr:from>
      <xdr:col>33</xdr:col>
      <xdr:colOff>0</xdr:colOff>
      <xdr:row>47</xdr:row>
      <xdr:rowOff>0</xdr:rowOff>
    </xdr:from>
    <xdr:to>
      <xdr:col>33</xdr:col>
      <xdr:colOff>0</xdr:colOff>
      <xdr:row>47</xdr:row>
      <xdr:rowOff>0</xdr:rowOff>
    </xdr:to>
    <xdr:sp macro="" textlink="">
      <xdr:nvSpPr>
        <xdr:cNvPr id="13" name="Line 35">
          <a:extLst>
            <a:ext uri="{FF2B5EF4-FFF2-40B4-BE49-F238E27FC236}">
              <a16:creationId xmlns:a16="http://schemas.microsoft.com/office/drawing/2014/main" id="{00000000-0008-0000-0D00-00000D000000}"/>
            </a:ext>
          </a:extLst>
        </xdr:cNvPr>
        <xdr:cNvSpPr>
          <a:spLocks noChangeShapeType="1"/>
        </xdr:cNvSpPr>
      </xdr:nvSpPr>
      <xdr:spPr bwMode="auto">
        <a:xfrm>
          <a:off x="18230850" y="14592300"/>
          <a:ext cx="0" cy="0"/>
        </a:xfrm>
        <a:prstGeom prst="line">
          <a:avLst/>
        </a:prstGeom>
        <a:noFill/>
        <a:ln w="9525">
          <a:solidFill>
            <a:srgbClr val="000000"/>
          </a:solidFill>
          <a:prstDash val="sysDot"/>
          <a:round/>
          <a:headEnd/>
          <a:tailEnd/>
        </a:ln>
      </xdr:spPr>
    </xdr:sp>
    <xdr:clientData/>
  </xdr:twoCellAnchor>
  <xdr:twoCellAnchor>
    <xdr:from>
      <xdr:col>33</xdr:col>
      <xdr:colOff>0</xdr:colOff>
      <xdr:row>42</xdr:row>
      <xdr:rowOff>0</xdr:rowOff>
    </xdr:from>
    <xdr:to>
      <xdr:col>33</xdr:col>
      <xdr:colOff>0</xdr:colOff>
      <xdr:row>42</xdr:row>
      <xdr:rowOff>0</xdr:rowOff>
    </xdr:to>
    <xdr:sp macro="" textlink="">
      <xdr:nvSpPr>
        <xdr:cNvPr id="14" name="Line 29">
          <a:extLst>
            <a:ext uri="{FF2B5EF4-FFF2-40B4-BE49-F238E27FC236}">
              <a16:creationId xmlns:a16="http://schemas.microsoft.com/office/drawing/2014/main" id="{00000000-0008-0000-0D00-00000E000000}"/>
            </a:ext>
          </a:extLst>
        </xdr:cNvPr>
        <xdr:cNvSpPr>
          <a:spLocks noChangeShapeType="1"/>
        </xdr:cNvSpPr>
      </xdr:nvSpPr>
      <xdr:spPr bwMode="auto">
        <a:xfrm>
          <a:off x="18230850" y="13877925"/>
          <a:ext cx="0" cy="0"/>
        </a:xfrm>
        <a:prstGeom prst="line">
          <a:avLst/>
        </a:prstGeom>
        <a:noFill/>
        <a:ln w="9525">
          <a:solidFill>
            <a:srgbClr val="000000"/>
          </a:solidFill>
          <a:prstDash val="sysDot"/>
          <a:round/>
          <a:headEnd/>
          <a:tailEnd/>
        </a:ln>
      </xdr:spPr>
    </xdr:sp>
    <xdr:clientData/>
  </xdr:twoCellAnchor>
  <xdr:twoCellAnchor>
    <xdr:from>
      <xdr:col>33</xdr:col>
      <xdr:colOff>0</xdr:colOff>
      <xdr:row>44</xdr:row>
      <xdr:rowOff>0</xdr:rowOff>
    </xdr:from>
    <xdr:to>
      <xdr:col>33</xdr:col>
      <xdr:colOff>9525</xdr:colOff>
      <xdr:row>44</xdr:row>
      <xdr:rowOff>0</xdr:rowOff>
    </xdr:to>
    <xdr:sp macro="" textlink="">
      <xdr:nvSpPr>
        <xdr:cNvPr id="15" name="Line 31">
          <a:extLst>
            <a:ext uri="{FF2B5EF4-FFF2-40B4-BE49-F238E27FC236}">
              <a16:creationId xmlns:a16="http://schemas.microsoft.com/office/drawing/2014/main" id="{00000000-0008-0000-0D00-00000F000000}"/>
            </a:ext>
          </a:extLst>
        </xdr:cNvPr>
        <xdr:cNvSpPr>
          <a:spLocks noChangeShapeType="1"/>
        </xdr:cNvSpPr>
      </xdr:nvSpPr>
      <xdr:spPr bwMode="auto">
        <a:xfrm>
          <a:off x="18230850" y="14163675"/>
          <a:ext cx="9525" cy="0"/>
        </a:xfrm>
        <a:prstGeom prst="line">
          <a:avLst/>
        </a:prstGeom>
        <a:noFill/>
        <a:ln w="9525">
          <a:solidFill>
            <a:srgbClr val="000000"/>
          </a:solidFill>
          <a:prstDash val="sysDot"/>
          <a:round/>
          <a:headEnd/>
          <a:tailEnd/>
        </a:ln>
      </xdr:spPr>
    </xdr:sp>
    <xdr:clientData/>
  </xdr:twoCellAnchor>
  <xdr:twoCellAnchor>
    <xdr:from>
      <xdr:col>33</xdr:col>
      <xdr:colOff>0</xdr:colOff>
      <xdr:row>50</xdr:row>
      <xdr:rowOff>0</xdr:rowOff>
    </xdr:from>
    <xdr:to>
      <xdr:col>33</xdr:col>
      <xdr:colOff>0</xdr:colOff>
      <xdr:row>50</xdr:row>
      <xdr:rowOff>0</xdr:rowOff>
    </xdr:to>
    <xdr:sp macro="" textlink="">
      <xdr:nvSpPr>
        <xdr:cNvPr id="16" name="Line 32">
          <a:extLst>
            <a:ext uri="{FF2B5EF4-FFF2-40B4-BE49-F238E27FC236}">
              <a16:creationId xmlns:a16="http://schemas.microsoft.com/office/drawing/2014/main" id="{00000000-0008-0000-0D00-000010000000}"/>
            </a:ext>
          </a:extLst>
        </xdr:cNvPr>
        <xdr:cNvSpPr>
          <a:spLocks noChangeShapeType="1"/>
        </xdr:cNvSpPr>
      </xdr:nvSpPr>
      <xdr:spPr bwMode="auto">
        <a:xfrm>
          <a:off x="18230850" y="15020925"/>
          <a:ext cx="0" cy="0"/>
        </a:xfrm>
        <a:prstGeom prst="line">
          <a:avLst/>
        </a:prstGeom>
        <a:noFill/>
        <a:ln w="9525">
          <a:solidFill>
            <a:srgbClr val="000000"/>
          </a:solidFill>
          <a:prstDash val="sysDot"/>
          <a:round/>
          <a:headEnd/>
          <a:tailEnd/>
        </a:ln>
      </xdr:spPr>
    </xdr:sp>
    <xdr:clientData/>
  </xdr:twoCellAnchor>
  <xdr:twoCellAnchor>
    <xdr:from>
      <xdr:col>33</xdr:col>
      <xdr:colOff>0</xdr:colOff>
      <xdr:row>51</xdr:row>
      <xdr:rowOff>0</xdr:rowOff>
    </xdr:from>
    <xdr:to>
      <xdr:col>33</xdr:col>
      <xdr:colOff>0</xdr:colOff>
      <xdr:row>51</xdr:row>
      <xdr:rowOff>0</xdr:rowOff>
    </xdr:to>
    <xdr:sp macro="" textlink="">
      <xdr:nvSpPr>
        <xdr:cNvPr id="17" name="Line 34">
          <a:extLst>
            <a:ext uri="{FF2B5EF4-FFF2-40B4-BE49-F238E27FC236}">
              <a16:creationId xmlns:a16="http://schemas.microsoft.com/office/drawing/2014/main" id="{00000000-0008-0000-0D00-000011000000}"/>
            </a:ext>
          </a:extLst>
        </xdr:cNvPr>
        <xdr:cNvSpPr>
          <a:spLocks noChangeShapeType="1"/>
        </xdr:cNvSpPr>
      </xdr:nvSpPr>
      <xdr:spPr bwMode="auto">
        <a:xfrm>
          <a:off x="18230850" y="15163800"/>
          <a:ext cx="0" cy="0"/>
        </a:xfrm>
        <a:prstGeom prst="line">
          <a:avLst/>
        </a:prstGeom>
        <a:noFill/>
        <a:ln w="9525">
          <a:solidFill>
            <a:srgbClr val="000000"/>
          </a:solidFill>
          <a:prstDash val="sysDot"/>
          <a:round/>
          <a:headEnd/>
          <a:tailEnd/>
        </a:ln>
      </xdr:spPr>
    </xdr:sp>
    <xdr:clientData/>
  </xdr:twoCellAnchor>
  <xdr:twoCellAnchor>
    <xdr:from>
      <xdr:col>31</xdr:col>
      <xdr:colOff>0</xdr:colOff>
      <xdr:row>28</xdr:row>
      <xdr:rowOff>0</xdr:rowOff>
    </xdr:from>
    <xdr:to>
      <xdr:col>31</xdr:col>
      <xdr:colOff>0</xdr:colOff>
      <xdr:row>28</xdr:row>
      <xdr:rowOff>0</xdr:rowOff>
    </xdr:to>
    <xdr:sp macro="" textlink="">
      <xdr:nvSpPr>
        <xdr:cNvPr id="18" name="Line 8">
          <a:extLst>
            <a:ext uri="{FF2B5EF4-FFF2-40B4-BE49-F238E27FC236}">
              <a16:creationId xmlns:a16="http://schemas.microsoft.com/office/drawing/2014/main" id="{00000000-0008-0000-0D00-000012000000}"/>
            </a:ext>
          </a:extLst>
        </xdr:cNvPr>
        <xdr:cNvSpPr>
          <a:spLocks noChangeShapeType="1"/>
        </xdr:cNvSpPr>
      </xdr:nvSpPr>
      <xdr:spPr bwMode="auto">
        <a:xfrm>
          <a:off x="16249650" y="11734800"/>
          <a:ext cx="0" cy="0"/>
        </a:xfrm>
        <a:prstGeom prst="line">
          <a:avLst/>
        </a:prstGeom>
        <a:noFill/>
        <a:ln w="9525">
          <a:solidFill>
            <a:srgbClr val="000000"/>
          </a:solidFill>
          <a:prstDash val="sysDot"/>
          <a:round/>
          <a:headEnd/>
          <a:tailEnd/>
        </a:ln>
      </xdr:spPr>
    </xdr:sp>
    <xdr:clientData/>
  </xdr:twoCellAnchor>
  <xdr:twoCellAnchor>
    <xdr:from>
      <xdr:col>31</xdr:col>
      <xdr:colOff>0</xdr:colOff>
      <xdr:row>30</xdr:row>
      <xdr:rowOff>0</xdr:rowOff>
    </xdr:from>
    <xdr:to>
      <xdr:col>31</xdr:col>
      <xdr:colOff>0</xdr:colOff>
      <xdr:row>30</xdr:row>
      <xdr:rowOff>0</xdr:rowOff>
    </xdr:to>
    <xdr:sp macro="" textlink="">
      <xdr:nvSpPr>
        <xdr:cNvPr id="19" name="Line 9">
          <a:extLst>
            <a:ext uri="{FF2B5EF4-FFF2-40B4-BE49-F238E27FC236}">
              <a16:creationId xmlns:a16="http://schemas.microsoft.com/office/drawing/2014/main" id="{00000000-0008-0000-0D00-000013000000}"/>
            </a:ext>
          </a:extLst>
        </xdr:cNvPr>
        <xdr:cNvSpPr>
          <a:spLocks noChangeShapeType="1"/>
        </xdr:cNvSpPr>
      </xdr:nvSpPr>
      <xdr:spPr bwMode="auto">
        <a:xfrm>
          <a:off x="16249650" y="12077700"/>
          <a:ext cx="0" cy="0"/>
        </a:xfrm>
        <a:prstGeom prst="line">
          <a:avLst/>
        </a:prstGeom>
        <a:noFill/>
        <a:ln w="9525">
          <a:solidFill>
            <a:srgbClr val="000000"/>
          </a:solidFill>
          <a:prstDash val="sysDot"/>
          <a:round/>
          <a:headEnd/>
          <a:tailEnd/>
        </a:ln>
      </xdr:spPr>
    </xdr:sp>
    <xdr:clientData/>
  </xdr:twoCellAnchor>
  <xdr:twoCellAnchor>
    <xdr:from>
      <xdr:col>31</xdr:col>
      <xdr:colOff>0</xdr:colOff>
      <xdr:row>25</xdr:row>
      <xdr:rowOff>0</xdr:rowOff>
    </xdr:from>
    <xdr:to>
      <xdr:col>31</xdr:col>
      <xdr:colOff>0</xdr:colOff>
      <xdr:row>25</xdr:row>
      <xdr:rowOff>0</xdr:rowOff>
    </xdr:to>
    <xdr:sp macro="" textlink="">
      <xdr:nvSpPr>
        <xdr:cNvPr id="20" name="Line 16">
          <a:extLst>
            <a:ext uri="{FF2B5EF4-FFF2-40B4-BE49-F238E27FC236}">
              <a16:creationId xmlns:a16="http://schemas.microsoft.com/office/drawing/2014/main" id="{00000000-0008-0000-0D00-000014000000}"/>
            </a:ext>
          </a:extLst>
        </xdr:cNvPr>
        <xdr:cNvSpPr>
          <a:spLocks noChangeShapeType="1"/>
        </xdr:cNvSpPr>
      </xdr:nvSpPr>
      <xdr:spPr bwMode="auto">
        <a:xfrm>
          <a:off x="16249650" y="11296650"/>
          <a:ext cx="0" cy="0"/>
        </a:xfrm>
        <a:prstGeom prst="line">
          <a:avLst/>
        </a:prstGeom>
        <a:noFill/>
        <a:ln w="9525">
          <a:solidFill>
            <a:srgbClr val="000000"/>
          </a:solidFill>
          <a:prstDash val="sysDot"/>
          <a:round/>
          <a:headEnd/>
          <a:tailEnd/>
        </a:ln>
      </xdr:spPr>
    </xdr:sp>
    <xdr:clientData/>
  </xdr:twoCellAnchor>
  <xdr:twoCellAnchor>
    <xdr:from>
      <xdr:col>31</xdr:col>
      <xdr:colOff>0</xdr:colOff>
      <xdr:row>33</xdr:row>
      <xdr:rowOff>0</xdr:rowOff>
    </xdr:from>
    <xdr:to>
      <xdr:col>31</xdr:col>
      <xdr:colOff>0</xdr:colOff>
      <xdr:row>33</xdr:row>
      <xdr:rowOff>0</xdr:rowOff>
    </xdr:to>
    <xdr:sp macro="" textlink="">
      <xdr:nvSpPr>
        <xdr:cNvPr id="21" name="Line 18">
          <a:extLst>
            <a:ext uri="{FF2B5EF4-FFF2-40B4-BE49-F238E27FC236}">
              <a16:creationId xmlns:a16="http://schemas.microsoft.com/office/drawing/2014/main" id="{00000000-0008-0000-0D00-000015000000}"/>
            </a:ext>
          </a:extLst>
        </xdr:cNvPr>
        <xdr:cNvSpPr>
          <a:spLocks noChangeShapeType="1"/>
        </xdr:cNvSpPr>
      </xdr:nvSpPr>
      <xdr:spPr bwMode="auto">
        <a:xfrm>
          <a:off x="16249650" y="12592050"/>
          <a:ext cx="0" cy="0"/>
        </a:xfrm>
        <a:prstGeom prst="line">
          <a:avLst/>
        </a:prstGeom>
        <a:noFill/>
        <a:ln w="9525">
          <a:solidFill>
            <a:srgbClr val="000000"/>
          </a:solidFill>
          <a:prstDash val="sysDot"/>
          <a:round/>
          <a:headEnd/>
          <a:tailEnd/>
        </a:ln>
      </xdr:spPr>
    </xdr:sp>
    <xdr:clientData/>
  </xdr:twoCellAnchor>
  <xdr:twoCellAnchor>
    <xdr:from>
      <xdr:col>31</xdr:col>
      <xdr:colOff>0</xdr:colOff>
      <xdr:row>34</xdr:row>
      <xdr:rowOff>0</xdr:rowOff>
    </xdr:from>
    <xdr:to>
      <xdr:col>31</xdr:col>
      <xdr:colOff>0</xdr:colOff>
      <xdr:row>34</xdr:row>
      <xdr:rowOff>0</xdr:rowOff>
    </xdr:to>
    <xdr:sp macro="" textlink="">
      <xdr:nvSpPr>
        <xdr:cNvPr id="22" name="Line 19">
          <a:extLst>
            <a:ext uri="{FF2B5EF4-FFF2-40B4-BE49-F238E27FC236}">
              <a16:creationId xmlns:a16="http://schemas.microsoft.com/office/drawing/2014/main" id="{00000000-0008-0000-0D00-000016000000}"/>
            </a:ext>
          </a:extLst>
        </xdr:cNvPr>
        <xdr:cNvSpPr>
          <a:spLocks noChangeShapeType="1"/>
        </xdr:cNvSpPr>
      </xdr:nvSpPr>
      <xdr:spPr bwMode="auto">
        <a:xfrm>
          <a:off x="16249650" y="12734925"/>
          <a:ext cx="0" cy="0"/>
        </a:xfrm>
        <a:prstGeom prst="line">
          <a:avLst/>
        </a:prstGeom>
        <a:noFill/>
        <a:ln w="9525">
          <a:solidFill>
            <a:srgbClr val="000000"/>
          </a:solidFill>
          <a:prstDash val="sysDot"/>
          <a:round/>
          <a:headEnd/>
          <a:tailEnd/>
        </a:ln>
      </xdr:spPr>
    </xdr:sp>
    <xdr:clientData/>
  </xdr:twoCellAnchor>
  <xdr:twoCellAnchor>
    <xdr:from>
      <xdr:col>31</xdr:col>
      <xdr:colOff>0</xdr:colOff>
      <xdr:row>36</xdr:row>
      <xdr:rowOff>0</xdr:rowOff>
    </xdr:from>
    <xdr:to>
      <xdr:col>31</xdr:col>
      <xdr:colOff>0</xdr:colOff>
      <xdr:row>36</xdr:row>
      <xdr:rowOff>0</xdr:rowOff>
    </xdr:to>
    <xdr:sp macro="" textlink="">
      <xdr:nvSpPr>
        <xdr:cNvPr id="23" name="Line 20">
          <a:extLst>
            <a:ext uri="{FF2B5EF4-FFF2-40B4-BE49-F238E27FC236}">
              <a16:creationId xmlns:a16="http://schemas.microsoft.com/office/drawing/2014/main" id="{00000000-0008-0000-0D00-000017000000}"/>
            </a:ext>
          </a:extLst>
        </xdr:cNvPr>
        <xdr:cNvSpPr>
          <a:spLocks noChangeShapeType="1"/>
        </xdr:cNvSpPr>
      </xdr:nvSpPr>
      <xdr:spPr bwMode="auto">
        <a:xfrm>
          <a:off x="16249650" y="13020675"/>
          <a:ext cx="0" cy="0"/>
        </a:xfrm>
        <a:prstGeom prst="line">
          <a:avLst/>
        </a:prstGeom>
        <a:noFill/>
        <a:ln w="9525">
          <a:solidFill>
            <a:srgbClr val="000000"/>
          </a:solidFill>
          <a:prstDash val="sysDot"/>
          <a:round/>
          <a:headEnd/>
          <a:tailEnd/>
        </a:ln>
      </xdr:spPr>
    </xdr:sp>
    <xdr:clientData/>
  </xdr:twoCellAnchor>
  <xdr:twoCellAnchor>
    <xdr:from>
      <xdr:col>33</xdr:col>
      <xdr:colOff>0</xdr:colOff>
      <xdr:row>32</xdr:row>
      <xdr:rowOff>0</xdr:rowOff>
    </xdr:from>
    <xdr:to>
      <xdr:col>33</xdr:col>
      <xdr:colOff>0</xdr:colOff>
      <xdr:row>32</xdr:row>
      <xdr:rowOff>0</xdr:rowOff>
    </xdr:to>
    <xdr:sp macro="" textlink="">
      <xdr:nvSpPr>
        <xdr:cNvPr id="24" name="Line 29">
          <a:extLst>
            <a:ext uri="{FF2B5EF4-FFF2-40B4-BE49-F238E27FC236}">
              <a16:creationId xmlns:a16="http://schemas.microsoft.com/office/drawing/2014/main" id="{00000000-0008-0000-0D00-000018000000}"/>
            </a:ext>
          </a:extLst>
        </xdr:cNvPr>
        <xdr:cNvSpPr>
          <a:spLocks noChangeShapeType="1"/>
        </xdr:cNvSpPr>
      </xdr:nvSpPr>
      <xdr:spPr bwMode="auto">
        <a:xfrm>
          <a:off x="18230850" y="12430125"/>
          <a:ext cx="0" cy="0"/>
        </a:xfrm>
        <a:prstGeom prst="line">
          <a:avLst/>
        </a:prstGeom>
        <a:noFill/>
        <a:ln w="9525">
          <a:solidFill>
            <a:srgbClr val="000000"/>
          </a:solidFill>
          <a:prstDash val="sysDot"/>
          <a:round/>
          <a:headEnd/>
          <a:tailEnd/>
        </a:ln>
      </xdr:spPr>
    </xdr:sp>
    <xdr:clientData/>
  </xdr:twoCellAnchor>
  <xdr:twoCellAnchor>
    <xdr:from>
      <xdr:col>33</xdr:col>
      <xdr:colOff>0</xdr:colOff>
      <xdr:row>34</xdr:row>
      <xdr:rowOff>0</xdr:rowOff>
    </xdr:from>
    <xdr:to>
      <xdr:col>33</xdr:col>
      <xdr:colOff>9525</xdr:colOff>
      <xdr:row>34</xdr:row>
      <xdr:rowOff>0</xdr:rowOff>
    </xdr:to>
    <xdr:sp macro="" textlink="">
      <xdr:nvSpPr>
        <xdr:cNvPr id="25" name="Line 31">
          <a:extLst>
            <a:ext uri="{FF2B5EF4-FFF2-40B4-BE49-F238E27FC236}">
              <a16:creationId xmlns:a16="http://schemas.microsoft.com/office/drawing/2014/main" id="{00000000-0008-0000-0D00-000019000000}"/>
            </a:ext>
          </a:extLst>
        </xdr:cNvPr>
        <xdr:cNvSpPr>
          <a:spLocks noChangeShapeType="1"/>
        </xdr:cNvSpPr>
      </xdr:nvSpPr>
      <xdr:spPr bwMode="auto">
        <a:xfrm>
          <a:off x="18230850" y="12734925"/>
          <a:ext cx="9525" cy="0"/>
        </a:xfrm>
        <a:prstGeom prst="line">
          <a:avLst/>
        </a:prstGeom>
        <a:noFill/>
        <a:ln w="9525">
          <a:solidFill>
            <a:srgbClr val="000000"/>
          </a:solidFill>
          <a:prstDash val="sysDot"/>
          <a:round/>
          <a:headEnd/>
          <a:tailEnd/>
        </a:ln>
      </xdr:spPr>
    </xdr:sp>
    <xdr:clientData/>
  </xdr:twoCellAnchor>
  <xdr:twoCellAnchor>
    <xdr:from>
      <xdr:col>33</xdr:col>
      <xdr:colOff>0</xdr:colOff>
      <xdr:row>40</xdr:row>
      <xdr:rowOff>0</xdr:rowOff>
    </xdr:from>
    <xdr:to>
      <xdr:col>33</xdr:col>
      <xdr:colOff>0</xdr:colOff>
      <xdr:row>40</xdr:row>
      <xdr:rowOff>0</xdr:rowOff>
    </xdr:to>
    <xdr:sp macro="" textlink="">
      <xdr:nvSpPr>
        <xdr:cNvPr id="26" name="Line 32">
          <a:extLst>
            <a:ext uri="{FF2B5EF4-FFF2-40B4-BE49-F238E27FC236}">
              <a16:creationId xmlns:a16="http://schemas.microsoft.com/office/drawing/2014/main" id="{00000000-0008-0000-0D00-00001A000000}"/>
            </a:ext>
          </a:extLst>
        </xdr:cNvPr>
        <xdr:cNvSpPr>
          <a:spLocks noChangeShapeType="1"/>
        </xdr:cNvSpPr>
      </xdr:nvSpPr>
      <xdr:spPr bwMode="auto">
        <a:xfrm>
          <a:off x="18230850" y="13592175"/>
          <a:ext cx="0" cy="0"/>
        </a:xfrm>
        <a:prstGeom prst="line">
          <a:avLst/>
        </a:prstGeom>
        <a:noFill/>
        <a:ln w="9525">
          <a:solidFill>
            <a:srgbClr val="000000"/>
          </a:solidFill>
          <a:prstDash val="sysDot"/>
          <a:round/>
          <a:headEnd/>
          <a:tailEnd/>
        </a:ln>
      </xdr:spPr>
    </xdr:sp>
    <xdr:clientData/>
  </xdr:twoCellAnchor>
  <xdr:twoCellAnchor>
    <xdr:from>
      <xdr:col>33</xdr:col>
      <xdr:colOff>0</xdr:colOff>
      <xdr:row>43</xdr:row>
      <xdr:rowOff>0</xdr:rowOff>
    </xdr:from>
    <xdr:to>
      <xdr:col>33</xdr:col>
      <xdr:colOff>0</xdr:colOff>
      <xdr:row>43</xdr:row>
      <xdr:rowOff>0</xdr:rowOff>
    </xdr:to>
    <xdr:sp macro="" textlink="">
      <xdr:nvSpPr>
        <xdr:cNvPr id="27" name="Line 35">
          <a:extLst>
            <a:ext uri="{FF2B5EF4-FFF2-40B4-BE49-F238E27FC236}">
              <a16:creationId xmlns:a16="http://schemas.microsoft.com/office/drawing/2014/main" id="{00000000-0008-0000-0D00-00001B000000}"/>
            </a:ext>
          </a:extLst>
        </xdr:cNvPr>
        <xdr:cNvSpPr>
          <a:spLocks noChangeShapeType="1"/>
        </xdr:cNvSpPr>
      </xdr:nvSpPr>
      <xdr:spPr bwMode="auto">
        <a:xfrm>
          <a:off x="18230850" y="14020800"/>
          <a:ext cx="0" cy="0"/>
        </a:xfrm>
        <a:prstGeom prst="line">
          <a:avLst/>
        </a:prstGeom>
        <a:noFill/>
        <a:ln w="9525">
          <a:solidFill>
            <a:srgbClr val="000000"/>
          </a:solidFill>
          <a:prstDash val="sysDot"/>
          <a:round/>
          <a:headEnd/>
          <a:tailEnd/>
        </a:ln>
      </xdr:spPr>
    </xdr:sp>
    <xdr:clientData/>
  </xdr:twoCellAnchor>
  <xdr:twoCellAnchor>
    <xdr:from>
      <xdr:col>33</xdr:col>
      <xdr:colOff>0</xdr:colOff>
      <xdr:row>38</xdr:row>
      <xdr:rowOff>0</xdr:rowOff>
    </xdr:from>
    <xdr:to>
      <xdr:col>33</xdr:col>
      <xdr:colOff>0</xdr:colOff>
      <xdr:row>38</xdr:row>
      <xdr:rowOff>0</xdr:rowOff>
    </xdr:to>
    <xdr:sp macro="" textlink="">
      <xdr:nvSpPr>
        <xdr:cNvPr id="28" name="Line 29">
          <a:extLst>
            <a:ext uri="{FF2B5EF4-FFF2-40B4-BE49-F238E27FC236}">
              <a16:creationId xmlns:a16="http://schemas.microsoft.com/office/drawing/2014/main" id="{00000000-0008-0000-0D00-00001C000000}"/>
            </a:ext>
          </a:extLst>
        </xdr:cNvPr>
        <xdr:cNvSpPr>
          <a:spLocks noChangeShapeType="1"/>
        </xdr:cNvSpPr>
      </xdr:nvSpPr>
      <xdr:spPr bwMode="auto">
        <a:xfrm>
          <a:off x="18230850" y="13306425"/>
          <a:ext cx="0" cy="0"/>
        </a:xfrm>
        <a:prstGeom prst="line">
          <a:avLst/>
        </a:prstGeom>
        <a:noFill/>
        <a:ln w="9525">
          <a:solidFill>
            <a:srgbClr val="000000"/>
          </a:solidFill>
          <a:prstDash val="sysDot"/>
          <a:round/>
          <a:headEnd/>
          <a:tailEnd/>
        </a:ln>
      </xdr:spPr>
    </xdr:sp>
    <xdr:clientData/>
  </xdr:twoCellAnchor>
  <xdr:twoCellAnchor>
    <xdr:from>
      <xdr:col>33</xdr:col>
      <xdr:colOff>0</xdr:colOff>
      <xdr:row>40</xdr:row>
      <xdr:rowOff>0</xdr:rowOff>
    </xdr:from>
    <xdr:to>
      <xdr:col>33</xdr:col>
      <xdr:colOff>9525</xdr:colOff>
      <xdr:row>40</xdr:row>
      <xdr:rowOff>0</xdr:rowOff>
    </xdr:to>
    <xdr:sp macro="" textlink="">
      <xdr:nvSpPr>
        <xdr:cNvPr id="29" name="Line 31">
          <a:extLst>
            <a:ext uri="{FF2B5EF4-FFF2-40B4-BE49-F238E27FC236}">
              <a16:creationId xmlns:a16="http://schemas.microsoft.com/office/drawing/2014/main" id="{00000000-0008-0000-0D00-00001D000000}"/>
            </a:ext>
          </a:extLst>
        </xdr:cNvPr>
        <xdr:cNvSpPr>
          <a:spLocks noChangeShapeType="1"/>
        </xdr:cNvSpPr>
      </xdr:nvSpPr>
      <xdr:spPr bwMode="auto">
        <a:xfrm>
          <a:off x="18230850" y="13592175"/>
          <a:ext cx="9525" cy="0"/>
        </a:xfrm>
        <a:prstGeom prst="line">
          <a:avLst/>
        </a:prstGeom>
        <a:noFill/>
        <a:ln w="9525">
          <a:solidFill>
            <a:srgbClr val="000000"/>
          </a:solidFill>
          <a:prstDash val="sysDot"/>
          <a:round/>
          <a:headEnd/>
          <a:tailEnd/>
        </a:ln>
      </xdr:spPr>
    </xdr:sp>
    <xdr:clientData/>
  </xdr:twoCellAnchor>
  <xdr:twoCellAnchor>
    <xdr:from>
      <xdr:col>33</xdr:col>
      <xdr:colOff>0</xdr:colOff>
      <xdr:row>46</xdr:row>
      <xdr:rowOff>0</xdr:rowOff>
    </xdr:from>
    <xdr:to>
      <xdr:col>33</xdr:col>
      <xdr:colOff>0</xdr:colOff>
      <xdr:row>46</xdr:row>
      <xdr:rowOff>0</xdr:rowOff>
    </xdr:to>
    <xdr:sp macro="" textlink="">
      <xdr:nvSpPr>
        <xdr:cNvPr id="30" name="Line 32">
          <a:extLst>
            <a:ext uri="{FF2B5EF4-FFF2-40B4-BE49-F238E27FC236}">
              <a16:creationId xmlns:a16="http://schemas.microsoft.com/office/drawing/2014/main" id="{00000000-0008-0000-0D00-00001E000000}"/>
            </a:ext>
          </a:extLst>
        </xdr:cNvPr>
        <xdr:cNvSpPr>
          <a:spLocks noChangeShapeType="1"/>
        </xdr:cNvSpPr>
      </xdr:nvSpPr>
      <xdr:spPr bwMode="auto">
        <a:xfrm>
          <a:off x="18230850" y="14449425"/>
          <a:ext cx="0" cy="0"/>
        </a:xfrm>
        <a:prstGeom prst="line">
          <a:avLst/>
        </a:prstGeom>
        <a:noFill/>
        <a:ln w="9525">
          <a:solidFill>
            <a:srgbClr val="000000"/>
          </a:solidFill>
          <a:prstDash val="sysDot"/>
          <a:round/>
          <a:headEnd/>
          <a:tailEnd/>
        </a:ln>
      </xdr:spPr>
    </xdr:sp>
    <xdr:clientData/>
  </xdr:twoCellAnchor>
  <xdr:twoCellAnchor>
    <xdr:from>
      <xdr:col>33</xdr:col>
      <xdr:colOff>0</xdr:colOff>
      <xdr:row>47</xdr:row>
      <xdr:rowOff>0</xdr:rowOff>
    </xdr:from>
    <xdr:to>
      <xdr:col>33</xdr:col>
      <xdr:colOff>0</xdr:colOff>
      <xdr:row>47</xdr:row>
      <xdr:rowOff>0</xdr:rowOff>
    </xdr:to>
    <xdr:sp macro="" textlink="">
      <xdr:nvSpPr>
        <xdr:cNvPr id="31" name="Line 34">
          <a:extLst>
            <a:ext uri="{FF2B5EF4-FFF2-40B4-BE49-F238E27FC236}">
              <a16:creationId xmlns:a16="http://schemas.microsoft.com/office/drawing/2014/main" id="{00000000-0008-0000-0D00-00001F000000}"/>
            </a:ext>
          </a:extLst>
        </xdr:cNvPr>
        <xdr:cNvSpPr>
          <a:spLocks noChangeShapeType="1"/>
        </xdr:cNvSpPr>
      </xdr:nvSpPr>
      <xdr:spPr bwMode="auto">
        <a:xfrm>
          <a:off x="18230850" y="14592300"/>
          <a:ext cx="0" cy="0"/>
        </a:xfrm>
        <a:prstGeom prst="line">
          <a:avLst/>
        </a:prstGeom>
        <a:noFill/>
        <a:ln w="9525">
          <a:solidFill>
            <a:srgbClr val="000000"/>
          </a:solidFill>
          <a:prstDash val="sysDot"/>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0</xdr:colOff>
      <xdr:row>33</xdr:row>
      <xdr:rowOff>0</xdr:rowOff>
    </xdr:from>
    <xdr:to>
      <xdr:col>31</xdr:col>
      <xdr:colOff>0</xdr:colOff>
      <xdr:row>33</xdr:row>
      <xdr:rowOff>0</xdr:rowOff>
    </xdr:to>
    <xdr:sp macro="" textlink="">
      <xdr:nvSpPr>
        <xdr:cNvPr id="2" name="Line 29">
          <a:extLst>
            <a:ext uri="{FF2B5EF4-FFF2-40B4-BE49-F238E27FC236}">
              <a16:creationId xmlns:a16="http://schemas.microsoft.com/office/drawing/2014/main" id="{00000000-0008-0000-0E00-000002000000}"/>
            </a:ext>
          </a:extLst>
        </xdr:cNvPr>
        <xdr:cNvSpPr>
          <a:spLocks noChangeShapeType="1"/>
        </xdr:cNvSpPr>
      </xdr:nvSpPr>
      <xdr:spPr bwMode="auto">
        <a:xfrm>
          <a:off x="19183350" y="18068925"/>
          <a:ext cx="0" cy="0"/>
        </a:xfrm>
        <a:prstGeom prst="line">
          <a:avLst/>
        </a:prstGeom>
        <a:noFill/>
        <a:ln w="9525">
          <a:solidFill>
            <a:srgbClr val="000000"/>
          </a:solidFill>
          <a:prstDash val="sysDot"/>
          <a:round/>
          <a:headEnd/>
          <a:tailEnd/>
        </a:ln>
      </xdr:spPr>
    </xdr:sp>
    <xdr:clientData/>
  </xdr:twoCellAnchor>
  <xdr:twoCellAnchor>
    <xdr:from>
      <xdr:col>31</xdr:col>
      <xdr:colOff>0</xdr:colOff>
      <xdr:row>35</xdr:row>
      <xdr:rowOff>0</xdr:rowOff>
    </xdr:from>
    <xdr:to>
      <xdr:col>31</xdr:col>
      <xdr:colOff>9525</xdr:colOff>
      <xdr:row>35</xdr:row>
      <xdr:rowOff>0</xdr:rowOff>
    </xdr:to>
    <xdr:sp macro="" textlink="">
      <xdr:nvSpPr>
        <xdr:cNvPr id="3" name="Line 31">
          <a:extLst>
            <a:ext uri="{FF2B5EF4-FFF2-40B4-BE49-F238E27FC236}">
              <a16:creationId xmlns:a16="http://schemas.microsoft.com/office/drawing/2014/main" id="{00000000-0008-0000-0E00-000003000000}"/>
            </a:ext>
          </a:extLst>
        </xdr:cNvPr>
        <xdr:cNvSpPr>
          <a:spLocks noChangeShapeType="1"/>
        </xdr:cNvSpPr>
      </xdr:nvSpPr>
      <xdr:spPr bwMode="auto">
        <a:xfrm>
          <a:off x="19183350" y="183546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41</xdr:row>
      <xdr:rowOff>0</xdr:rowOff>
    </xdr:from>
    <xdr:to>
      <xdr:col>31</xdr:col>
      <xdr:colOff>0</xdr:colOff>
      <xdr:row>41</xdr:row>
      <xdr:rowOff>0</xdr:rowOff>
    </xdr:to>
    <xdr:sp macro="" textlink="">
      <xdr:nvSpPr>
        <xdr:cNvPr id="4" name="Line 32">
          <a:extLst>
            <a:ext uri="{FF2B5EF4-FFF2-40B4-BE49-F238E27FC236}">
              <a16:creationId xmlns:a16="http://schemas.microsoft.com/office/drawing/2014/main" id="{00000000-0008-0000-0E00-000004000000}"/>
            </a:ext>
          </a:extLst>
        </xdr:cNvPr>
        <xdr:cNvSpPr>
          <a:spLocks noChangeShapeType="1"/>
        </xdr:cNvSpPr>
      </xdr:nvSpPr>
      <xdr:spPr bwMode="auto">
        <a:xfrm>
          <a:off x="19183350" y="19211925"/>
          <a:ext cx="0" cy="0"/>
        </a:xfrm>
        <a:prstGeom prst="line">
          <a:avLst/>
        </a:prstGeom>
        <a:noFill/>
        <a:ln w="9525">
          <a:solidFill>
            <a:srgbClr val="000000"/>
          </a:solidFill>
          <a:prstDash val="sysDot"/>
          <a:round/>
          <a:headEnd/>
          <a:tailEnd/>
        </a:ln>
      </xdr:spPr>
    </xdr:sp>
    <xdr:clientData/>
  </xdr:twoCellAnchor>
  <xdr:twoCellAnchor>
    <xdr:from>
      <xdr:col>31</xdr:col>
      <xdr:colOff>0</xdr:colOff>
      <xdr:row>42</xdr:row>
      <xdr:rowOff>0</xdr:rowOff>
    </xdr:from>
    <xdr:to>
      <xdr:col>31</xdr:col>
      <xdr:colOff>0</xdr:colOff>
      <xdr:row>42</xdr:row>
      <xdr:rowOff>0</xdr:rowOff>
    </xdr:to>
    <xdr:sp macro="" textlink="">
      <xdr:nvSpPr>
        <xdr:cNvPr id="5" name="Line 34">
          <a:extLst>
            <a:ext uri="{FF2B5EF4-FFF2-40B4-BE49-F238E27FC236}">
              <a16:creationId xmlns:a16="http://schemas.microsoft.com/office/drawing/2014/main" id="{00000000-0008-0000-0E00-000005000000}"/>
            </a:ext>
          </a:extLst>
        </xdr:cNvPr>
        <xdr:cNvSpPr>
          <a:spLocks noChangeShapeType="1"/>
        </xdr:cNvSpPr>
      </xdr:nvSpPr>
      <xdr:spPr bwMode="auto">
        <a:xfrm>
          <a:off x="19183350" y="19354800"/>
          <a:ext cx="0" cy="0"/>
        </a:xfrm>
        <a:prstGeom prst="line">
          <a:avLst/>
        </a:prstGeom>
        <a:noFill/>
        <a:ln w="9525">
          <a:solidFill>
            <a:srgbClr val="000000"/>
          </a:solidFill>
          <a:prstDash val="sysDot"/>
          <a:round/>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32</xdr:col>
      <xdr:colOff>0</xdr:colOff>
      <xdr:row>29</xdr:row>
      <xdr:rowOff>0</xdr:rowOff>
    </xdr:from>
    <xdr:to>
      <xdr:col>32</xdr:col>
      <xdr:colOff>0</xdr:colOff>
      <xdr:row>29</xdr:row>
      <xdr:rowOff>0</xdr:rowOff>
    </xdr:to>
    <xdr:sp macro="" textlink="">
      <xdr:nvSpPr>
        <xdr:cNvPr id="2" name="Line 7">
          <a:extLst>
            <a:ext uri="{FF2B5EF4-FFF2-40B4-BE49-F238E27FC236}">
              <a16:creationId xmlns:a16="http://schemas.microsoft.com/office/drawing/2014/main" id="{00000000-0008-0000-0F00-000002000000}"/>
            </a:ext>
          </a:extLst>
        </xdr:cNvPr>
        <xdr:cNvSpPr>
          <a:spLocks noChangeShapeType="1"/>
        </xdr:cNvSpPr>
      </xdr:nvSpPr>
      <xdr:spPr bwMode="auto">
        <a:xfrm>
          <a:off x="16087725" y="15059025"/>
          <a:ext cx="0" cy="0"/>
        </a:xfrm>
        <a:prstGeom prst="line">
          <a:avLst/>
        </a:prstGeom>
        <a:noFill/>
        <a:ln w="9525">
          <a:solidFill>
            <a:srgbClr val="000000"/>
          </a:solidFill>
          <a:prstDash val="sysDot"/>
          <a:round/>
          <a:headEnd/>
          <a:tailEnd/>
        </a:ln>
      </xdr:spPr>
    </xdr:sp>
    <xdr:clientData/>
  </xdr:twoCellAnchor>
  <xdr:twoCellAnchor>
    <xdr:from>
      <xdr:col>32</xdr:col>
      <xdr:colOff>0</xdr:colOff>
      <xdr:row>30</xdr:row>
      <xdr:rowOff>0</xdr:rowOff>
    </xdr:from>
    <xdr:to>
      <xdr:col>32</xdr:col>
      <xdr:colOff>0</xdr:colOff>
      <xdr:row>30</xdr:row>
      <xdr:rowOff>0</xdr:rowOff>
    </xdr:to>
    <xdr:sp macro="" textlink="">
      <xdr:nvSpPr>
        <xdr:cNvPr id="3" name="Line 8">
          <a:extLst>
            <a:ext uri="{FF2B5EF4-FFF2-40B4-BE49-F238E27FC236}">
              <a16:creationId xmlns:a16="http://schemas.microsoft.com/office/drawing/2014/main" id="{00000000-0008-0000-0F00-000003000000}"/>
            </a:ext>
          </a:extLst>
        </xdr:cNvPr>
        <xdr:cNvSpPr>
          <a:spLocks noChangeShapeType="1"/>
        </xdr:cNvSpPr>
      </xdr:nvSpPr>
      <xdr:spPr bwMode="auto">
        <a:xfrm>
          <a:off x="16087725" y="15240000"/>
          <a:ext cx="0" cy="0"/>
        </a:xfrm>
        <a:prstGeom prst="line">
          <a:avLst/>
        </a:prstGeom>
        <a:noFill/>
        <a:ln w="9525">
          <a:solidFill>
            <a:srgbClr val="000000"/>
          </a:solidFill>
          <a:prstDash val="sysDot"/>
          <a:round/>
          <a:headEnd/>
          <a:tailEnd/>
        </a:ln>
      </xdr:spPr>
    </xdr:sp>
    <xdr:clientData/>
  </xdr:twoCellAnchor>
  <xdr:twoCellAnchor>
    <xdr:from>
      <xdr:col>32</xdr:col>
      <xdr:colOff>0</xdr:colOff>
      <xdr:row>32</xdr:row>
      <xdr:rowOff>0</xdr:rowOff>
    </xdr:from>
    <xdr:to>
      <xdr:col>32</xdr:col>
      <xdr:colOff>0</xdr:colOff>
      <xdr:row>32</xdr:row>
      <xdr:rowOff>0</xdr:rowOff>
    </xdr:to>
    <xdr:sp macro="" textlink="">
      <xdr:nvSpPr>
        <xdr:cNvPr id="4" name="Line 9">
          <a:extLst>
            <a:ext uri="{FF2B5EF4-FFF2-40B4-BE49-F238E27FC236}">
              <a16:creationId xmlns:a16="http://schemas.microsoft.com/office/drawing/2014/main" id="{00000000-0008-0000-0F00-000004000000}"/>
            </a:ext>
          </a:extLst>
        </xdr:cNvPr>
        <xdr:cNvSpPr>
          <a:spLocks noChangeShapeType="1"/>
        </xdr:cNvSpPr>
      </xdr:nvSpPr>
      <xdr:spPr bwMode="auto">
        <a:xfrm>
          <a:off x="16087725" y="15420975"/>
          <a:ext cx="0" cy="0"/>
        </a:xfrm>
        <a:prstGeom prst="line">
          <a:avLst/>
        </a:prstGeom>
        <a:noFill/>
        <a:ln w="9525">
          <a:solidFill>
            <a:srgbClr val="000000"/>
          </a:solidFill>
          <a:prstDash val="sysDot"/>
          <a:round/>
          <a:headEnd/>
          <a:tailEnd/>
        </a:ln>
      </xdr:spPr>
    </xdr:sp>
    <xdr:clientData/>
  </xdr:twoCellAnchor>
  <xdr:twoCellAnchor>
    <xdr:from>
      <xdr:col>32</xdr:col>
      <xdr:colOff>0</xdr:colOff>
      <xdr:row>27</xdr:row>
      <xdr:rowOff>0</xdr:rowOff>
    </xdr:from>
    <xdr:to>
      <xdr:col>32</xdr:col>
      <xdr:colOff>0</xdr:colOff>
      <xdr:row>27</xdr:row>
      <xdr:rowOff>0</xdr:rowOff>
    </xdr:to>
    <xdr:sp macro="" textlink="">
      <xdr:nvSpPr>
        <xdr:cNvPr id="5" name="Line 16">
          <a:extLst>
            <a:ext uri="{FF2B5EF4-FFF2-40B4-BE49-F238E27FC236}">
              <a16:creationId xmlns:a16="http://schemas.microsoft.com/office/drawing/2014/main" id="{00000000-0008-0000-0F00-000005000000}"/>
            </a:ext>
          </a:extLst>
        </xdr:cNvPr>
        <xdr:cNvSpPr>
          <a:spLocks noChangeShapeType="1"/>
        </xdr:cNvSpPr>
      </xdr:nvSpPr>
      <xdr:spPr bwMode="auto">
        <a:xfrm>
          <a:off x="16087725" y="14725650"/>
          <a:ext cx="0" cy="0"/>
        </a:xfrm>
        <a:prstGeom prst="line">
          <a:avLst/>
        </a:prstGeom>
        <a:noFill/>
        <a:ln w="9525">
          <a:solidFill>
            <a:srgbClr val="000000"/>
          </a:solidFill>
          <a:prstDash val="sysDot"/>
          <a:round/>
          <a:headEnd/>
          <a:tailEnd/>
        </a:ln>
      </xdr:spPr>
    </xdr:sp>
    <xdr:clientData/>
  </xdr:twoCellAnchor>
  <xdr:twoCellAnchor>
    <xdr:from>
      <xdr:col>32</xdr:col>
      <xdr:colOff>0</xdr:colOff>
      <xdr:row>29</xdr:row>
      <xdr:rowOff>0</xdr:rowOff>
    </xdr:from>
    <xdr:to>
      <xdr:col>32</xdr:col>
      <xdr:colOff>9525</xdr:colOff>
      <xdr:row>29</xdr:row>
      <xdr:rowOff>0</xdr:rowOff>
    </xdr:to>
    <xdr:sp macro="" textlink="">
      <xdr:nvSpPr>
        <xdr:cNvPr id="6" name="Line 17">
          <a:extLst>
            <a:ext uri="{FF2B5EF4-FFF2-40B4-BE49-F238E27FC236}">
              <a16:creationId xmlns:a16="http://schemas.microsoft.com/office/drawing/2014/main" id="{00000000-0008-0000-0F00-000006000000}"/>
            </a:ext>
          </a:extLst>
        </xdr:cNvPr>
        <xdr:cNvSpPr>
          <a:spLocks noChangeShapeType="1"/>
        </xdr:cNvSpPr>
      </xdr:nvSpPr>
      <xdr:spPr bwMode="auto">
        <a:xfrm>
          <a:off x="16087725" y="150590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35</xdr:row>
      <xdr:rowOff>0</xdr:rowOff>
    </xdr:from>
    <xdr:to>
      <xdr:col>32</xdr:col>
      <xdr:colOff>0</xdr:colOff>
      <xdr:row>35</xdr:row>
      <xdr:rowOff>0</xdr:rowOff>
    </xdr:to>
    <xdr:sp macro="" textlink="">
      <xdr:nvSpPr>
        <xdr:cNvPr id="7" name="Line 18">
          <a:extLst>
            <a:ext uri="{FF2B5EF4-FFF2-40B4-BE49-F238E27FC236}">
              <a16:creationId xmlns:a16="http://schemas.microsoft.com/office/drawing/2014/main" id="{00000000-0008-0000-0F00-000007000000}"/>
            </a:ext>
          </a:extLst>
        </xdr:cNvPr>
        <xdr:cNvSpPr>
          <a:spLocks noChangeShapeType="1"/>
        </xdr:cNvSpPr>
      </xdr:nvSpPr>
      <xdr:spPr bwMode="auto">
        <a:xfrm>
          <a:off x="16087725" y="15868650"/>
          <a:ext cx="0" cy="0"/>
        </a:xfrm>
        <a:prstGeom prst="line">
          <a:avLst/>
        </a:prstGeom>
        <a:noFill/>
        <a:ln w="9525">
          <a:solidFill>
            <a:srgbClr val="000000"/>
          </a:solidFill>
          <a:prstDash val="sysDot"/>
          <a:round/>
          <a:headEnd/>
          <a:tailEnd/>
        </a:ln>
      </xdr:spPr>
    </xdr:sp>
    <xdr:clientData/>
  </xdr:twoCellAnchor>
  <xdr:twoCellAnchor>
    <xdr:from>
      <xdr:col>32</xdr:col>
      <xdr:colOff>0</xdr:colOff>
      <xdr:row>36</xdr:row>
      <xdr:rowOff>0</xdr:rowOff>
    </xdr:from>
    <xdr:to>
      <xdr:col>32</xdr:col>
      <xdr:colOff>0</xdr:colOff>
      <xdr:row>36</xdr:row>
      <xdr:rowOff>0</xdr:rowOff>
    </xdr:to>
    <xdr:sp macro="" textlink="">
      <xdr:nvSpPr>
        <xdr:cNvPr id="8" name="Line 19">
          <a:extLst>
            <a:ext uri="{FF2B5EF4-FFF2-40B4-BE49-F238E27FC236}">
              <a16:creationId xmlns:a16="http://schemas.microsoft.com/office/drawing/2014/main" id="{00000000-0008-0000-0F00-000008000000}"/>
            </a:ext>
          </a:extLst>
        </xdr:cNvPr>
        <xdr:cNvSpPr>
          <a:spLocks noChangeShapeType="1"/>
        </xdr:cNvSpPr>
      </xdr:nvSpPr>
      <xdr:spPr bwMode="auto">
        <a:xfrm>
          <a:off x="16087725" y="16011525"/>
          <a:ext cx="0" cy="0"/>
        </a:xfrm>
        <a:prstGeom prst="line">
          <a:avLst/>
        </a:prstGeom>
        <a:noFill/>
        <a:ln w="9525">
          <a:solidFill>
            <a:srgbClr val="000000"/>
          </a:solidFill>
          <a:prstDash val="sysDot"/>
          <a:round/>
          <a:headEnd/>
          <a:tailEnd/>
        </a:ln>
      </xdr:spPr>
    </xdr:sp>
    <xdr:clientData/>
  </xdr:twoCellAnchor>
  <xdr:twoCellAnchor>
    <xdr:from>
      <xdr:col>32</xdr:col>
      <xdr:colOff>0</xdr:colOff>
      <xdr:row>38</xdr:row>
      <xdr:rowOff>0</xdr:rowOff>
    </xdr:from>
    <xdr:to>
      <xdr:col>32</xdr:col>
      <xdr:colOff>0</xdr:colOff>
      <xdr:row>38</xdr:row>
      <xdr:rowOff>0</xdr:rowOff>
    </xdr:to>
    <xdr:sp macro="" textlink="">
      <xdr:nvSpPr>
        <xdr:cNvPr id="9" name="Line 20">
          <a:extLst>
            <a:ext uri="{FF2B5EF4-FFF2-40B4-BE49-F238E27FC236}">
              <a16:creationId xmlns:a16="http://schemas.microsoft.com/office/drawing/2014/main" id="{00000000-0008-0000-0F00-000009000000}"/>
            </a:ext>
          </a:extLst>
        </xdr:cNvPr>
        <xdr:cNvSpPr>
          <a:spLocks noChangeShapeType="1"/>
        </xdr:cNvSpPr>
      </xdr:nvSpPr>
      <xdr:spPr bwMode="auto">
        <a:xfrm>
          <a:off x="16087725" y="16297275"/>
          <a:ext cx="0" cy="0"/>
        </a:xfrm>
        <a:prstGeom prst="line">
          <a:avLst/>
        </a:prstGeom>
        <a:noFill/>
        <a:ln w="9525">
          <a:solidFill>
            <a:srgbClr val="000000"/>
          </a:solidFill>
          <a:prstDash val="sysDot"/>
          <a:round/>
          <a:headEnd/>
          <a:tailEnd/>
        </a:ln>
      </xdr:spPr>
    </xdr:sp>
    <xdr:clientData/>
  </xdr:twoCellAnchor>
  <xdr:twoCellAnchor>
    <xdr:from>
      <xdr:col>34</xdr:col>
      <xdr:colOff>0</xdr:colOff>
      <xdr:row>34</xdr:row>
      <xdr:rowOff>0</xdr:rowOff>
    </xdr:from>
    <xdr:to>
      <xdr:col>34</xdr:col>
      <xdr:colOff>0</xdr:colOff>
      <xdr:row>34</xdr:row>
      <xdr:rowOff>0</xdr:rowOff>
    </xdr:to>
    <xdr:sp macro="" textlink="">
      <xdr:nvSpPr>
        <xdr:cNvPr id="10" name="Line 29">
          <a:extLst>
            <a:ext uri="{FF2B5EF4-FFF2-40B4-BE49-F238E27FC236}">
              <a16:creationId xmlns:a16="http://schemas.microsoft.com/office/drawing/2014/main" id="{00000000-0008-0000-0F00-00000A000000}"/>
            </a:ext>
          </a:extLst>
        </xdr:cNvPr>
        <xdr:cNvSpPr>
          <a:spLocks noChangeShapeType="1"/>
        </xdr:cNvSpPr>
      </xdr:nvSpPr>
      <xdr:spPr bwMode="auto">
        <a:xfrm>
          <a:off x="18068925" y="15706725"/>
          <a:ext cx="0" cy="0"/>
        </a:xfrm>
        <a:prstGeom prst="line">
          <a:avLst/>
        </a:prstGeom>
        <a:noFill/>
        <a:ln w="9525">
          <a:solidFill>
            <a:srgbClr val="000000"/>
          </a:solidFill>
          <a:prstDash val="sysDot"/>
          <a:round/>
          <a:headEnd/>
          <a:tailEnd/>
        </a:ln>
      </xdr:spPr>
    </xdr:sp>
    <xdr:clientData/>
  </xdr:twoCellAnchor>
  <xdr:twoCellAnchor>
    <xdr:from>
      <xdr:col>34</xdr:col>
      <xdr:colOff>0</xdr:colOff>
      <xdr:row>36</xdr:row>
      <xdr:rowOff>0</xdr:rowOff>
    </xdr:from>
    <xdr:to>
      <xdr:col>34</xdr:col>
      <xdr:colOff>9525</xdr:colOff>
      <xdr:row>36</xdr:row>
      <xdr:rowOff>0</xdr:rowOff>
    </xdr:to>
    <xdr:sp macro="" textlink="">
      <xdr:nvSpPr>
        <xdr:cNvPr id="11" name="Line 31">
          <a:extLst>
            <a:ext uri="{FF2B5EF4-FFF2-40B4-BE49-F238E27FC236}">
              <a16:creationId xmlns:a16="http://schemas.microsoft.com/office/drawing/2014/main" id="{00000000-0008-0000-0F00-00000B000000}"/>
            </a:ext>
          </a:extLst>
        </xdr:cNvPr>
        <xdr:cNvSpPr>
          <a:spLocks noChangeShapeType="1"/>
        </xdr:cNvSpPr>
      </xdr:nvSpPr>
      <xdr:spPr bwMode="auto">
        <a:xfrm>
          <a:off x="18068925" y="160115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42</xdr:row>
      <xdr:rowOff>0</xdr:rowOff>
    </xdr:from>
    <xdr:to>
      <xdr:col>34</xdr:col>
      <xdr:colOff>0</xdr:colOff>
      <xdr:row>42</xdr:row>
      <xdr:rowOff>0</xdr:rowOff>
    </xdr:to>
    <xdr:sp macro="" textlink="">
      <xdr:nvSpPr>
        <xdr:cNvPr id="12" name="Line 32">
          <a:extLst>
            <a:ext uri="{FF2B5EF4-FFF2-40B4-BE49-F238E27FC236}">
              <a16:creationId xmlns:a16="http://schemas.microsoft.com/office/drawing/2014/main" id="{00000000-0008-0000-0F00-00000C000000}"/>
            </a:ext>
          </a:extLst>
        </xdr:cNvPr>
        <xdr:cNvSpPr>
          <a:spLocks noChangeShapeType="1"/>
        </xdr:cNvSpPr>
      </xdr:nvSpPr>
      <xdr:spPr bwMode="auto">
        <a:xfrm>
          <a:off x="18068925" y="16868775"/>
          <a:ext cx="0" cy="0"/>
        </a:xfrm>
        <a:prstGeom prst="line">
          <a:avLst/>
        </a:prstGeom>
        <a:noFill/>
        <a:ln w="9525">
          <a:solidFill>
            <a:srgbClr val="000000"/>
          </a:solidFill>
          <a:prstDash val="sysDot"/>
          <a:round/>
          <a:headEnd/>
          <a:tailEnd/>
        </a:ln>
      </xdr:spPr>
    </xdr:sp>
    <xdr:clientData/>
  </xdr:twoCellAnchor>
  <xdr:twoCellAnchor>
    <xdr:from>
      <xdr:col>34</xdr:col>
      <xdr:colOff>0</xdr:colOff>
      <xdr:row>45</xdr:row>
      <xdr:rowOff>0</xdr:rowOff>
    </xdr:from>
    <xdr:to>
      <xdr:col>34</xdr:col>
      <xdr:colOff>0</xdr:colOff>
      <xdr:row>45</xdr:row>
      <xdr:rowOff>0</xdr:rowOff>
    </xdr:to>
    <xdr:sp macro="" textlink="">
      <xdr:nvSpPr>
        <xdr:cNvPr id="13" name="Line 35">
          <a:extLst>
            <a:ext uri="{FF2B5EF4-FFF2-40B4-BE49-F238E27FC236}">
              <a16:creationId xmlns:a16="http://schemas.microsoft.com/office/drawing/2014/main" id="{00000000-0008-0000-0F00-00000D000000}"/>
            </a:ext>
          </a:extLst>
        </xdr:cNvPr>
        <xdr:cNvSpPr>
          <a:spLocks noChangeShapeType="1"/>
        </xdr:cNvSpPr>
      </xdr:nvSpPr>
      <xdr:spPr bwMode="auto">
        <a:xfrm>
          <a:off x="18068925" y="17297400"/>
          <a:ext cx="0" cy="0"/>
        </a:xfrm>
        <a:prstGeom prst="line">
          <a:avLst/>
        </a:prstGeom>
        <a:noFill/>
        <a:ln w="9525">
          <a:solidFill>
            <a:srgbClr val="000000"/>
          </a:solidFill>
          <a:prstDash val="sysDot"/>
          <a:round/>
          <a:headEnd/>
          <a:tailEnd/>
        </a:ln>
      </xdr:spPr>
    </xdr:sp>
    <xdr:clientData/>
  </xdr:twoCellAnchor>
  <xdr:twoCellAnchor>
    <xdr:from>
      <xdr:col>34</xdr:col>
      <xdr:colOff>0</xdr:colOff>
      <xdr:row>40</xdr:row>
      <xdr:rowOff>0</xdr:rowOff>
    </xdr:from>
    <xdr:to>
      <xdr:col>34</xdr:col>
      <xdr:colOff>0</xdr:colOff>
      <xdr:row>40</xdr:row>
      <xdr:rowOff>0</xdr:rowOff>
    </xdr:to>
    <xdr:sp macro="" textlink="">
      <xdr:nvSpPr>
        <xdr:cNvPr id="14" name="Line 29">
          <a:extLst>
            <a:ext uri="{FF2B5EF4-FFF2-40B4-BE49-F238E27FC236}">
              <a16:creationId xmlns:a16="http://schemas.microsoft.com/office/drawing/2014/main" id="{00000000-0008-0000-0F00-00000E000000}"/>
            </a:ext>
          </a:extLst>
        </xdr:cNvPr>
        <xdr:cNvSpPr>
          <a:spLocks noChangeShapeType="1"/>
        </xdr:cNvSpPr>
      </xdr:nvSpPr>
      <xdr:spPr bwMode="auto">
        <a:xfrm>
          <a:off x="18068925" y="16583025"/>
          <a:ext cx="0" cy="0"/>
        </a:xfrm>
        <a:prstGeom prst="line">
          <a:avLst/>
        </a:prstGeom>
        <a:noFill/>
        <a:ln w="9525">
          <a:solidFill>
            <a:srgbClr val="000000"/>
          </a:solidFill>
          <a:prstDash val="sysDot"/>
          <a:round/>
          <a:headEnd/>
          <a:tailEnd/>
        </a:ln>
      </xdr:spPr>
    </xdr:sp>
    <xdr:clientData/>
  </xdr:twoCellAnchor>
  <xdr:twoCellAnchor>
    <xdr:from>
      <xdr:col>34</xdr:col>
      <xdr:colOff>0</xdr:colOff>
      <xdr:row>42</xdr:row>
      <xdr:rowOff>0</xdr:rowOff>
    </xdr:from>
    <xdr:to>
      <xdr:col>34</xdr:col>
      <xdr:colOff>9525</xdr:colOff>
      <xdr:row>42</xdr:row>
      <xdr:rowOff>0</xdr:rowOff>
    </xdr:to>
    <xdr:sp macro="" textlink="">
      <xdr:nvSpPr>
        <xdr:cNvPr id="15" name="Line 31">
          <a:extLst>
            <a:ext uri="{FF2B5EF4-FFF2-40B4-BE49-F238E27FC236}">
              <a16:creationId xmlns:a16="http://schemas.microsoft.com/office/drawing/2014/main" id="{00000000-0008-0000-0F00-00000F000000}"/>
            </a:ext>
          </a:extLst>
        </xdr:cNvPr>
        <xdr:cNvSpPr>
          <a:spLocks noChangeShapeType="1"/>
        </xdr:cNvSpPr>
      </xdr:nvSpPr>
      <xdr:spPr bwMode="auto">
        <a:xfrm>
          <a:off x="18068925" y="168687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48</xdr:row>
      <xdr:rowOff>0</xdr:rowOff>
    </xdr:from>
    <xdr:to>
      <xdr:col>34</xdr:col>
      <xdr:colOff>0</xdr:colOff>
      <xdr:row>48</xdr:row>
      <xdr:rowOff>0</xdr:rowOff>
    </xdr:to>
    <xdr:sp macro="" textlink="">
      <xdr:nvSpPr>
        <xdr:cNvPr id="16" name="Line 32">
          <a:extLst>
            <a:ext uri="{FF2B5EF4-FFF2-40B4-BE49-F238E27FC236}">
              <a16:creationId xmlns:a16="http://schemas.microsoft.com/office/drawing/2014/main" id="{00000000-0008-0000-0F00-000010000000}"/>
            </a:ext>
          </a:extLst>
        </xdr:cNvPr>
        <xdr:cNvSpPr>
          <a:spLocks noChangeShapeType="1"/>
        </xdr:cNvSpPr>
      </xdr:nvSpPr>
      <xdr:spPr bwMode="auto">
        <a:xfrm>
          <a:off x="18068925" y="17726025"/>
          <a:ext cx="0" cy="0"/>
        </a:xfrm>
        <a:prstGeom prst="line">
          <a:avLst/>
        </a:prstGeom>
        <a:noFill/>
        <a:ln w="9525">
          <a:solidFill>
            <a:srgbClr val="000000"/>
          </a:solidFill>
          <a:prstDash val="sysDot"/>
          <a:round/>
          <a:headEnd/>
          <a:tailEnd/>
        </a:ln>
      </xdr:spPr>
    </xdr:sp>
    <xdr:clientData/>
  </xdr:twoCellAnchor>
  <xdr:twoCellAnchor>
    <xdr:from>
      <xdr:col>34</xdr:col>
      <xdr:colOff>0</xdr:colOff>
      <xdr:row>49</xdr:row>
      <xdr:rowOff>0</xdr:rowOff>
    </xdr:from>
    <xdr:to>
      <xdr:col>34</xdr:col>
      <xdr:colOff>0</xdr:colOff>
      <xdr:row>49</xdr:row>
      <xdr:rowOff>0</xdr:rowOff>
    </xdr:to>
    <xdr:sp macro="" textlink="">
      <xdr:nvSpPr>
        <xdr:cNvPr id="17" name="Line 34">
          <a:extLst>
            <a:ext uri="{FF2B5EF4-FFF2-40B4-BE49-F238E27FC236}">
              <a16:creationId xmlns:a16="http://schemas.microsoft.com/office/drawing/2014/main" id="{00000000-0008-0000-0F00-000011000000}"/>
            </a:ext>
          </a:extLst>
        </xdr:cNvPr>
        <xdr:cNvSpPr>
          <a:spLocks noChangeShapeType="1"/>
        </xdr:cNvSpPr>
      </xdr:nvSpPr>
      <xdr:spPr bwMode="auto">
        <a:xfrm>
          <a:off x="18068925" y="17868900"/>
          <a:ext cx="0" cy="0"/>
        </a:xfrm>
        <a:prstGeom prst="line">
          <a:avLst/>
        </a:prstGeom>
        <a:noFill/>
        <a:ln w="9525">
          <a:solidFill>
            <a:srgbClr val="000000"/>
          </a:solidFill>
          <a:prstDash val="sysDot"/>
          <a:round/>
          <a:headEnd/>
          <a:tailEnd/>
        </a:ln>
      </xdr:spPr>
    </xdr:sp>
    <xdr:clientData/>
  </xdr:twoCellAnchor>
  <xdr:twoCellAnchor>
    <xdr:from>
      <xdr:col>32</xdr:col>
      <xdr:colOff>0</xdr:colOff>
      <xdr:row>26</xdr:row>
      <xdr:rowOff>0</xdr:rowOff>
    </xdr:from>
    <xdr:to>
      <xdr:col>32</xdr:col>
      <xdr:colOff>0</xdr:colOff>
      <xdr:row>26</xdr:row>
      <xdr:rowOff>0</xdr:rowOff>
    </xdr:to>
    <xdr:sp macro="" textlink="">
      <xdr:nvSpPr>
        <xdr:cNvPr id="18" name="Line 8">
          <a:extLst>
            <a:ext uri="{FF2B5EF4-FFF2-40B4-BE49-F238E27FC236}">
              <a16:creationId xmlns:a16="http://schemas.microsoft.com/office/drawing/2014/main" id="{00000000-0008-0000-0F00-000012000000}"/>
            </a:ext>
          </a:extLst>
        </xdr:cNvPr>
        <xdr:cNvSpPr>
          <a:spLocks noChangeShapeType="1"/>
        </xdr:cNvSpPr>
      </xdr:nvSpPr>
      <xdr:spPr bwMode="auto">
        <a:xfrm>
          <a:off x="16087725" y="14506575"/>
          <a:ext cx="0" cy="0"/>
        </a:xfrm>
        <a:prstGeom prst="line">
          <a:avLst/>
        </a:prstGeom>
        <a:noFill/>
        <a:ln w="9525">
          <a:solidFill>
            <a:srgbClr val="000000"/>
          </a:solidFill>
          <a:prstDash val="sysDot"/>
          <a:round/>
          <a:headEnd/>
          <a:tailEnd/>
        </a:ln>
      </xdr:spPr>
    </xdr:sp>
    <xdr:clientData/>
  </xdr:twoCellAnchor>
  <xdr:twoCellAnchor>
    <xdr:from>
      <xdr:col>32</xdr:col>
      <xdr:colOff>0</xdr:colOff>
      <xdr:row>28</xdr:row>
      <xdr:rowOff>0</xdr:rowOff>
    </xdr:from>
    <xdr:to>
      <xdr:col>32</xdr:col>
      <xdr:colOff>0</xdr:colOff>
      <xdr:row>28</xdr:row>
      <xdr:rowOff>0</xdr:rowOff>
    </xdr:to>
    <xdr:sp macro="" textlink="">
      <xdr:nvSpPr>
        <xdr:cNvPr id="19" name="Line 9">
          <a:extLst>
            <a:ext uri="{FF2B5EF4-FFF2-40B4-BE49-F238E27FC236}">
              <a16:creationId xmlns:a16="http://schemas.microsoft.com/office/drawing/2014/main" id="{00000000-0008-0000-0F00-000013000000}"/>
            </a:ext>
          </a:extLst>
        </xdr:cNvPr>
        <xdr:cNvSpPr>
          <a:spLocks noChangeShapeType="1"/>
        </xdr:cNvSpPr>
      </xdr:nvSpPr>
      <xdr:spPr bwMode="auto">
        <a:xfrm>
          <a:off x="16087725" y="14916150"/>
          <a:ext cx="0" cy="0"/>
        </a:xfrm>
        <a:prstGeom prst="line">
          <a:avLst/>
        </a:prstGeom>
        <a:noFill/>
        <a:ln w="9525">
          <a:solidFill>
            <a:srgbClr val="000000"/>
          </a:solidFill>
          <a:prstDash val="sysDot"/>
          <a:round/>
          <a:headEnd/>
          <a:tailEnd/>
        </a:ln>
      </xdr:spPr>
    </xdr:sp>
    <xdr:clientData/>
  </xdr:twoCellAnchor>
  <xdr:twoCellAnchor>
    <xdr:from>
      <xdr:col>32</xdr:col>
      <xdr:colOff>0</xdr:colOff>
      <xdr:row>23</xdr:row>
      <xdr:rowOff>0</xdr:rowOff>
    </xdr:from>
    <xdr:to>
      <xdr:col>32</xdr:col>
      <xdr:colOff>0</xdr:colOff>
      <xdr:row>23</xdr:row>
      <xdr:rowOff>0</xdr:rowOff>
    </xdr:to>
    <xdr:sp macro="" textlink="">
      <xdr:nvSpPr>
        <xdr:cNvPr id="20" name="Line 16">
          <a:extLst>
            <a:ext uri="{FF2B5EF4-FFF2-40B4-BE49-F238E27FC236}">
              <a16:creationId xmlns:a16="http://schemas.microsoft.com/office/drawing/2014/main" id="{00000000-0008-0000-0F00-000014000000}"/>
            </a:ext>
          </a:extLst>
        </xdr:cNvPr>
        <xdr:cNvSpPr>
          <a:spLocks noChangeShapeType="1"/>
        </xdr:cNvSpPr>
      </xdr:nvSpPr>
      <xdr:spPr bwMode="auto">
        <a:xfrm>
          <a:off x="16087725" y="14020800"/>
          <a:ext cx="0" cy="0"/>
        </a:xfrm>
        <a:prstGeom prst="line">
          <a:avLst/>
        </a:prstGeom>
        <a:noFill/>
        <a:ln w="9525">
          <a:solidFill>
            <a:srgbClr val="000000"/>
          </a:solidFill>
          <a:prstDash val="sysDot"/>
          <a:round/>
          <a:headEnd/>
          <a:tailEnd/>
        </a:ln>
      </xdr:spPr>
    </xdr:sp>
    <xdr:clientData/>
  </xdr:twoCellAnchor>
  <xdr:twoCellAnchor>
    <xdr:from>
      <xdr:col>32</xdr:col>
      <xdr:colOff>0</xdr:colOff>
      <xdr:row>31</xdr:row>
      <xdr:rowOff>0</xdr:rowOff>
    </xdr:from>
    <xdr:to>
      <xdr:col>32</xdr:col>
      <xdr:colOff>0</xdr:colOff>
      <xdr:row>31</xdr:row>
      <xdr:rowOff>0</xdr:rowOff>
    </xdr:to>
    <xdr:sp macro="" textlink="">
      <xdr:nvSpPr>
        <xdr:cNvPr id="21" name="Line 18">
          <a:extLst>
            <a:ext uri="{FF2B5EF4-FFF2-40B4-BE49-F238E27FC236}">
              <a16:creationId xmlns:a16="http://schemas.microsoft.com/office/drawing/2014/main" id="{00000000-0008-0000-0F00-000015000000}"/>
            </a:ext>
          </a:extLst>
        </xdr:cNvPr>
        <xdr:cNvSpPr>
          <a:spLocks noChangeShapeType="1"/>
        </xdr:cNvSpPr>
      </xdr:nvSpPr>
      <xdr:spPr bwMode="auto">
        <a:xfrm>
          <a:off x="16087725" y="15382875"/>
          <a:ext cx="0" cy="0"/>
        </a:xfrm>
        <a:prstGeom prst="line">
          <a:avLst/>
        </a:prstGeom>
        <a:noFill/>
        <a:ln w="9525">
          <a:solidFill>
            <a:srgbClr val="000000"/>
          </a:solidFill>
          <a:prstDash val="sysDot"/>
          <a:round/>
          <a:headEnd/>
          <a:tailEnd/>
        </a:ln>
      </xdr:spPr>
    </xdr:sp>
    <xdr:clientData/>
  </xdr:twoCellAnchor>
  <xdr:twoCellAnchor>
    <xdr:from>
      <xdr:col>32</xdr:col>
      <xdr:colOff>0</xdr:colOff>
      <xdr:row>32</xdr:row>
      <xdr:rowOff>0</xdr:rowOff>
    </xdr:from>
    <xdr:to>
      <xdr:col>32</xdr:col>
      <xdr:colOff>0</xdr:colOff>
      <xdr:row>32</xdr:row>
      <xdr:rowOff>0</xdr:rowOff>
    </xdr:to>
    <xdr:sp macro="" textlink="">
      <xdr:nvSpPr>
        <xdr:cNvPr id="22" name="Line 19">
          <a:extLst>
            <a:ext uri="{FF2B5EF4-FFF2-40B4-BE49-F238E27FC236}">
              <a16:creationId xmlns:a16="http://schemas.microsoft.com/office/drawing/2014/main" id="{00000000-0008-0000-0F00-000016000000}"/>
            </a:ext>
          </a:extLst>
        </xdr:cNvPr>
        <xdr:cNvSpPr>
          <a:spLocks noChangeShapeType="1"/>
        </xdr:cNvSpPr>
      </xdr:nvSpPr>
      <xdr:spPr bwMode="auto">
        <a:xfrm>
          <a:off x="16087725" y="15420975"/>
          <a:ext cx="0" cy="0"/>
        </a:xfrm>
        <a:prstGeom prst="line">
          <a:avLst/>
        </a:prstGeom>
        <a:noFill/>
        <a:ln w="9525">
          <a:solidFill>
            <a:srgbClr val="000000"/>
          </a:solidFill>
          <a:prstDash val="sysDot"/>
          <a:round/>
          <a:headEnd/>
          <a:tailEnd/>
        </a:ln>
      </xdr:spPr>
    </xdr:sp>
    <xdr:clientData/>
  </xdr:twoCellAnchor>
  <xdr:twoCellAnchor>
    <xdr:from>
      <xdr:col>32</xdr:col>
      <xdr:colOff>0</xdr:colOff>
      <xdr:row>34</xdr:row>
      <xdr:rowOff>0</xdr:rowOff>
    </xdr:from>
    <xdr:to>
      <xdr:col>32</xdr:col>
      <xdr:colOff>0</xdr:colOff>
      <xdr:row>34</xdr:row>
      <xdr:rowOff>0</xdr:rowOff>
    </xdr:to>
    <xdr:sp macro="" textlink="">
      <xdr:nvSpPr>
        <xdr:cNvPr id="23" name="Line 20">
          <a:extLst>
            <a:ext uri="{FF2B5EF4-FFF2-40B4-BE49-F238E27FC236}">
              <a16:creationId xmlns:a16="http://schemas.microsoft.com/office/drawing/2014/main" id="{00000000-0008-0000-0F00-000017000000}"/>
            </a:ext>
          </a:extLst>
        </xdr:cNvPr>
        <xdr:cNvSpPr>
          <a:spLocks noChangeShapeType="1"/>
        </xdr:cNvSpPr>
      </xdr:nvSpPr>
      <xdr:spPr bwMode="auto">
        <a:xfrm>
          <a:off x="16087725" y="15706725"/>
          <a:ext cx="0" cy="0"/>
        </a:xfrm>
        <a:prstGeom prst="line">
          <a:avLst/>
        </a:prstGeom>
        <a:noFill/>
        <a:ln w="9525">
          <a:solidFill>
            <a:srgbClr val="000000"/>
          </a:solidFill>
          <a:prstDash val="sysDot"/>
          <a:round/>
          <a:headEnd/>
          <a:tailEnd/>
        </a:ln>
      </xdr:spPr>
    </xdr:sp>
    <xdr:clientData/>
  </xdr:twoCellAnchor>
  <xdr:twoCellAnchor>
    <xdr:from>
      <xdr:col>34</xdr:col>
      <xdr:colOff>0</xdr:colOff>
      <xdr:row>30</xdr:row>
      <xdr:rowOff>0</xdr:rowOff>
    </xdr:from>
    <xdr:to>
      <xdr:col>34</xdr:col>
      <xdr:colOff>0</xdr:colOff>
      <xdr:row>30</xdr:row>
      <xdr:rowOff>0</xdr:rowOff>
    </xdr:to>
    <xdr:sp macro="" textlink="">
      <xdr:nvSpPr>
        <xdr:cNvPr id="24" name="Line 29">
          <a:extLst>
            <a:ext uri="{FF2B5EF4-FFF2-40B4-BE49-F238E27FC236}">
              <a16:creationId xmlns:a16="http://schemas.microsoft.com/office/drawing/2014/main" id="{00000000-0008-0000-0F00-000018000000}"/>
            </a:ext>
          </a:extLst>
        </xdr:cNvPr>
        <xdr:cNvSpPr>
          <a:spLocks noChangeShapeType="1"/>
        </xdr:cNvSpPr>
      </xdr:nvSpPr>
      <xdr:spPr bwMode="auto">
        <a:xfrm>
          <a:off x="18068925" y="15240000"/>
          <a:ext cx="0" cy="0"/>
        </a:xfrm>
        <a:prstGeom prst="line">
          <a:avLst/>
        </a:prstGeom>
        <a:noFill/>
        <a:ln w="9525">
          <a:solidFill>
            <a:srgbClr val="000000"/>
          </a:solidFill>
          <a:prstDash val="sysDot"/>
          <a:round/>
          <a:headEnd/>
          <a:tailEnd/>
        </a:ln>
      </xdr:spPr>
    </xdr:sp>
    <xdr:clientData/>
  </xdr:twoCellAnchor>
  <xdr:twoCellAnchor>
    <xdr:from>
      <xdr:col>34</xdr:col>
      <xdr:colOff>0</xdr:colOff>
      <xdr:row>32</xdr:row>
      <xdr:rowOff>0</xdr:rowOff>
    </xdr:from>
    <xdr:to>
      <xdr:col>34</xdr:col>
      <xdr:colOff>9525</xdr:colOff>
      <xdr:row>32</xdr:row>
      <xdr:rowOff>0</xdr:rowOff>
    </xdr:to>
    <xdr:sp macro="" textlink="">
      <xdr:nvSpPr>
        <xdr:cNvPr id="25" name="Line 31">
          <a:extLst>
            <a:ext uri="{FF2B5EF4-FFF2-40B4-BE49-F238E27FC236}">
              <a16:creationId xmlns:a16="http://schemas.microsoft.com/office/drawing/2014/main" id="{00000000-0008-0000-0F00-000019000000}"/>
            </a:ext>
          </a:extLst>
        </xdr:cNvPr>
        <xdr:cNvSpPr>
          <a:spLocks noChangeShapeType="1"/>
        </xdr:cNvSpPr>
      </xdr:nvSpPr>
      <xdr:spPr bwMode="auto">
        <a:xfrm>
          <a:off x="18068925" y="154209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38</xdr:row>
      <xdr:rowOff>0</xdr:rowOff>
    </xdr:from>
    <xdr:to>
      <xdr:col>34</xdr:col>
      <xdr:colOff>0</xdr:colOff>
      <xdr:row>38</xdr:row>
      <xdr:rowOff>0</xdr:rowOff>
    </xdr:to>
    <xdr:sp macro="" textlink="">
      <xdr:nvSpPr>
        <xdr:cNvPr id="26" name="Line 32">
          <a:extLst>
            <a:ext uri="{FF2B5EF4-FFF2-40B4-BE49-F238E27FC236}">
              <a16:creationId xmlns:a16="http://schemas.microsoft.com/office/drawing/2014/main" id="{00000000-0008-0000-0F00-00001A000000}"/>
            </a:ext>
          </a:extLst>
        </xdr:cNvPr>
        <xdr:cNvSpPr>
          <a:spLocks noChangeShapeType="1"/>
        </xdr:cNvSpPr>
      </xdr:nvSpPr>
      <xdr:spPr bwMode="auto">
        <a:xfrm>
          <a:off x="18068925" y="16297275"/>
          <a:ext cx="0" cy="0"/>
        </a:xfrm>
        <a:prstGeom prst="line">
          <a:avLst/>
        </a:prstGeom>
        <a:noFill/>
        <a:ln w="9525">
          <a:solidFill>
            <a:srgbClr val="000000"/>
          </a:solidFill>
          <a:prstDash val="sysDot"/>
          <a:round/>
          <a:headEnd/>
          <a:tailEnd/>
        </a:ln>
      </xdr:spPr>
    </xdr:sp>
    <xdr:clientData/>
  </xdr:twoCellAnchor>
  <xdr:twoCellAnchor>
    <xdr:from>
      <xdr:col>34</xdr:col>
      <xdr:colOff>0</xdr:colOff>
      <xdr:row>41</xdr:row>
      <xdr:rowOff>0</xdr:rowOff>
    </xdr:from>
    <xdr:to>
      <xdr:col>34</xdr:col>
      <xdr:colOff>0</xdr:colOff>
      <xdr:row>41</xdr:row>
      <xdr:rowOff>0</xdr:rowOff>
    </xdr:to>
    <xdr:sp macro="" textlink="">
      <xdr:nvSpPr>
        <xdr:cNvPr id="27" name="Line 35">
          <a:extLst>
            <a:ext uri="{FF2B5EF4-FFF2-40B4-BE49-F238E27FC236}">
              <a16:creationId xmlns:a16="http://schemas.microsoft.com/office/drawing/2014/main" id="{00000000-0008-0000-0F00-00001B000000}"/>
            </a:ext>
          </a:extLst>
        </xdr:cNvPr>
        <xdr:cNvSpPr>
          <a:spLocks noChangeShapeType="1"/>
        </xdr:cNvSpPr>
      </xdr:nvSpPr>
      <xdr:spPr bwMode="auto">
        <a:xfrm>
          <a:off x="18068925" y="16725900"/>
          <a:ext cx="0" cy="0"/>
        </a:xfrm>
        <a:prstGeom prst="line">
          <a:avLst/>
        </a:prstGeom>
        <a:noFill/>
        <a:ln w="9525">
          <a:solidFill>
            <a:srgbClr val="000000"/>
          </a:solidFill>
          <a:prstDash val="sysDot"/>
          <a:round/>
          <a:headEnd/>
          <a:tailEnd/>
        </a:ln>
      </xdr:spPr>
    </xdr:sp>
    <xdr:clientData/>
  </xdr:twoCellAnchor>
  <xdr:twoCellAnchor>
    <xdr:from>
      <xdr:col>34</xdr:col>
      <xdr:colOff>0</xdr:colOff>
      <xdr:row>36</xdr:row>
      <xdr:rowOff>0</xdr:rowOff>
    </xdr:from>
    <xdr:to>
      <xdr:col>34</xdr:col>
      <xdr:colOff>0</xdr:colOff>
      <xdr:row>36</xdr:row>
      <xdr:rowOff>0</xdr:rowOff>
    </xdr:to>
    <xdr:sp macro="" textlink="">
      <xdr:nvSpPr>
        <xdr:cNvPr id="28" name="Line 29">
          <a:extLst>
            <a:ext uri="{FF2B5EF4-FFF2-40B4-BE49-F238E27FC236}">
              <a16:creationId xmlns:a16="http://schemas.microsoft.com/office/drawing/2014/main" id="{00000000-0008-0000-0F00-00001C000000}"/>
            </a:ext>
          </a:extLst>
        </xdr:cNvPr>
        <xdr:cNvSpPr>
          <a:spLocks noChangeShapeType="1"/>
        </xdr:cNvSpPr>
      </xdr:nvSpPr>
      <xdr:spPr bwMode="auto">
        <a:xfrm>
          <a:off x="18068925" y="16011525"/>
          <a:ext cx="0" cy="0"/>
        </a:xfrm>
        <a:prstGeom prst="line">
          <a:avLst/>
        </a:prstGeom>
        <a:noFill/>
        <a:ln w="9525">
          <a:solidFill>
            <a:srgbClr val="000000"/>
          </a:solidFill>
          <a:prstDash val="sysDot"/>
          <a:round/>
          <a:headEnd/>
          <a:tailEnd/>
        </a:ln>
      </xdr:spPr>
    </xdr:sp>
    <xdr:clientData/>
  </xdr:twoCellAnchor>
  <xdr:twoCellAnchor>
    <xdr:from>
      <xdr:col>34</xdr:col>
      <xdr:colOff>0</xdr:colOff>
      <xdr:row>38</xdr:row>
      <xdr:rowOff>0</xdr:rowOff>
    </xdr:from>
    <xdr:to>
      <xdr:col>34</xdr:col>
      <xdr:colOff>9525</xdr:colOff>
      <xdr:row>38</xdr:row>
      <xdr:rowOff>0</xdr:rowOff>
    </xdr:to>
    <xdr:sp macro="" textlink="">
      <xdr:nvSpPr>
        <xdr:cNvPr id="29" name="Line 31">
          <a:extLst>
            <a:ext uri="{FF2B5EF4-FFF2-40B4-BE49-F238E27FC236}">
              <a16:creationId xmlns:a16="http://schemas.microsoft.com/office/drawing/2014/main" id="{00000000-0008-0000-0F00-00001D000000}"/>
            </a:ext>
          </a:extLst>
        </xdr:cNvPr>
        <xdr:cNvSpPr>
          <a:spLocks noChangeShapeType="1"/>
        </xdr:cNvSpPr>
      </xdr:nvSpPr>
      <xdr:spPr bwMode="auto">
        <a:xfrm>
          <a:off x="18068925" y="162972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44</xdr:row>
      <xdr:rowOff>0</xdr:rowOff>
    </xdr:from>
    <xdr:to>
      <xdr:col>34</xdr:col>
      <xdr:colOff>0</xdr:colOff>
      <xdr:row>44</xdr:row>
      <xdr:rowOff>0</xdr:rowOff>
    </xdr:to>
    <xdr:sp macro="" textlink="">
      <xdr:nvSpPr>
        <xdr:cNvPr id="30" name="Line 32">
          <a:extLst>
            <a:ext uri="{FF2B5EF4-FFF2-40B4-BE49-F238E27FC236}">
              <a16:creationId xmlns:a16="http://schemas.microsoft.com/office/drawing/2014/main" id="{00000000-0008-0000-0F00-00001E000000}"/>
            </a:ext>
          </a:extLst>
        </xdr:cNvPr>
        <xdr:cNvSpPr>
          <a:spLocks noChangeShapeType="1"/>
        </xdr:cNvSpPr>
      </xdr:nvSpPr>
      <xdr:spPr bwMode="auto">
        <a:xfrm>
          <a:off x="18068925" y="17154525"/>
          <a:ext cx="0" cy="0"/>
        </a:xfrm>
        <a:prstGeom prst="line">
          <a:avLst/>
        </a:prstGeom>
        <a:noFill/>
        <a:ln w="9525">
          <a:solidFill>
            <a:srgbClr val="000000"/>
          </a:solidFill>
          <a:prstDash val="sysDot"/>
          <a:round/>
          <a:headEnd/>
          <a:tailEnd/>
        </a:ln>
      </xdr:spPr>
    </xdr:sp>
    <xdr:clientData/>
  </xdr:twoCellAnchor>
  <xdr:twoCellAnchor>
    <xdr:from>
      <xdr:col>34</xdr:col>
      <xdr:colOff>0</xdr:colOff>
      <xdr:row>45</xdr:row>
      <xdr:rowOff>0</xdr:rowOff>
    </xdr:from>
    <xdr:to>
      <xdr:col>34</xdr:col>
      <xdr:colOff>0</xdr:colOff>
      <xdr:row>45</xdr:row>
      <xdr:rowOff>0</xdr:rowOff>
    </xdr:to>
    <xdr:sp macro="" textlink="">
      <xdr:nvSpPr>
        <xdr:cNvPr id="31" name="Line 34">
          <a:extLst>
            <a:ext uri="{FF2B5EF4-FFF2-40B4-BE49-F238E27FC236}">
              <a16:creationId xmlns:a16="http://schemas.microsoft.com/office/drawing/2014/main" id="{00000000-0008-0000-0F00-00001F000000}"/>
            </a:ext>
          </a:extLst>
        </xdr:cNvPr>
        <xdr:cNvSpPr>
          <a:spLocks noChangeShapeType="1"/>
        </xdr:cNvSpPr>
      </xdr:nvSpPr>
      <xdr:spPr bwMode="auto">
        <a:xfrm>
          <a:off x="18068925" y="17297400"/>
          <a:ext cx="0" cy="0"/>
        </a:xfrm>
        <a:prstGeom prst="line">
          <a:avLst/>
        </a:prstGeom>
        <a:noFill/>
        <a:ln w="9525">
          <a:solidFill>
            <a:srgbClr val="000000"/>
          </a:solidFill>
          <a:prstDash val="sysDot"/>
          <a:round/>
          <a:headEnd/>
          <a:tailEnd/>
        </a:ln>
      </xdr:spPr>
    </xdr:sp>
    <xdr:clientData/>
  </xdr:twoCellAnchor>
</xdr:wsDr>
</file>

<file path=xl/drawings/drawing17.xml><?xml version="1.0" encoding="utf-8"?>
<xdr:wsDr xmlns:xdr="http://schemas.openxmlformats.org/drawingml/2006/spreadsheetDrawing" xmlns:a="http://schemas.openxmlformats.org/drawingml/2006/main">
  <xdr:twoCellAnchor>
    <xdr:from>
      <xdr:col>31</xdr:col>
      <xdr:colOff>0</xdr:colOff>
      <xdr:row>83</xdr:row>
      <xdr:rowOff>0</xdr:rowOff>
    </xdr:from>
    <xdr:to>
      <xdr:col>31</xdr:col>
      <xdr:colOff>0</xdr:colOff>
      <xdr:row>83</xdr:row>
      <xdr:rowOff>0</xdr:rowOff>
    </xdr:to>
    <xdr:sp macro="" textlink="">
      <xdr:nvSpPr>
        <xdr:cNvPr id="1806120" name="Line 29">
          <a:extLst>
            <a:ext uri="{FF2B5EF4-FFF2-40B4-BE49-F238E27FC236}">
              <a16:creationId xmlns:a16="http://schemas.microsoft.com/office/drawing/2014/main" id="{00000000-0008-0000-1000-0000288F1B00}"/>
            </a:ext>
          </a:extLst>
        </xdr:cNvPr>
        <xdr:cNvSpPr>
          <a:spLocks noChangeShapeType="1"/>
        </xdr:cNvSpPr>
      </xdr:nvSpPr>
      <xdr:spPr bwMode="auto">
        <a:xfrm>
          <a:off x="20145375" y="14049375"/>
          <a:ext cx="0" cy="0"/>
        </a:xfrm>
        <a:prstGeom prst="line">
          <a:avLst/>
        </a:prstGeom>
        <a:noFill/>
        <a:ln w="9525">
          <a:solidFill>
            <a:srgbClr val="000000"/>
          </a:solidFill>
          <a:prstDash val="sysDot"/>
          <a:round/>
          <a:headEnd/>
          <a:tailEnd/>
        </a:ln>
      </xdr:spPr>
    </xdr:sp>
    <xdr:clientData/>
  </xdr:twoCellAnchor>
  <xdr:twoCellAnchor>
    <xdr:from>
      <xdr:col>31</xdr:col>
      <xdr:colOff>0</xdr:colOff>
      <xdr:row>85</xdr:row>
      <xdr:rowOff>0</xdr:rowOff>
    </xdr:from>
    <xdr:to>
      <xdr:col>31</xdr:col>
      <xdr:colOff>9525</xdr:colOff>
      <xdr:row>85</xdr:row>
      <xdr:rowOff>0</xdr:rowOff>
    </xdr:to>
    <xdr:sp macro="" textlink="">
      <xdr:nvSpPr>
        <xdr:cNvPr id="1806121" name="Line 31">
          <a:extLst>
            <a:ext uri="{FF2B5EF4-FFF2-40B4-BE49-F238E27FC236}">
              <a16:creationId xmlns:a16="http://schemas.microsoft.com/office/drawing/2014/main" id="{00000000-0008-0000-1000-0000298F1B00}"/>
            </a:ext>
          </a:extLst>
        </xdr:cNvPr>
        <xdr:cNvSpPr>
          <a:spLocks noChangeShapeType="1"/>
        </xdr:cNvSpPr>
      </xdr:nvSpPr>
      <xdr:spPr bwMode="auto">
        <a:xfrm>
          <a:off x="20145375" y="14335125"/>
          <a:ext cx="9525" cy="0"/>
        </a:xfrm>
        <a:prstGeom prst="line">
          <a:avLst/>
        </a:prstGeom>
        <a:noFill/>
        <a:ln w="9525">
          <a:solidFill>
            <a:srgbClr val="000000"/>
          </a:solidFill>
          <a:prstDash val="sysDot"/>
          <a:round/>
          <a:headEnd/>
          <a:tailEnd/>
        </a:ln>
      </xdr:spPr>
    </xdr:sp>
    <xdr:clientData/>
  </xdr:twoCellAnchor>
  <xdr:twoCellAnchor>
    <xdr:from>
      <xdr:col>31</xdr:col>
      <xdr:colOff>0</xdr:colOff>
      <xdr:row>91</xdr:row>
      <xdr:rowOff>0</xdr:rowOff>
    </xdr:from>
    <xdr:to>
      <xdr:col>31</xdr:col>
      <xdr:colOff>0</xdr:colOff>
      <xdr:row>91</xdr:row>
      <xdr:rowOff>0</xdr:rowOff>
    </xdr:to>
    <xdr:sp macro="" textlink="">
      <xdr:nvSpPr>
        <xdr:cNvPr id="1806122" name="Line 32">
          <a:extLst>
            <a:ext uri="{FF2B5EF4-FFF2-40B4-BE49-F238E27FC236}">
              <a16:creationId xmlns:a16="http://schemas.microsoft.com/office/drawing/2014/main" id="{00000000-0008-0000-1000-00002A8F1B00}"/>
            </a:ext>
          </a:extLst>
        </xdr:cNvPr>
        <xdr:cNvSpPr>
          <a:spLocks noChangeShapeType="1"/>
        </xdr:cNvSpPr>
      </xdr:nvSpPr>
      <xdr:spPr bwMode="auto">
        <a:xfrm>
          <a:off x="20145375" y="15192375"/>
          <a:ext cx="0" cy="0"/>
        </a:xfrm>
        <a:prstGeom prst="line">
          <a:avLst/>
        </a:prstGeom>
        <a:noFill/>
        <a:ln w="9525">
          <a:solidFill>
            <a:srgbClr val="000000"/>
          </a:solidFill>
          <a:prstDash val="sysDot"/>
          <a:round/>
          <a:headEnd/>
          <a:tailEnd/>
        </a:ln>
      </xdr:spPr>
    </xdr:sp>
    <xdr:clientData/>
  </xdr:twoCellAnchor>
  <xdr:twoCellAnchor>
    <xdr:from>
      <xdr:col>31</xdr:col>
      <xdr:colOff>0</xdr:colOff>
      <xdr:row>92</xdr:row>
      <xdr:rowOff>0</xdr:rowOff>
    </xdr:from>
    <xdr:to>
      <xdr:col>31</xdr:col>
      <xdr:colOff>0</xdr:colOff>
      <xdr:row>92</xdr:row>
      <xdr:rowOff>0</xdr:rowOff>
    </xdr:to>
    <xdr:sp macro="" textlink="">
      <xdr:nvSpPr>
        <xdr:cNvPr id="1806123" name="Line 34">
          <a:extLst>
            <a:ext uri="{FF2B5EF4-FFF2-40B4-BE49-F238E27FC236}">
              <a16:creationId xmlns:a16="http://schemas.microsoft.com/office/drawing/2014/main" id="{00000000-0008-0000-1000-00002B8F1B00}"/>
            </a:ext>
          </a:extLst>
        </xdr:cNvPr>
        <xdr:cNvSpPr>
          <a:spLocks noChangeShapeType="1"/>
        </xdr:cNvSpPr>
      </xdr:nvSpPr>
      <xdr:spPr bwMode="auto">
        <a:xfrm>
          <a:off x="20145375" y="15335250"/>
          <a:ext cx="0" cy="0"/>
        </a:xfrm>
        <a:prstGeom prst="line">
          <a:avLst/>
        </a:prstGeom>
        <a:noFill/>
        <a:ln w="9525">
          <a:solidFill>
            <a:srgbClr val="000000"/>
          </a:solidFill>
          <a:prstDash val="sysDot"/>
          <a:round/>
          <a:headEnd/>
          <a:tailEnd/>
        </a:ln>
      </xdr:spPr>
    </xdr:sp>
    <xdr:clientData/>
  </xdr:twoCellAnchor>
</xdr:wsDr>
</file>

<file path=xl/drawings/drawing18.xml><?xml version="1.0" encoding="utf-8"?>
<xdr:wsDr xmlns:xdr="http://schemas.openxmlformats.org/drawingml/2006/spreadsheetDrawing" xmlns:a="http://schemas.openxmlformats.org/drawingml/2006/main">
  <xdr:twoCellAnchor>
    <xdr:from>
      <xdr:col>32</xdr:col>
      <xdr:colOff>0</xdr:colOff>
      <xdr:row>78</xdr:row>
      <xdr:rowOff>0</xdr:rowOff>
    </xdr:from>
    <xdr:to>
      <xdr:col>32</xdr:col>
      <xdr:colOff>0</xdr:colOff>
      <xdr:row>78</xdr:row>
      <xdr:rowOff>0</xdr:rowOff>
    </xdr:to>
    <xdr:sp macro="" textlink="">
      <xdr:nvSpPr>
        <xdr:cNvPr id="2" name="Line 7">
          <a:extLst>
            <a:ext uri="{FF2B5EF4-FFF2-40B4-BE49-F238E27FC236}">
              <a16:creationId xmlns:a16="http://schemas.microsoft.com/office/drawing/2014/main" id="{00000000-0008-0000-1100-000002000000}"/>
            </a:ext>
          </a:extLst>
        </xdr:cNvPr>
        <xdr:cNvSpPr>
          <a:spLocks noChangeShapeType="1"/>
        </xdr:cNvSpPr>
      </xdr:nvSpPr>
      <xdr:spPr bwMode="auto">
        <a:xfrm>
          <a:off x="16992600" y="13716000"/>
          <a:ext cx="0" cy="0"/>
        </a:xfrm>
        <a:prstGeom prst="line">
          <a:avLst/>
        </a:prstGeom>
        <a:noFill/>
        <a:ln w="9525">
          <a:solidFill>
            <a:srgbClr val="000000"/>
          </a:solidFill>
          <a:prstDash val="sysDot"/>
          <a:round/>
          <a:headEnd/>
          <a:tailEnd/>
        </a:ln>
      </xdr:spPr>
    </xdr:sp>
    <xdr:clientData/>
  </xdr:twoCellAnchor>
  <xdr:twoCellAnchor>
    <xdr:from>
      <xdr:col>32</xdr:col>
      <xdr:colOff>0</xdr:colOff>
      <xdr:row>79</xdr:row>
      <xdr:rowOff>0</xdr:rowOff>
    </xdr:from>
    <xdr:to>
      <xdr:col>32</xdr:col>
      <xdr:colOff>0</xdr:colOff>
      <xdr:row>79</xdr:row>
      <xdr:rowOff>0</xdr:rowOff>
    </xdr:to>
    <xdr:sp macro="" textlink="">
      <xdr:nvSpPr>
        <xdr:cNvPr id="3" name="Line 8">
          <a:extLst>
            <a:ext uri="{FF2B5EF4-FFF2-40B4-BE49-F238E27FC236}">
              <a16:creationId xmlns:a16="http://schemas.microsoft.com/office/drawing/2014/main" id="{00000000-0008-0000-1100-000003000000}"/>
            </a:ext>
          </a:extLst>
        </xdr:cNvPr>
        <xdr:cNvSpPr>
          <a:spLocks noChangeShapeType="1"/>
        </xdr:cNvSpPr>
      </xdr:nvSpPr>
      <xdr:spPr bwMode="auto">
        <a:xfrm>
          <a:off x="16992600" y="13896975"/>
          <a:ext cx="0" cy="0"/>
        </a:xfrm>
        <a:prstGeom prst="line">
          <a:avLst/>
        </a:prstGeom>
        <a:noFill/>
        <a:ln w="9525">
          <a:solidFill>
            <a:srgbClr val="000000"/>
          </a:solidFill>
          <a:prstDash val="sysDot"/>
          <a:round/>
          <a:headEnd/>
          <a:tailEnd/>
        </a:ln>
      </xdr:spPr>
    </xdr:sp>
    <xdr:clientData/>
  </xdr:twoCellAnchor>
  <xdr:twoCellAnchor>
    <xdr:from>
      <xdr:col>32</xdr:col>
      <xdr:colOff>0</xdr:colOff>
      <xdr:row>81</xdr:row>
      <xdr:rowOff>0</xdr:rowOff>
    </xdr:from>
    <xdr:to>
      <xdr:col>32</xdr:col>
      <xdr:colOff>0</xdr:colOff>
      <xdr:row>81</xdr:row>
      <xdr:rowOff>0</xdr:rowOff>
    </xdr:to>
    <xdr:sp macro="" textlink="">
      <xdr:nvSpPr>
        <xdr:cNvPr id="4" name="Line 9">
          <a:extLst>
            <a:ext uri="{FF2B5EF4-FFF2-40B4-BE49-F238E27FC236}">
              <a16:creationId xmlns:a16="http://schemas.microsoft.com/office/drawing/2014/main" id="{00000000-0008-0000-1100-000004000000}"/>
            </a:ext>
          </a:extLst>
        </xdr:cNvPr>
        <xdr:cNvSpPr>
          <a:spLocks noChangeShapeType="1"/>
        </xdr:cNvSpPr>
      </xdr:nvSpPr>
      <xdr:spPr bwMode="auto">
        <a:xfrm>
          <a:off x="16992600" y="14182725"/>
          <a:ext cx="0" cy="0"/>
        </a:xfrm>
        <a:prstGeom prst="line">
          <a:avLst/>
        </a:prstGeom>
        <a:noFill/>
        <a:ln w="9525">
          <a:solidFill>
            <a:srgbClr val="000000"/>
          </a:solidFill>
          <a:prstDash val="sysDot"/>
          <a:round/>
          <a:headEnd/>
          <a:tailEnd/>
        </a:ln>
      </xdr:spPr>
    </xdr:sp>
    <xdr:clientData/>
  </xdr:twoCellAnchor>
  <xdr:twoCellAnchor>
    <xdr:from>
      <xdr:col>32</xdr:col>
      <xdr:colOff>0</xdr:colOff>
      <xdr:row>76</xdr:row>
      <xdr:rowOff>0</xdr:rowOff>
    </xdr:from>
    <xdr:to>
      <xdr:col>32</xdr:col>
      <xdr:colOff>0</xdr:colOff>
      <xdr:row>76</xdr:row>
      <xdr:rowOff>0</xdr:rowOff>
    </xdr:to>
    <xdr:sp macro="" textlink="">
      <xdr:nvSpPr>
        <xdr:cNvPr id="5" name="Line 16">
          <a:extLst>
            <a:ext uri="{FF2B5EF4-FFF2-40B4-BE49-F238E27FC236}">
              <a16:creationId xmlns:a16="http://schemas.microsoft.com/office/drawing/2014/main" id="{00000000-0008-0000-1100-000005000000}"/>
            </a:ext>
          </a:extLst>
        </xdr:cNvPr>
        <xdr:cNvSpPr>
          <a:spLocks noChangeShapeType="1"/>
        </xdr:cNvSpPr>
      </xdr:nvSpPr>
      <xdr:spPr bwMode="auto">
        <a:xfrm>
          <a:off x="16992600" y="13382625"/>
          <a:ext cx="0" cy="0"/>
        </a:xfrm>
        <a:prstGeom prst="line">
          <a:avLst/>
        </a:prstGeom>
        <a:noFill/>
        <a:ln w="9525">
          <a:solidFill>
            <a:srgbClr val="000000"/>
          </a:solidFill>
          <a:prstDash val="sysDot"/>
          <a:round/>
          <a:headEnd/>
          <a:tailEnd/>
        </a:ln>
      </xdr:spPr>
    </xdr:sp>
    <xdr:clientData/>
  </xdr:twoCellAnchor>
  <xdr:twoCellAnchor>
    <xdr:from>
      <xdr:col>32</xdr:col>
      <xdr:colOff>0</xdr:colOff>
      <xdr:row>78</xdr:row>
      <xdr:rowOff>0</xdr:rowOff>
    </xdr:from>
    <xdr:to>
      <xdr:col>32</xdr:col>
      <xdr:colOff>9525</xdr:colOff>
      <xdr:row>78</xdr:row>
      <xdr:rowOff>0</xdr:rowOff>
    </xdr:to>
    <xdr:sp macro="" textlink="">
      <xdr:nvSpPr>
        <xdr:cNvPr id="6" name="Line 17">
          <a:extLst>
            <a:ext uri="{FF2B5EF4-FFF2-40B4-BE49-F238E27FC236}">
              <a16:creationId xmlns:a16="http://schemas.microsoft.com/office/drawing/2014/main" id="{00000000-0008-0000-1100-000006000000}"/>
            </a:ext>
          </a:extLst>
        </xdr:cNvPr>
        <xdr:cNvSpPr>
          <a:spLocks noChangeShapeType="1"/>
        </xdr:cNvSpPr>
      </xdr:nvSpPr>
      <xdr:spPr bwMode="auto">
        <a:xfrm>
          <a:off x="16992600" y="13716000"/>
          <a:ext cx="9525" cy="0"/>
        </a:xfrm>
        <a:prstGeom prst="line">
          <a:avLst/>
        </a:prstGeom>
        <a:noFill/>
        <a:ln w="9525">
          <a:solidFill>
            <a:srgbClr val="000000"/>
          </a:solidFill>
          <a:prstDash val="sysDot"/>
          <a:round/>
          <a:headEnd/>
          <a:tailEnd/>
        </a:ln>
      </xdr:spPr>
    </xdr:sp>
    <xdr:clientData/>
  </xdr:twoCellAnchor>
  <xdr:twoCellAnchor>
    <xdr:from>
      <xdr:col>32</xdr:col>
      <xdr:colOff>0</xdr:colOff>
      <xdr:row>84</xdr:row>
      <xdr:rowOff>0</xdr:rowOff>
    </xdr:from>
    <xdr:to>
      <xdr:col>32</xdr:col>
      <xdr:colOff>0</xdr:colOff>
      <xdr:row>84</xdr:row>
      <xdr:rowOff>0</xdr:rowOff>
    </xdr:to>
    <xdr:sp macro="" textlink="">
      <xdr:nvSpPr>
        <xdr:cNvPr id="7" name="Line 18">
          <a:extLst>
            <a:ext uri="{FF2B5EF4-FFF2-40B4-BE49-F238E27FC236}">
              <a16:creationId xmlns:a16="http://schemas.microsoft.com/office/drawing/2014/main" id="{00000000-0008-0000-1100-000007000000}"/>
            </a:ext>
          </a:extLst>
        </xdr:cNvPr>
        <xdr:cNvSpPr>
          <a:spLocks noChangeShapeType="1"/>
        </xdr:cNvSpPr>
      </xdr:nvSpPr>
      <xdr:spPr bwMode="auto">
        <a:xfrm>
          <a:off x="16992600" y="14630400"/>
          <a:ext cx="0" cy="0"/>
        </a:xfrm>
        <a:prstGeom prst="line">
          <a:avLst/>
        </a:prstGeom>
        <a:noFill/>
        <a:ln w="9525">
          <a:solidFill>
            <a:srgbClr val="000000"/>
          </a:solidFill>
          <a:prstDash val="sysDot"/>
          <a:round/>
          <a:headEnd/>
          <a:tailEnd/>
        </a:ln>
      </xdr:spPr>
    </xdr:sp>
    <xdr:clientData/>
  </xdr:twoCellAnchor>
  <xdr:twoCellAnchor>
    <xdr:from>
      <xdr:col>32</xdr:col>
      <xdr:colOff>0</xdr:colOff>
      <xdr:row>85</xdr:row>
      <xdr:rowOff>0</xdr:rowOff>
    </xdr:from>
    <xdr:to>
      <xdr:col>32</xdr:col>
      <xdr:colOff>0</xdr:colOff>
      <xdr:row>85</xdr:row>
      <xdr:rowOff>0</xdr:rowOff>
    </xdr:to>
    <xdr:sp macro="" textlink="">
      <xdr:nvSpPr>
        <xdr:cNvPr id="8" name="Line 19">
          <a:extLst>
            <a:ext uri="{FF2B5EF4-FFF2-40B4-BE49-F238E27FC236}">
              <a16:creationId xmlns:a16="http://schemas.microsoft.com/office/drawing/2014/main" id="{00000000-0008-0000-1100-000008000000}"/>
            </a:ext>
          </a:extLst>
        </xdr:cNvPr>
        <xdr:cNvSpPr>
          <a:spLocks noChangeShapeType="1"/>
        </xdr:cNvSpPr>
      </xdr:nvSpPr>
      <xdr:spPr bwMode="auto">
        <a:xfrm>
          <a:off x="16992600" y="14773275"/>
          <a:ext cx="0" cy="0"/>
        </a:xfrm>
        <a:prstGeom prst="line">
          <a:avLst/>
        </a:prstGeom>
        <a:noFill/>
        <a:ln w="9525">
          <a:solidFill>
            <a:srgbClr val="000000"/>
          </a:solidFill>
          <a:prstDash val="sysDot"/>
          <a:round/>
          <a:headEnd/>
          <a:tailEnd/>
        </a:ln>
      </xdr:spPr>
    </xdr:sp>
    <xdr:clientData/>
  </xdr:twoCellAnchor>
  <xdr:twoCellAnchor>
    <xdr:from>
      <xdr:col>32</xdr:col>
      <xdr:colOff>0</xdr:colOff>
      <xdr:row>87</xdr:row>
      <xdr:rowOff>0</xdr:rowOff>
    </xdr:from>
    <xdr:to>
      <xdr:col>32</xdr:col>
      <xdr:colOff>0</xdr:colOff>
      <xdr:row>87</xdr:row>
      <xdr:rowOff>0</xdr:rowOff>
    </xdr:to>
    <xdr:sp macro="" textlink="">
      <xdr:nvSpPr>
        <xdr:cNvPr id="9" name="Line 20">
          <a:extLst>
            <a:ext uri="{FF2B5EF4-FFF2-40B4-BE49-F238E27FC236}">
              <a16:creationId xmlns:a16="http://schemas.microsoft.com/office/drawing/2014/main" id="{00000000-0008-0000-1100-000009000000}"/>
            </a:ext>
          </a:extLst>
        </xdr:cNvPr>
        <xdr:cNvSpPr>
          <a:spLocks noChangeShapeType="1"/>
        </xdr:cNvSpPr>
      </xdr:nvSpPr>
      <xdr:spPr bwMode="auto">
        <a:xfrm>
          <a:off x="16992600" y="15059025"/>
          <a:ext cx="0" cy="0"/>
        </a:xfrm>
        <a:prstGeom prst="line">
          <a:avLst/>
        </a:prstGeom>
        <a:noFill/>
        <a:ln w="9525">
          <a:solidFill>
            <a:srgbClr val="000000"/>
          </a:solidFill>
          <a:prstDash val="sysDot"/>
          <a:round/>
          <a:headEnd/>
          <a:tailEnd/>
        </a:ln>
      </xdr:spPr>
    </xdr:sp>
    <xdr:clientData/>
  </xdr:twoCellAnchor>
  <xdr:twoCellAnchor>
    <xdr:from>
      <xdr:col>34</xdr:col>
      <xdr:colOff>0</xdr:colOff>
      <xdr:row>83</xdr:row>
      <xdr:rowOff>0</xdr:rowOff>
    </xdr:from>
    <xdr:to>
      <xdr:col>34</xdr:col>
      <xdr:colOff>0</xdr:colOff>
      <xdr:row>83</xdr:row>
      <xdr:rowOff>0</xdr:rowOff>
    </xdr:to>
    <xdr:sp macro="" textlink="">
      <xdr:nvSpPr>
        <xdr:cNvPr id="10" name="Line 29">
          <a:extLst>
            <a:ext uri="{FF2B5EF4-FFF2-40B4-BE49-F238E27FC236}">
              <a16:creationId xmlns:a16="http://schemas.microsoft.com/office/drawing/2014/main" id="{00000000-0008-0000-1100-00000A000000}"/>
            </a:ext>
          </a:extLst>
        </xdr:cNvPr>
        <xdr:cNvSpPr>
          <a:spLocks noChangeShapeType="1"/>
        </xdr:cNvSpPr>
      </xdr:nvSpPr>
      <xdr:spPr bwMode="auto">
        <a:xfrm>
          <a:off x="18573750" y="14468475"/>
          <a:ext cx="0" cy="0"/>
        </a:xfrm>
        <a:prstGeom prst="line">
          <a:avLst/>
        </a:prstGeom>
        <a:noFill/>
        <a:ln w="9525">
          <a:solidFill>
            <a:srgbClr val="000000"/>
          </a:solidFill>
          <a:prstDash val="sysDot"/>
          <a:round/>
          <a:headEnd/>
          <a:tailEnd/>
        </a:ln>
      </xdr:spPr>
    </xdr:sp>
    <xdr:clientData/>
  </xdr:twoCellAnchor>
  <xdr:twoCellAnchor>
    <xdr:from>
      <xdr:col>34</xdr:col>
      <xdr:colOff>0</xdr:colOff>
      <xdr:row>85</xdr:row>
      <xdr:rowOff>0</xdr:rowOff>
    </xdr:from>
    <xdr:to>
      <xdr:col>34</xdr:col>
      <xdr:colOff>9525</xdr:colOff>
      <xdr:row>85</xdr:row>
      <xdr:rowOff>0</xdr:rowOff>
    </xdr:to>
    <xdr:sp macro="" textlink="">
      <xdr:nvSpPr>
        <xdr:cNvPr id="11" name="Line 31">
          <a:extLst>
            <a:ext uri="{FF2B5EF4-FFF2-40B4-BE49-F238E27FC236}">
              <a16:creationId xmlns:a16="http://schemas.microsoft.com/office/drawing/2014/main" id="{00000000-0008-0000-1100-00000B000000}"/>
            </a:ext>
          </a:extLst>
        </xdr:cNvPr>
        <xdr:cNvSpPr>
          <a:spLocks noChangeShapeType="1"/>
        </xdr:cNvSpPr>
      </xdr:nvSpPr>
      <xdr:spPr bwMode="auto">
        <a:xfrm>
          <a:off x="18573750" y="14773275"/>
          <a:ext cx="9525" cy="0"/>
        </a:xfrm>
        <a:prstGeom prst="line">
          <a:avLst/>
        </a:prstGeom>
        <a:noFill/>
        <a:ln w="9525">
          <a:solidFill>
            <a:srgbClr val="000000"/>
          </a:solidFill>
          <a:prstDash val="sysDot"/>
          <a:round/>
          <a:headEnd/>
          <a:tailEnd/>
        </a:ln>
      </xdr:spPr>
    </xdr:sp>
    <xdr:clientData/>
  </xdr:twoCellAnchor>
  <xdr:twoCellAnchor>
    <xdr:from>
      <xdr:col>34</xdr:col>
      <xdr:colOff>0</xdr:colOff>
      <xdr:row>91</xdr:row>
      <xdr:rowOff>0</xdr:rowOff>
    </xdr:from>
    <xdr:to>
      <xdr:col>34</xdr:col>
      <xdr:colOff>0</xdr:colOff>
      <xdr:row>91</xdr:row>
      <xdr:rowOff>0</xdr:rowOff>
    </xdr:to>
    <xdr:sp macro="" textlink="">
      <xdr:nvSpPr>
        <xdr:cNvPr id="12" name="Line 32">
          <a:extLst>
            <a:ext uri="{FF2B5EF4-FFF2-40B4-BE49-F238E27FC236}">
              <a16:creationId xmlns:a16="http://schemas.microsoft.com/office/drawing/2014/main" id="{00000000-0008-0000-1100-00000C000000}"/>
            </a:ext>
          </a:extLst>
        </xdr:cNvPr>
        <xdr:cNvSpPr>
          <a:spLocks noChangeShapeType="1"/>
        </xdr:cNvSpPr>
      </xdr:nvSpPr>
      <xdr:spPr bwMode="auto">
        <a:xfrm>
          <a:off x="18573750" y="15630525"/>
          <a:ext cx="0" cy="0"/>
        </a:xfrm>
        <a:prstGeom prst="line">
          <a:avLst/>
        </a:prstGeom>
        <a:noFill/>
        <a:ln w="9525">
          <a:solidFill>
            <a:srgbClr val="000000"/>
          </a:solidFill>
          <a:prstDash val="sysDot"/>
          <a:round/>
          <a:headEnd/>
          <a:tailEnd/>
        </a:ln>
      </xdr:spPr>
    </xdr:sp>
    <xdr:clientData/>
  </xdr:twoCellAnchor>
  <xdr:twoCellAnchor>
    <xdr:from>
      <xdr:col>34</xdr:col>
      <xdr:colOff>0</xdr:colOff>
      <xdr:row>94</xdr:row>
      <xdr:rowOff>0</xdr:rowOff>
    </xdr:from>
    <xdr:to>
      <xdr:col>34</xdr:col>
      <xdr:colOff>0</xdr:colOff>
      <xdr:row>94</xdr:row>
      <xdr:rowOff>0</xdr:rowOff>
    </xdr:to>
    <xdr:sp macro="" textlink="">
      <xdr:nvSpPr>
        <xdr:cNvPr id="13" name="Line 35">
          <a:extLst>
            <a:ext uri="{FF2B5EF4-FFF2-40B4-BE49-F238E27FC236}">
              <a16:creationId xmlns:a16="http://schemas.microsoft.com/office/drawing/2014/main" id="{00000000-0008-0000-1100-00000D000000}"/>
            </a:ext>
          </a:extLst>
        </xdr:cNvPr>
        <xdr:cNvSpPr>
          <a:spLocks noChangeShapeType="1"/>
        </xdr:cNvSpPr>
      </xdr:nvSpPr>
      <xdr:spPr bwMode="auto">
        <a:xfrm>
          <a:off x="18573750" y="16059150"/>
          <a:ext cx="0" cy="0"/>
        </a:xfrm>
        <a:prstGeom prst="line">
          <a:avLst/>
        </a:prstGeom>
        <a:noFill/>
        <a:ln w="9525">
          <a:solidFill>
            <a:srgbClr val="000000"/>
          </a:solidFill>
          <a:prstDash val="sysDot"/>
          <a:round/>
          <a:headEnd/>
          <a:tailEnd/>
        </a:ln>
      </xdr:spPr>
    </xdr:sp>
    <xdr:clientData/>
  </xdr:twoCellAnchor>
  <xdr:twoCellAnchor>
    <xdr:from>
      <xdr:col>34</xdr:col>
      <xdr:colOff>0</xdr:colOff>
      <xdr:row>89</xdr:row>
      <xdr:rowOff>0</xdr:rowOff>
    </xdr:from>
    <xdr:to>
      <xdr:col>34</xdr:col>
      <xdr:colOff>0</xdr:colOff>
      <xdr:row>89</xdr:row>
      <xdr:rowOff>0</xdr:rowOff>
    </xdr:to>
    <xdr:sp macro="" textlink="">
      <xdr:nvSpPr>
        <xdr:cNvPr id="14" name="Line 29">
          <a:extLst>
            <a:ext uri="{FF2B5EF4-FFF2-40B4-BE49-F238E27FC236}">
              <a16:creationId xmlns:a16="http://schemas.microsoft.com/office/drawing/2014/main" id="{00000000-0008-0000-1100-00000E000000}"/>
            </a:ext>
          </a:extLst>
        </xdr:cNvPr>
        <xdr:cNvSpPr>
          <a:spLocks noChangeShapeType="1"/>
        </xdr:cNvSpPr>
      </xdr:nvSpPr>
      <xdr:spPr bwMode="auto">
        <a:xfrm>
          <a:off x="18573750" y="15344775"/>
          <a:ext cx="0" cy="0"/>
        </a:xfrm>
        <a:prstGeom prst="line">
          <a:avLst/>
        </a:prstGeom>
        <a:noFill/>
        <a:ln w="9525">
          <a:solidFill>
            <a:srgbClr val="000000"/>
          </a:solidFill>
          <a:prstDash val="sysDot"/>
          <a:round/>
          <a:headEnd/>
          <a:tailEnd/>
        </a:ln>
      </xdr:spPr>
    </xdr:sp>
    <xdr:clientData/>
  </xdr:twoCellAnchor>
  <xdr:twoCellAnchor>
    <xdr:from>
      <xdr:col>34</xdr:col>
      <xdr:colOff>0</xdr:colOff>
      <xdr:row>91</xdr:row>
      <xdr:rowOff>0</xdr:rowOff>
    </xdr:from>
    <xdr:to>
      <xdr:col>34</xdr:col>
      <xdr:colOff>9525</xdr:colOff>
      <xdr:row>91</xdr:row>
      <xdr:rowOff>0</xdr:rowOff>
    </xdr:to>
    <xdr:sp macro="" textlink="">
      <xdr:nvSpPr>
        <xdr:cNvPr id="15" name="Line 31">
          <a:extLst>
            <a:ext uri="{FF2B5EF4-FFF2-40B4-BE49-F238E27FC236}">
              <a16:creationId xmlns:a16="http://schemas.microsoft.com/office/drawing/2014/main" id="{00000000-0008-0000-1100-00000F000000}"/>
            </a:ext>
          </a:extLst>
        </xdr:cNvPr>
        <xdr:cNvSpPr>
          <a:spLocks noChangeShapeType="1"/>
        </xdr:cNvSpPr>
      </xdr:nvSpPr>
      <xdr:spPr bwMode="auto">
        <a:xfrm>
          <a:off x="18573750" y="156305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97</xdr:row>
      <xdr:rowOff>0</xdr:rowOff>
    </xdr:from>
    <xdr:to>
      <xdr:col>34</xdr:col>
      <xdr:colOff>0</xdr:colOff>
      <xdr:row>97</xdr:row>
      <xdr:rowOff>0</xdr:rowOff>
    </xdr:to>
    <xdr:sp macro="" textlink="">
      <xdr:nvSpPr>
        <xdr:cNvPr id="16" name="Line 32">
          <a:extLst>
            <a:ext uri="{FF2B5EF4-FFF2-40B4-BE49-F238E27FC236}">
              <a16:creationId xmlns:a16="http://schemas.microsoft.com/office/drawing/2014/main" id="{00000000-0008-0000-1100-000010000000}"/>
            </a:ext>
          </a:extLst>
        </xdr:cNvPr>
        <xdr:cNvSpPr>
          <a:spLocks noChangeShapeType="1"/>
        </xdr:cNvSpPr>
      </xdr:nvSpPr>
      <xdr:spPr bwMode="auto">
        <a:xfrm>
          <a:off x="18573750" y="16487775"/>
          <a:ext cx="0" cy="0"/>
        </a:xfrm>
        <a:prstGeom prst="line">
          <a:avLst/>
        </a:prstGeom>
        <a:noFill/>
        <a:ln w="9525">
          <a:solidFill>
            <a:srgbClr val="000000"/>
          </a:solidFill>
          <a:prstDash val="sysDot"/>
          <a:round/>
          <a:headEnd/>
          <a:tailEnd/>
        </a:ln>
      </xdr:spPr>
    </xdr:sp>
    <xdr:clientData/>
  </xdr:twoCellAnchor>
  <xdr:twoCellAnchor>
    <xdr:from>
      <xdr:col>34</xdr:col>
      <xdr:colOff>0</xdr:colOff>
      <xdr:row>98</xdr:row>
      <xdr:rowOff>0</xdr:rowOff>
    </xdr:from>
    <xdr:to>
      <xdr:col>34</xdr:col>
      <xdr:colOff>0</xdr:colOff>
      <xdr:row>98</xdr:row>
      <xdr:rowOff>0</xdr:rowOff>
    </xdr:to>
    <xdr:sp macro="" textlink="">
      <xdr:nvSpPr>
        <xdr:cNvPr id="17" name="Line 34">
          <a:extLst>
            <a:ext uri="{FF2B5EF4-FFF2-40B4-BE49-F238E27FC236}">
              <a16:creationId xmlns:a16="http://schemas.microsoft.com/office/drawing/2014/main" id="{00000000-0008-0000-1100-000011000000}"/>
            </a:ext>
          </a:extLst>
        </xdr:cNvPr>
        <xdr:cNvSpPr>
          <a:spLocks noChangeShapeType="1"/>
        </xdr:cNvSpPr>
      </xdr:nvSpPr>
      <xdr:spPr bwMode="auto">
        <a:xfrm>
          <a:off x="18573750" y="16630650"/>
          <a:ext cx="0" cy="0"/>
        </a:xfrm>
        <a:prstGeom prst="line">
          <a:avLst/>
        </a:prstGeom>
        <a:noFill/>
        <a:ln w="9525">
          <a:solidFill>
            <a:srgbClr val="000000"/>
          </a:solidFill>
          <a:prstDash val="sysDot"/>
          <a:round/>
          <a:headEnd/>
          <a:tailEnd/>
        </a:ln>
      </xdr:spPr>
    </xdr:sp>
    <xdr:clientData/>
  </xdr:twoCellAnchor>
  <xdr:twoCellAnchor>
    <xdr:from>
      <xdr:col>32</xdr:col>
      <xdr:colOff>0</xdr:colOff>
      <xdr:row>75</xdr:row>
      <xdr:rowOff>0</xdr:rowOff>
    </xdr:from>
    <xdr:to>
      <xdr:col>32</xdr:col>
      <xdr:colOff>0</xdr:colOff>
      <xdr:row>75</xdr:row>
      <xdr:rowOff>0</xdr:rowOff>
    </xdr:to>
    <xdr:sp macro="" textlink="">
      <xdr:nvSpPr>
        <xdr:cNvPr id="18" name="Line 8">
          <a:extLst>
            <a:ext uri="{FF2B5EF4-FFF2-40B4-BE49-F238E27FC236}">
              <a16:creationId xmlns:a16="http://schemas.microsoft.com/office/drawing/2014/main" id="{00000000-0008-0000-1100-000012000000}"/>
            </a:ext>
          </a:extLst>
        </xdr:cNvPr>
        <xdr:cNvSpPr>
          <a:spLocks noChangeShapeType="1"/>
        </xdr:cNvSpPr>
      </xdr:nvSpPr>
      <xdr:spPr bwMode="auto">
        <a:xfrm>
          <a:off x="16992600" y="13163550"/>
          <a:ext cx="0" cy="0"/>
        </a:xfrm>
        <a:prstGeom prst="line">
          <a:avLst/>
        </a:prstGeom>
        <a:noFill/>
        <a:ln w="9525">
          <a:solidFill>
            <a:srgbClr val="000000"/>
          </a:solidFill>
          <a:prstDash val="sysDot"/>
          <a:round/>
          <a:headEnd/>
          <a:tailEnd/>
        </a:ln>
      </xdr:spPr>
    </xdr:sp>
    <xdr:clientData/>
  </xdr:twoCellAnchor>
  <xdr:twoCellAnchor>
    <xdr:from>
      <xdr:col>32</xdr:col>
      <xdr:colOff>0</xdr:colOff>
      <xdr:row>77</xdr:row>
      <xdr:rowOff>0</xdr:rowOff>
    </xdr:from>
    <xdr:to>
      <xdr:col>32</xdr:col>
      <xdr:colOff>0</xdr:colOff>
      <xdr:row>77</xdr:row>
      <xdr:rowOff>0</xdr:rowOff>
    </xdr:to>
    <xdr:sp macro="" textlink="">
      <xdr:nvSpPr>
        <xdr:cNvPr id="19" name="Line 9">
          <a:extLst>
            <a:ext uri="{FF2B5EF4-FFF2-40B4-BE49-F238E27FC236}">
              <a16:creationId xmlns:a16="http://schemas.microsoft.com/office/drawing/2014/main" id="{00000000-0008-0000-1100-000013000000}"/>
            </a:ext>
          </a:extLst>
        </xdr:cNvPr>
        <xdr:cNvSpPr>
          <a:spLocks noChangeShapeType="1"/>
        </xdr:cNvSpPr>
      </xdr:nvSpPr>
      <xdr:spPr bwMode="auto">
        <a:xfrm>
          <a:off x="16992600" y="13573125"/>
          <a:ext cx="0" cy="0"/>
        </a:xfrm>
        <a:prstGeom prst="line">
          <a:avLst/>
        </a:prstGeom>
        <a:noFill/>
        <a:ln w="9525">
          <a:solidFill>
            <a:srgbClr val="000000"/>
          </a:solidFill>
          <a:prstDash val="sysDot"/>
          <a:round/>
          <a:headEnd/>
          <a:tailEnd/>
        </a:ln>
      </xdr:spPr>
    </xdr:sp>
    <xdr:clientData/>
  </xdr:twoCellAnchor>
  <xdr:twoCellAnchor>
    <xdr:from>
      <xdr:col>32</xdr:col>
      <xdr:colOff>0</xdr:colOff>
      <xdr:row>80</xdr:row>
      <xdr:rowOff>0</xdr:rowOff>
    </xdr:from>
    <xdr:to>
      <xdr:col>32</xdr:col>
      <xdr:colOff>0</xdr:colOff>
      <xdr:row>80</xdr:row>
      <xdr:rowOff>0</xdr:rowOff>
    </xdr:to>
    <xdr:sp macro="" textlink="">
      <xdr:nvSpPr>
        <xdr:cNvPr id="21" name="Line 18">
          <a:extLst>
            <a:ext uri="{FF2B5EF4-FFF2-40B4-BE49-F238E27FC236}">
              <a16:creationId xmlns:a16="http://schemas.microsoft.com/office/drawing/2014/main" id="{00000000-0008-0000-1100-000015000000}"/>
            </a:ext>
          </a:extLst>
        </xdr:cNvPr>
        <xdr:cNvSpPr>
          <a:spLocks noChangeShapeType="1"/>
        </xdr:cNvSpPr>
      </xdr:nvSpPr>
      <xdr:spPr bwMode="auto">
        <a:xfrm>
          <a:off x="16992600" y="14039850"/>
          <a:ext cx="0" cy="0"/>
        </a:xfrm>
        <a:prstGeom prst="line">
          <a:avLst/>
        </a:prstGeom>
        <a:noFill/>
        <a:ln w="9525">
          <a:solidFill>
            <a:srgbClr val="000000"/>
          </a:solidFill>
          <a:prstDash val="sysDot"/>
          <a:round/>
          <a:headEnd/>
          <a:tailEnd/>
        </a:ln>
      </xdr:spPr>
    </xdr:sp>
    <xdr:clientData/>
  </xdr:twoCellAnchor>
  <xdr:twoCellAnchor>
    <xdr:from>
      <xdr:col>32</xdr:col>
      <xdr:colOff>0</xdr:colOff>
      <xdr:row>81</xdr:row>
      <xdr:rowOff>0</xdr:rowOff>
    </xdr:from>
    <xdr:to>
      <xdr:col>32</xdr:col>
      <xdr:colOff>0</xdr:colOff>
      <xdr:row>81</xdr:row>
      <xdr:rowOff>0</xdr:rowOff>
    </xdr:to>
    <xdr:sp macro="" textlink="">
      <xdr:nvSpPr>
        <xdr:cNvPr id="22" name="Line 19">
          <a:extLst>
            <a:ext uri="{FF2B5EF4-FFF2-40B4-BE49-F238E27FC236}">
              <a16:creationId xmlns:a16="http://schemas.microsoft.com/office/drawing/2014/main" id="{00000000-0008-0000-1100-000016000000}"/>
            </a:ext>
          </a:extLst>
        </xdr:cNvPr>
        <xdr:cNvSpPr>
          <a:spLocks noChangeShapeType="1"/>
        </xdr:cNvSpPr>
      </xdr:nvSpPr>
      <xdr:spPr bwMode="auto">
        <a:xfrm>
          <a:off x="16992600" y="14182725"/>
          <a:ext cx="0" cy="0"/>
        </a:xfrm>
        <a:prstGeom prst="line">
          <a:avLst/>
        </a:prstGeom>
        <a:noFill/>
        <a:ln w="9525">
          <a:solidFill>
            <a:srgbClr val="000000"/>
          </a:solidFill>
          <a:prstDash val="sysDot"/>
          <a:round/>
          <a:headEnd/>
          <a:tailEnd/>
        </a:ln>
      </xdr:spPr>
    </xdr:sp>
    <xdr:clientData/>
  </xdr:twoCellAnchor>
  <xdr:twoCellAnchor>
    <xdr:from>
      <xdr:col>32</xdr:col>
      <xdr:colOff>0</xdr:colOff>
      <xdr:row>83</xdr:row>
      <xdr:rowOff>0</xdr:rowOff>
    </xdr:from>
    <xdr:to>
      <xdr:col>32</xdr:col>
      <xdr:colOff>0</xdr:colOff>
      <xdr:row>83</xdr:row>
      <xdr:rowOff>0</xdr:rowOff>
    </xdr:to>
    <xdr:sp macro="" textlink="">
      <xdr:nvSpPr>
        <xdr:cNvPr id="23" name="Line 20">
          <a:extLst>
            <a:ext uri="{FF2B5EF4-FFF2-40B4-BE49-F238E27FC236}">
              <a16:creationId xmlns:a16="http://schemas.microsoft.com/office/drawing/2014/main" id="{00000000-0008-0000-1100-000017000000}"/>
            </a:ext>
          </a:extLst>
        </xdr:cNvPr>
        <xdr:cNvSpPr>
          <a:spLocks noChangeShapeType="1"/>
        </xdr:cNvSpPr>
      </xdr:nvSpPr>
      <xdr:spPr bwMode="auto">
        <a:xfrm>
          <a:off x="16992600" y="14468475"/>
          <a:ext cx="0" cy="0"/>
        </a:xfrm>
        <a:prstGeom prst="line">
          <a:avLst/>
        </a:prstGeom>
        <a:noFill/>
        <a:ln w="9525">
          <a:solidFill>
            <a:srgbClr val="000000"/>
          </a:solidFill>
          <a:prstDash val="sysDot"/>
          <a:round/>
          <a:headEnd/>
          <a:tailEnd/>
        </a:ln>
      </xdr:spPr>
    </xdr:sp>
    <xdr:clientData/>
  </xdr:twoCellAnchor>
  <xdr:twoCellAnchor>
    <xdr:from>
      <xdr:col>34</xdr:col>
      <xdr:colOff>0</xdr:colOff>
      <xdr:row>79</xdr:row>
      <xdr:rowOff>0</xdr:rowOff>
    </xdr:from>
    <xdr:to>
      <xdr:col>34</xdr:col>
      <xdr:colOff>0</xdr:colOff>
      <xdr:row>79</xdr:row>
      <xdr:rowOff>0</xdr:rowOff>
    </xdr:to>
    <xdr:sp macro="" textlink="">
      <xdr:nvSpPr>
        <xdr:cNvPr id="24" name="Line 29">
          <a:extLst>
            <a:ext uri="{FF2B5EF4-FFF2-40B4-BE49-F238E27FC236}">
              <a16:creationId xmlns:a16="http://schemas.microsoft.com/office/drawing/2014/main" id="{00000000-0008-0000-1100-000018000000}"/>
            </a:ext>
          </a:extLst>
        </xdr:cNvPr>
        <xdr:cNvSpPr>
          <a:spLocks noChangeShapeType="1"/>
        </xdr:cNvSpPr>
      </xdr:nvSpPr>
      <xdr:spPr bwMode="auto">
        <a:xfrm>
          <a:off x="18573750" y="13896975"/>
          <a:ext cx="0" cy="0"/>
        </a:xfrm>
        <a:prstGeom prst="line">
          <a:avLst/>
        </a:prstGeom>
        <a:noFill/>
        <a:ln w="9525">
          <a:solidFill>
            <a:srgbClr val="000000"/>
          </a:solidFill>
          <a:prstDash val="sysDot"/>
          <a:round/>
          <a:headEnd/>
          <a:tailEnd/>
        </a:ln>
      </xdr:spPr>
    </xdr:sp>
    <xdr:clientData/>
  </xdr:twoCellAnchor>
  <xdr:twoCellAnchor>
    <xdr:from>
      <xdr:col>34</xdr:col>
      <xdr:colOff>0</xdr:colOff>
      <xdr:row>81</xdr:row>
      <xdr:rowOff>0</xdr:rowOff>
    </xdr:from>
    <xdr:to>
      <xdr:col>34</xdr:col>
      <xdr:colOff>9525</xdr:colOff>
      <xdr:row>81</xdr:row>
      <xdr:rowOff>0</xdr:rowOff>
    </xdr:to>
    <xdr:sp macro="" textlink="">
      <xdr:nvSpPr>
        <xdr:cNvPr id="25" name="Line 31">
          <a:extLst>
            <a:ext uri="{FF2B5EF4-FFF2-40B4-BE49-F238E27FC236}">
              <a16:creationId xmlns:a16="http://schemas.microsoft.com/office/drawing/2014/main" id="{00000000-0008-0000-1100-000019000000}"/>
            </a:ext>
          </a:extLst>
        </xdr:cNvPr>
        <xdr:cNvSpPr>
          <a:spLocks noChangeShapeType="1"/>
        </xdr:cNvSpPr>
      </xdr:nvSpPr>
      <xdr:spPr bwMode="auto">
        <a:xfrm>
          <a:off x="18573750" y="141827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87</xdr:row>
      <xdr:rowOff>0</xdr:rowOff>
    </xdr:from>
    <xdr:to>
      <xdr:col>34</xdr:col>
      <xdr:colOff>0</xdr:colOff>
      <xdr:row>87</xdr:row>
      <xdr:rowOff>0</xdr:rowOff>
    </xdr:to>
    <xdr:sp macro="" textlink="">
      <xdr:nvSpPr>
        <xdr:cNvPr id="26" name="Line 32">
          <a:extLst>
            <a:ext uri="{FF2B5EF4-FFF2-40B4-BE49-F238E27FC236}">
              <a16:creationId xmlns:a16="http://schemas.microsoft.com/office/drawing/2014/main" id="{00000000-0008-0000-1100-00001A000000}"/>
            </a:ext>
          </a:extLst>
        </xdr:cNvPr>
        <xdr:cNvSpPr>
          <a:spLocks noChangeShapeType="1"/>
        </xdr:cNvSpPr>
      </xdr:nvSpPr>
      <xdr:spPr bwMode="auto">
        <a:xfrm>
          <a:off x="18573750" y="15059025"/>
          <a:ext cx="0" cy="0"/>
        </a:xfrm>
        <a:prstGeom prst="line">
          <a:avLst/>
        </a:prstGeom>
        <a:noFill/>
        <a:ln w="9525">
          <a:solidFill>
            <a:srgbClr val="000000"/>
          </a:solidFill>
          <a:prstDash val="sysDot"/>
          <a:round/>
          <a:headEnd/>
          <a:tailEnd/>
        </a:ln>
      </xdr:spPr>
    </xdr:sp>
    <xdr:clientData/>
  </xdr:twoCellAnchor>
  <xdr:twoCellAnchor>
    <xdr:from>
      <xdr:col>34</xdr:col>
      <xdr:colOff>0</xdr:colOff>
      <xdr:row>90</xdr:row>
      <xdr:rowOff>0</xdr:rowOff>
    </xdr:from>
    <xdr:to>
      <xdr:col>34</xdr:col>
      <xdr:colOff>0</xdr:colOff>
      <xdr:row>90</xdr:row>
      <xdr:rowOff>0</xdr:rowOff>
    </xdr:to>
    <xdr:sp macro="" textlink="">
      <xdr:nvSpPr>
        <xdr:cNvPr id="27" name="Line 35">
          <a:extLst>
            <a:ext uri="{FF2B5EF4-FFF2-40B4-BE49-F238E27FC236}">
              <a16:creationId xmlns:a16="http://schemas.microsoft.com/office/drawing/2014/main" id="{00000000-0008-0000-1100-00001B000000}"/>
            </a:ext>
          </a:extLst>
        </xdr:cNvPr>
        <xdr:cNvSpPr>
          <a:spLocks noChangeShapeType="1"/>
        </xdr:cNvSpPr>
      </xdr:nvSpPr>
      <xdr:spPr bwMode="auto">
        <a:xfrm>
          <a:off x="18573750" y="15487650"/>
          <a:ext cx="0" cy="0"/>
        </a:xfrm>
        <a:prstGeom prst="line">
          <a:avLst/>
        </a:prstGeom>
        <a:noFill/>
        <a:ln w="9525">
          <a:solidFill>
            <a:srgbClr val="000000"/>
          </a:solidFill>
          <a:prstDash val="sysDot"/>
          <a:round/>
          <a:headEnd/>
          <a:tailEnd/>
        </a:ln>
      </xdr:spPr>
    </xdr:sp>
    <xdr:clientData/>
  </xdr:twoCellAnchor>
  <xdr:twoCellAnchor>
    <xdr:from>
      <xdr:col>34</xdr:col>
      <xdr:colOff>0</xdr:colOff>
      <xdr:row>85</xdr:row>
      <xdr:rowOff>0</xdr:rowOff>
    </xdr:from>
    <xdr:to>
      <xdr:col>34</xdr:col>
      <xdr:colOff>0</xdr:colOff>
      <xdr:row>85</xdr:row>
      <xdr:rowOff>0</xdr:rowOff>
    </xdr:to>
    <xdr:sp macro="" textlink="">
      <xdr:nvSpPr>
        <xdr:cNvPr id="28" name="Line 29">
          <a:extLst>
            <a:ext uri="{FF2B5EF4-FFF2-40B4-BE49-F238E27FC236}">
              <a16:creationId xmlns:a16="http://schemas.microsoft.com/office/drawing/2014/main" id="{00000000-0008-0000-1100-00001C000000}"/>
            </a:ext>
          </a:extLst>
        </xdr:cNvPr>
        <xdr:cNvSpPr>
          <a:spLocks noChangeShapeType="1"/>
        </xdr:cNvSpPr>
      </xdr:nvSpPr>
      <xdr:spPr bwMode="auto">
        <a:xfrm>
          <a:off x="18573750" y="14773275"/>
          <a:ext cx="0" cy="0"/>
        </a:xfrm>
        <a:prstGeom prst="line">
          <a:avLst/>
        </a:prstGeom>
        <a:noFill/>
        <a:ln w="9525">
          <a:solidFill>
            <a:srgbClr val="000000"/>
          </a:solidFill>
          <a:prstDash val="sysDot"/>
          <a:round/>
          <a:headEnd/>
          <a:tailEnd/>
        </a:ln>
      </xdr:spPr>
    </xdr:sp>
    <xdr:clientData/>
  </xdr:twoCellAnchor>
  <xdr:twoCellAnchor>
    <xdr:from>
      <xdr:col>34</xdr:col>
      <xdr:colOff>0</xdr:colOff>
      <xdr:row>87</xdr:row>
      <xdr:rowOff>0</xdr:rowOff>
    </xdr:from>
    <xdr:to>
      <xdr:col>34</xdr:col>
      <xdr:colOff>9525</xdr:colOff>
      <xdr:row>87</xdr:row>
      <xdr:rowOff>0</xdr:rowOff>
    </xdr:to>
    <xdr:sp macro="" textlink="">
      <xdr:nvSpPr>
        <xdr:cNvPr id="29" name="Line 31">
          <a:extLst>
            <a:ext uri="{FF2B5EF4-FFF2-40B4-BE49-F238E27FC236}">
              <a16:creationId xmlns:a16="http://schemas.microsoft.com/office/drawing/2014/main" id="{00000000-0008-0000-1100-00001D000000}"/>
            </a:ext>
          </a:extLst>
        </xdr:cNvPr>
        <xdr:cNvSpPr>
          <a:spLocks noChangeShapeType="1"/>
        </xdr:cNvSpPr>
      </xdr:nvSpPr>
      <xdr:spPr bwMode="auto">
        <a:xfrm>
          <a:off x="18573750" y="150590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93</xdr:row>
      <xdr:rowOff>0</xdr:rowOff>
    </xdr:from>
    <xdr:to>
      <xdr:col>34</xdr:col>
      <xdr:colOff>0</xdr:colOff>
      <xdr:row>93</xdr:row>
      <xdr:rowOff>0</xdr:rowOff>
    </xdr:to>
    <xdr:sp macro="" textlink="">
      <xdr:nvSpPr>
        <xdr:cNvPr id="30" name="Line 32">
          <a:extLst>
            <a:ext uri="{FF2B5EF4-FFF2-40B4-BE49-F238E27FC236}">
              <a16:creationId xmlns:a16="http://schemas.microsoft.com/office/drawing/2014/main" id="{00000000-0008-0000-1100-00001E000000}"/>
            </a:ext>
          </a:extLst>
        </xdr:cNvPr>
        <xdr:cNvSpPr>
          <a:spLocks noChangeShapeType="1"/>
        </xdr:cNvSpPr>
      </xdr:nvSpPr>
      <xdr:spPr bwMode="auto">
        <a:xfrm>
          <a:off x="18573750" y="15916275"/>
          <a:ext cx="0" cy="0"/>
        </a:xfrm>
        <a:prstGeom prst="line">
          <a:avLst/>
        </a:prstGeom>
        <a:noFill/>
        <a:ln w="9525">
          <a:solidFill>
            <a:srgbClr val="000000"/>
          </a:solidFill>
          <a:prstDash val="sysDot"/>
          <a:round/>
          <a:headEnd/>
          <a:tailEnd/>
        </a:ln>
      </xdr:spPr>
    </xdr:sp>
    <xdr:clientData/>
  </xdr:twoCellAnchor>
  <xdr:twoCellAnchor>
    <xdr:from>
      <xdr:col>34</xdr:col>
      <xdr:colOff>0</xdr:colOff>
      <xdr:row>94</xdr:row>
      <xdr:rowOff>0</xdr:rowOff>
    </xdr:from>
    <xdr:to>
      <xdr:col>34</xdr:col>
      <xdr:colOff>0</xdr:colOff>
      <xdr:row>94</xdr:row>
      <xdr:rowOff>0</xdr:rowOff>
    </xdr:to>
    <xdr:sp macro="" textlink="">
      <xdr:nvSpPr>
        <xdr:cNvPr id="31" name="Line 34">
          <a:extLst>
            <a:ext uri="{FF2B5EF4-FFF2-40B4-BE49-F238E27FC236}">
              <a16:creationId xmlns:a16="http://schemas.microsoft.com/office/drawing/2014/main" id="{00000000-0008-0000-1100-00001F000000}"/>
            </a:ext>
          </a:extLst>
        </xdr:cNvPr>
        <xdr:cNvSpPr>
          <a:spLocks noChangeShapeType="1"/>
        </xdr:cNvSpPr>
      </xdr:nvSpPr>
      <xdr:spPr bwMode="auto">
        <a:xfrm>
          <a:off x="18573750" y="16059150"/>
          <a:ext cx="0" cy="0"/>
        </a:xfrm>
        <a:prstGeom prst="line">
          <a:avLst/>
        </a:prstGeom>
        <a:noFill/>
        <a:ln w="9525">
          <a:solidFill>
            <a:srgbClr val="000000"/>
          </a:solidFill>
          <a:prstDash val="sysDot"/>
          <a:round/>
          <a:headEnd/>
          <a:tailEnd/>
        </a:ln>
      </xdr:spPr>
    </xdr:sp>
    <xdr:clientData/>
  </xdr:twoCellAnchor>
</xdr:wsDr>
</file>

<file path=xl/drawings/drawing19.xml><?xml version="1.0" encoding="utf-8"?>
<xdr:wsDr xmlns:xdr="http://schemas.openxmlformats.org/drawingml/2006/spreadsheetDrawing" xmlns:a="http://schemas.openxmlformats.org/drawingml/2006/main">
  <xdr:twoCellAnchor>
    <xdr:from>
      <xdr:col>32</xdr:col>
      <xdr:colOff>0</xdr:colOff>
      <xdr:row>46</xdr:row>
      <xdr:rowOff>0</xdr:rowOff>
    </xdr:from>
    <xdr:to>
      <xdr:col>32</xdr:col>
      <xdr:colOff>0</xdr:colOff>
      <xdr:row>46</xdr:row>
      <xdr:rowOff>0</xdr:rowOff>
    </xdr:to>
    <xdr:sp macro="" textlink="">
      <xdr:nvSpPr>
        <xdr:cNvPr id="3" name="Line 5">
          <a:extLst>
            <a:ext uri="{FF2B5EF4-FFF2-40B4-BE49-F238E27FC236}">
              <a16:creationId xmlns:a16="http://schemas.microsoft.com/office/drawing/2014/main" id="{00000000-0008-0000-1200-000003000000}"/>
            </a:ext>
          </a:extLst>
        </xdr:cNvPr>
        <xdr:cNvSpPr>
          <a:spLocks noChangeShapeType="1"/>
        </xdr:cNvSpPr>
      </xdr:nvSpPr>
      <xdr:spPr bwMode="auto">
        <a:xfrm>
          <a:off x="21469350" y="7696200"/>
          <a:ext cx="0" cy="0"/>
        </a:xfrm>
        <a:prstGeom prst="line">
          <a:avLst/>
        </a:prstGeom>
        <a:noFill/>
        <a:ln w="9525">
          <a:solidFill>
            <a:srgbClr val="000000"/>
          </a:solidFill>
          <a:prstDash val="sysDot"/>
          <a:round/>
          <a:headEnd/>
          <a:tailEnd/>
        </a:ln>
      </xdr:spPr>
    </xdr:sp>
    <xdr:clientData/>
  </xdr:twoCellAnchor>
  <xdr:twoCellAnchor>
    <xdr:from>
      <xdr:col>32</xdr:col>
      <xdr:colOff>0</xdr:colOff>
      <xdr:row>47</xdr:row>
      <xdr:rowOff>0</xdr:rowOff>
    </xdr:from>
    <xdr:to>
      <xdr:col>32</xdr:col>
      <xdr:colOff>9525</xdr:colOff>
      <xdr:row>47</xdr:row>
      <xdr:rowOff>0</xdr:rowOff>
    </xdr:to>
    <xdr:sp macro="" textlink="">
      <xdr:nvSpPr>
        <xdr:cNvPr id="4" name="Line 7">
          <a:extLst>
            <a:ext uri="{FF2B5EF4-FFF2-40B4-BE49-F238E27FC236}">
              <a16:creationId xmlns:a16="http://schemas.microsoft.com/office/drawing/2014/main" id="{00000000-0008-0000-1200-000004000000}"/>
            </a:ext>
          </a:extLst>
        </xdr:cNvPr>
        <xdr:cNvSpPr>
          <a:spLocks noChangeShapeType="1"/>
        </xdr:cNvSpPr>
      </xdr:nvSpPr>
      <xdr:spPr bwMode="auto">
        <a:xfrm>
          <a:off x="21469350" y="78581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54</xdr:row>
      <xdr:rowOff>0</xdr:rowOff>
    </xdr:from>
    <xdr:to>
      <xdr:col>32</xdr:col>
      <xdr:colOff>0</xdr:colOff>
      <xdr:row>54</xdr:row>
      <xdr:rowOff>0</xdr:rowOff>
    </xdr:to>
    <xdr:sp macro="" textlink="">
      <xdr:nvSpPr>
        <xdr:cNvPr id="5" name="Line 8">
          <a:extLst>
            <a:ext uri="{FF2B5EF4-FFF2-40B4-BE49-F238E27FC236}">
              <a16:creationId xmlns:a16="http://schemas.microsoft.com/office/drawing/2014/main" id="{00000000-0008-0000-1200-000005000000}"/>
            </a:ext>
          </a:extLst>
        </xdr:cNvPr>
        <xdr:cNvSpPr>
          <a:spLocks noChangeShapeType="1"/>
        </xdr:cNvSpPr>
      </xdr:nvSpPr>
      <xdr:spPr bwMode="auto">
        <a:xfrm>
          <a:off x="21469350" y="8753475"/>
          <a:ext cx="0" cy="0"/>
        </a:xfrm>
        <a:prstGeom prst="line">
          <a:avLst/>
        </a:prstGeom>
        <a:noFill/>
        <a:ln w="9525">
          <a:solidFill>
            <a:srgbClr val="000000"/>
          </a:solidFill>
          <a:prstDash val="sysDot"/>
          <a:round/>
          <a:headEnd/>
          <a:tailEnd/>
        </a:ln>
      </xdr:spPr>
    </xdr:sp>
    <xdr:clientData/>
  </xdr:twoCellAnchor>
  <xdr:twoCellAnchor>
    <xdr:from>
      <xdr:col>32</xdr:col>
      <xdr:colOff>0</xdr:colOff>
      <xdr:row>54</xdr:row>
      <xdr:rowOff>0</xdr:rowOff>
    </xdr:from>
    <xdr:to>
      <xdr:col>32</xdr:col>
      <xdr:colOff>0</xdr:colOff>
      <xdr:row>54</xdr:row>
      <xdr:rowOff>0</xdr:rowOff>
    </xdr:to>
    <xdr:sp macro="" textlink="">
      <xdr:nvSpPr>
        <xdr:cNvPr id="6" name="Line 10">
          <a:extLst>
            <a:ext uri="{FF2B5EF4-FFF2-40B4-BE49-F238E27FC236}">
              <a16:creationId xmlns:a16="http://schemas.microsoft.com/office/drawing/2014/main" id="{00000000-0008-0000-1200-000006000000}"/>
            </a:ext>
          </a:extLst>
        </xdr:cNvPr>
        <xdr:cNvSpPr>
          <a:spLocks noChangeShapeType="1"/>
        </xdr:cNvSpPr>
      </xdr:nvSpPr>
      <xdr:spPr bwMode="auto">
        <a:xfrm>
          <a:off x="21469350" y="8896350"/>
          <a:ext cx="0" cy="0"/>
        </a:xfrm>
        <a:prstGeom prst="line">
          <a:avLst/>
        </a:prstGeom>
        <a:noFill/>
        <a:ln w="9525">
          <a:solidFill>
            <a:srgbClr val="000000"/>
          </a:solidFill>
          <a:prstDash val="sysDot"/>
          <a:round/>
          <a:headEnd/>
          <a:tailEnd/>
        </a:ln>
      </xdr:spPr>
    </xdr:sp>
    <xdr:clientData/>
  </xdr:twoCellAnchor>
  <xdr:twoCellAnchor>
    <xdr:from>
      <xdr:col>32</xdr:col>
      <xdr:colOff>0</xdr:colOff>
      <xdr:row>58</xdr:row>
      <xdr:rowOff>0</xdr:rowOff>
    </xdr:from>
    <xdr:to>
      <xdr:col>32</xdr:col>
      <xdr:colOff>0</xdr:colOff>
      <xdr:row>58</xdr:row>
      <xdr:rowOff>0</xdr:rowOff>
    </xdr:to>
    <xdr:sp macro="" textlink="">
      <xdr:nvSpPr>
        <xdr:cNvPr id="7" name="Line 11">
          <a:extLst>
            <a:ext uri="{FF2B5EF4-FFF2-40B4-BE49-F238E27FC236}">
              <a16:creationId xmlns:a16="http://schemas.microsoft.com/office/drawing/2014/main" id="{00000000-0008-0000-1200-000007000000}"/>
            </a:ext>
          </a:extLst>
        </xdr:cNvPr>
        <xdr:cNvSpPr>
          <a:spLocks noChangeShapeType="1"/>
        </xdr:cNvSpPr>
      </xdr:nvSpPr>
      <xdr:spPr bwMode="auto">
        <a:xfrm>
          <a:off x="21469350" y="9182100"/>
          <a:ext cx="0" cy="0"/>
        </a:xfrm>
        <a:prstGeom prst="line">
          <a:avLst/>
        </a:prstGeom>
        <a:noFill/>
        <a:ln w="9525">
          <a:solidFill>
            <a:srgbClr val="000000"/>
          </a:solidFill>
          <a:prstDash val="sysDot"/>
          <a:round/>
          <a:headEnd/>
          <a:tailEnd/>
        </a:ln>
      </xdr:spPr>
    </xdr:sp>
    <xdr:clientData/>
  </xdr:twoCellAnchor>
  <xdr:twoCellAnchor>
    <xdr:from>
      <xdr:col>0</xdr:col>
      <xdr:colOff>38100</xdr:colOff>
      <xdr:row>70</xdr:row>
      <xdr:rowOff>0</xdr:rowOff>
    </xdr:from>
    <xdr:to>
      <xdr:col>4</xdr:col>
      <xdr:colOff>19050</xdr:colOff>
      <xdr:row>70</xdr:row>
      <xdr:rowOff>0</xdr:rowOff>
    </xdr:to>
    <xdr:sp macro="" textlink="">
      <xdr:nvSpPr>
        <xdr:cNvPr id="8" name="Line 1">
          <a:extLst>
            <a:ext uri="{FF2B5EF4-FFF2-40B4-BE49-F238E27FC236}">
              <a16:creationId xmlns:a16="http://schemas.microsoft.com/office/drawing/2014/main" id="{00000000-0008-0000-1200-000008000000}"/>
            </a:ext>
          </a:extLst>
        </xdr:cNvPr>
        <xdr:cNvSpPr>
          <a:spLocks noChangeShapeType="1"/>
        </xdr:cNvSpPr>
      </xdr:nvSpPr>
      <xdr:spPr bwMode="auto">
        <a:xfrm>
          <a:off x="38100" y="12153900"/>
          <a:ext cx="3981450" cy="0"/>
        </a:xfrm>
        <a:prstGeom prst="line">
          <a:avLst/>
        </a:prstGeom>
        <a:noFill/>
        <a:ln w="9525">
          <a:solidFill>
            <a:srgbClr val="000000"/>
          </a:solidFill>
          <a:prstDash val="sysDot"/>
          <a:round/>
          <a:headEnd/>
          <a:tailEnd/>
        </a:ln>
      </xdr:spPr>
    </xdr:sp>
    <xdr:clientData/>
  </xdr:twoCellAnchor>
  <xdr:twoCellAnchor>
    <xdr:from>
      <xdr:col>32</xdr:col>
      <xdr:colOff>0</xdr:colOff>
      <xdr:row>65</xdr:row>
      <xdr:rowOff>0</xdr:rowOff>
    </xdr:from>
    <xdr:to>
      <xdr:col>32</xdr:col>
      <xdr:colOff>0</xdr:colOff>
      <xdr:row>65</xdr:row>
      <xdr:rowOff>0</xdr:rowOff>
    </xdr:to>
    <xdr:sp macro="" textlink="">
      <xdr:nvSpPr>
        <xdr:cNvPr id="9" name="Line 5">
          <a:extLst>
            <a:ext uri="{FF2B5EF4-FFF2-40B4-BE49-F238E27FC236}">
              <a16:creationId xmlns:a16="http://schemas.microsoft.com/office/drawing/2014/main" id="{00000000-0008-0000-1200-000009000000}"/>
            </a:ext>
          </a:extLst>
        </xdr:cNvPr>
        <xdr:cNvSpPr>
          <a:spLocks noChangeShapeType="1"/>
        </xdr:cNvSpPr>
      </xdr:nvSpPr>
      <xdr:spPr bwMode="auto">
        <a:xfrm>
          <a:off x="21469350" y="11525250"/>
          <a:ext cx="0" cy="0"/>
        </a:xfrm>
        <a:prstGeom prst="line">
          <a:avLst/>
        </a:prstGeom>
        <a:noFill/>
        <a:ln w="9525">
          <a:solidFill>
            <a:srgbClr val="000000"/>
          </a:solidFill>
          <a:prstDash val="sysDot"/>
          <a:round/>
          <a:headEnd/>
          <a:tailEnd/>
        </a:ln>
      </xdr:spPr>
    </xdr:sp>
    <xdr:clientData/>
  </xdr:twoCellAnchor>
  <xdr:twoCellAnchor>
    <xdr:from>
      <xdr:col>32</xdr:col>
      <xdr:colOff>0</xdr:colOff>
      <xdr:row>67</xdr:row>
      <xdr:rowOff>0</xdr:rowOff>
    </xdr:from>
    <xdr:to>
      <xdr:col>32</xdr:col>
      <xdr:colOff>9525</xdr:colOff>
      <xdr:row>67</xdr:row>
      <xdr:rowOff>0</xdr:rowOff>
    </xdr:to>
    <xdr:sp macro="" textlink="">
      <xdr:nvSpPr>
        <xdr:cNvPr id="10" name="Line 7">
          <a:extLst>
            <a:ext uri="{FF2B5EF4-FFF2-40B4-BE49-F238E27FC236}">
              <a16:creationId xmlns:a16="http://schemas.microsoft.com/office/drawing/2014/main" id="{00000000-0008-0000-1200-00000A000000}"/>
            </a:ext>
          </a:extLst>
        </xdr:cNvPr>
        <xdr:cNvSpPr>
          <a:spLocks noChangeShapeType="1"/>
        </xdr:cNvSpPr>
      </xdr:nvSpPr>
      <xdr:spPr bwMode="auto">
        <a:xfrm>
          <a:off x="21469350" y="11687175"/>
          <a:ext cx="9525" cy="0"/>
        </a:xfrm>
        <a:prstGeom prst="line">
          <a:avLst/>
        </a:prstGeom>
        <a:noFill/>
        <a:ln w="9525">
          <a:solidFill>
            <a:srgbClr val="000000"/>
          </a:solidFill>
          <a:prstDash val="sysDot"/>
          <a:round/>
          <a:headEnd/>
          <a:tailEnd/>
        </a:ln>
      </xdr:spPr>
    </xdr:sp>
    <xdr:clientData/>
  </xdr:twoCellAnchor>
  <xdr:twoCellAnchor>
    <xdr:from>
      <xdr:col>32</xdr:col>
      <xdr:colOff>0</xdr:colOff>
      <xdr:row>73</xdr:row>
      <xdr:rowOff>0</xdr:rowOff>
    </xdr:from>
    <xdr:to>
      <xdr:col>32</xdr:col>
      <xdr:colOff>0</xdr:colOff>
      <xdr:row>73</xdr:row>
      <xdr:rowOff>0</xdr:rowOff>
    </xdr:to>
    <xdr:sp macro="" textlink="">
      <xdr:nvSpPr>
        <xdr:cNvPr id="11" name="Line 8">
          <a:extLst>
            <a:ext uri="{FF2B5EF4-FFF2-40B4-BE49-F238E27FC236}">
              <a16:creationId xmlns:a16="http://schemas.microsoft.com/office/drawing/2014/main" id="{00000000-0008-0000-1200-00000B000000}"/>
            </a:ext>
          </a:extLst>
        </xdr:cNvPr>
        <xdr:cNvSpPr>
          <a:spLocks noChangeShapeType="1"/>
        </xdr:cNvSpPr>
      </xdr:nvSpPr>
      <xdr:spPr bwMode="auto">
        <a:xfrm>
          <a:off x="21469350" y="12582525"/>
          <a:ext cx="0" cy="0"/>
        </a:xfrm>
        <a:prstGeom prst="line">
          <a:avLst/>
        </a:prstGeom>
        <a:noFill/>
        <a:ln w="9525">
          <a:solidFill>
            <a:srgbClr val="000000"/>
          </a:solidFill>
          <a:prstDash val="sysDot"/>
          <a:round/>
          <a:headEnd/>
          <a:tailEnd/>
        </a:ln>
      </xdr:spPr>
    </xdr:sp>
    <xdr:clientData/>
  </xdr:twoCellAnchor>
  <xdr:twoCellAnchor>
    <xdr:from>
      <xdr:col>32</xdr:col>
      <xdr:colOff>0</xdr:colOff>
      <xdr:row>74</xdr:row>
      <xdr:rowOff>0</xdr:rowOff>
    </xdr:from>
    <xdr:to>
      <xdr:col>32</xdr:col>
      <xdr:colOff>0</xdr:colOff>
      <xdr:row>74</xdr:row>
      <xdr:rowOff>0</xdr:rowOff>
    </xdr:to>
    <xdr:sp macro="" textlink="">
      <xdr:nvSpPr>
        <xdr:cNvPr id="12" name="Line 10">
          <a:extLst>
            <a:ext uri="{FF2B5EF4-FFF2-40B4-BE49-F238E27FC236}">
              <a16:creationId xmlns:a16="http://schemas.microsoft.com/office/drawing/2014/main" id="{00000000-0008-0000-1200-00000C000000}"/>
            </a:ext>
          </a:extLst>
        </xdr:cNvPr>
        <xdr:cNvSpPr>
          <a:spLocks noChangeShapeType="1"/>
        </xdr:cNvSpPr>
      </xdr:nvSpPr>
      <xdr:spPr bwMode="auto">
        <a:xfrm>
          <a:off x="21469350" y="12725400"/>
          <a:ext cx="0" cy="0"/>
        </a:xfrm>
        <a:prstGeom prst="line">
          <a:avLst/>
        </a:prstGeom>
        <a:noFill/>
        <a:ln w="9525">
          <a:solidFill>
            <a:srgbClr val="000000"/>
          </a:solidFill>
          <a:prstDash val="sysDot"/>
          <a:round/>
          <a:headEnd/>
          <a:tailEnd/>
        </a:ln>
      </xdr:spPr>
    </xdr:sp>
    <xdr:clientData/>
  </xdr:twoCellAnchor>
  <xdr:twoCellAnchor>
    <xdr:from>
      <xdr:col>32</xdr:col>
      <xdr:colOff>0</xdr:colOff>
      <xdr:row>76</xdr:row>
      <xdr:rowOff>0</xdr:rowOff>
    </xdr:from>
    <xdr:to>
      <xdr:col>32</xdr:col>
      <xdr:colOff>0</xdr:colOff>
      <xdr:row>76</xdr:row>
      <xdr:rowOff>0</xdr:rowOff>
    </xdr:to>
    <xdr:sp macro="" textlink="">
      <xdr:nvSpPr>
        <xdr:cNvPr id="13" name="Line 11">
          <a:extLst>
            <a:ext uri="{FF2B5EF4-FFF2-40B4-BE49-F238E27FC236}">
              <a16:creationId xmlns:a16="http://schemas.microsoft.com/office/drawing/2014/main" id="{00000000-0008-0000-1200-00000D000000}"/>
            </a:ext>
          </a:extLst>
        </xdr:cNvPr>
        <xdr:cNvSpPr>
          <a:spLocks noChangeShapeType="1"/>
        </xdr:cNvSpPr>
      </xdr:nvSpPr>
      <xdr:spPr bwMode="auto">
        <a:xfrm>
          <a:off x="21469350" y="13011150"/>
          <a:ext cx="0" cy="0"/>
        </a:xfrm>
        <a:prstGeom prst="line">
          <a:avLst/>
        </a:prstGeom>
        <a:noFill/>
        <a:ln w="9525">
          <a:solidFill>
            <a:srgbClr val="000000"/>
          </a:solidFill>
          <a:prstDash val="sysDot"/>
          <a:round/>
          <a:headEnd/>
          <a:tailEnd/>
        </a:ln>
      </xdr:spPr>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38100</xdr:colOff>
      <xdr:row>66</xdr:row>
      <xdr:rowOff>0</xdr:rowOff>
    </xdr:from>
    <xdr:to>
      <xdr:col>4</xdr:col>
      <xdr:colOff>19050</xdr:colOff>
      <xdr:row>66</xdr:row>
      <xdr:rowOff>0</xdr:rowOff>
    </xdr:to>
    <xdr:sp macro="" textlink="">
      <xdr:nvSpPr>
        <xdr:cNvPr id="2" name="Line 1">
          <a:extLst>
            <a:ext uri="{FF2B5EF4-FFF2-40B4-BE49-F238E27FC236}">
              <a16:creationId xmlns:a16="http://schemas.microsoft.com/office/drawing/2014/main" id="{00000000-0008-0000-1300-000002000000}"/>
            </a:ext>
          </a:extLst>
        </xdr:cNvPr>
        <xdr:cNvSpPr>
          <a:spLocks noChangeShapeType="1"/>
        </xdr:cNvSpPr>
      </xdr:nvSpPr>
      <xdr:spPr bwMode="auto">
        <a:xfrm>
          <a:off x="38100" y="13754100"/>
          <a:ext cx="3689350" cy="0"/>
        </a:xfrm>
        <a:prstGeom prst="line">
          <a:avLst/>
        </a:prstGeom>
        <a:noFill/>
        <a:ln w="9525">
          <a:solidFill>
            <a:srgbClr val="000000"/>
          </a:solidFill>
          <a:prstDash val="sysDot"/>
          <a:round/>
          <a:headEnd/>
          <a:tailEnd/>
        </a:ln>
      </xdr:spPr>
    </xdr:sp>
    <xdr:clientData/>
  </xdr:twoCellAnchor>
  <xdr:twoCellAnchor>
    <xdr:from>
      <xdr:col>1</xdr:col>
      <xdr:colOff>38100</xdr:colOff>
      <xdr:row>69</xdr:row>
      <xdr:rowOff>133350</xdr:rowOff>
    </xdr:from>
    <xdr:to>
      <xdr:col>3</xdr:col>
      <xdr:colOff>533400</xdr:colOff>
      <xdr:row>70</xdr:row>
      <xdr:rowOff>0</xdr:rowOff>
    </xdr:to>
    <xdr:sp macro="" textlink="">
      <xdr:nvSpPr>
        <xdr:cNvPr id="3" name="Line 2">
          <a:extLst>
            <a:ext uri="{FF2B5EF4-FFF2-40B4-BE49-F238E27FC236}">
              <a16:creationId xmlns:a16="http://schemas.microsoft.com/office/drawing/2014/main" id="{00000000-0008-0000-1300-000003000000}"/>
            </a:ext>
          </a:extLst>
        </xdr:cNvPr>
        <xdr:cNvSpPr>
          <a:spLocks noChangeShapeType="1"/>
        </xdr:cNvSpPr>
      </xdr:nvSpPr>
      <xdr:spPr bwMode="auto">
        <a:xfrm flipV="1">
          <a:off x="247650" y="14363700"/>
          <a:ext cx="3276600" cy="25400"/>
        </a:xfrm>
        <a:prstGeom prst="line">
          <a:avLst/>
        </a:prstGeom>
        <a:noFill/>
        <a:ln w="9525">
          <a:solidFill>
            <a:srgbClr val="000000"/>
          </a:solidFill>
          <a:prstDash val="sysDot"/>
          <a:round/>
          <a:headEnd/>
          <a:tailEnd/>
        </a:ln>
      </xdr:spPr>
    </xdr:sp>
    <xdr:clientData/>
  </xdr:twoCellAnchor>
  <xdr:twoCellAnchor>
    <xdr:from>
      <xdr:col>0</xdr:col>
      <xdr:colOff>57150</xdr:colOff>
      <xdr:row>72</xdr:row>
      <xdr:rowOff>0</xdr:rowOff>
    </xdr:from>
    <xdr:to>
      <xdr:col>1</xdr:col>
      <xdr:colOff>1457325</xdr:colOff>
      <xdr:row>72</xdr:row>
      <xdr:rowOff>9525</xdr:rowOff>
    </xdr:to>
    <xdr:sp macro="" textlink="">
      <xdr:nvSpPr>
        <xdr:cNvPr id="4" name="Line 3">
          <a:extLst>
            <a:ext uri="{FF2B5EF4-FFF2-40B4-BE49-F238E27FC236}">
              <a16:creationId xmlns:a16="http://schemas.microsoft.com/office/drawing/2014/main" id="{00000000-0008-0000-1300-000004000000}"/>
            </a:ext>
          </a:extLst>
        </xdr:cNvPr>
        <xdr:cNvSpPr>
          <a:spLocks noChangeShapeType="1"/>
        </xdr:cNvSpPr>
      </xdr:nvSpPr>
      <xdr:spPr bwMode="auto">
        <a:xfrm>
          <a:off x="57150" y="14706600"/>
          <a:ext cx="1609725" cy="9525"/>
        </a:xfrm>
        <a:prstGeom prst="line">
          <a:avLst/>
        </a:prstGeom>
        <a:noFill/>
        <a:ln w="9525">
          <a:solidFill>
            <a:srgbClr val="000000"/>
          </a:solidFill>
          <a:prstDash val="sysDot"/>
          <a:round/>
          <a:headEnd/>
          <a:tailEnd/>
        </a:ln>
      </xdr:spPr>
    </xdr:sp>
    <xdr:clientData/>
  </xdr:twoCellAnchor>
  <xdr:twoCellAnchor>
    <xdr:from>
      <xdr:col>2</xdr:col>
      <xdr:colOff>266700</xdr:colOff>
      <xdr:row>72</xdr:row>
      <xdr:rowOff>0</xdr:rowOff>
    </xdr:from>
    <xdr:to>
      <xdr:col>4</xdr:col>
      <xdr:colOff>457200</xdr:colOff>
      <xdr:row>72</xdr:row>
      <xdr:rowOff>0</xdr:rowOff>
    </xdr:to>
    <xdr:sp macro="" textlink="">
      <xdr:nvSpPr>
        <xdr:cNvPr id="5" name="Line 4">
          <a:extLst>
            <a:ext uri="{FF2B5EF4-FFF2-40B4-BE49-F238E27FC236}">
              <a16:creationId xmlns:a16="http://schemas.microsoft.com/office/drawing/2014/main" id="{00000000-0008-0000-1300-000005000000}"/>
            </a:ext>
          </a:extLst>
        </xdr:cNvPr>
        <xdr:cNvSpPr>
          <a:spLocks noChangeShapeType="1"/>
        </xdr:cNvSpPr>
      </xdr:nvSpPr>
      <xdr:spPr bwMode="auto">
        <a:xfrm>
          <a:off x="2152650" y="14706600"/>
          <a:ext cx="2012950" cy="0"/>
        </a:xfrm>
        <a:prstGeom prst="line">
          <a:avLst/>
        </a:prstGeom>
        <a:noFill/>
        <a:ln w="9525">
          <a:solidFill>
            <a:srgbClr val="000000"/>
          </a:solidFill>
          <a:prstDash val="sysDot"/>
          <a:round/>
          <a:headEnd/>
          <a:tailEnd/>
        </a:ln>
      </xdr:spPr>
    </xdr:sp>
    <xdr:clientData/>
  </xdr:twoCellAnchor>
  <xdr:twoCellAnchor>
    <xdr:from>
      <xdr:col>33</xdr:col>
      <xdr:colOff>0</xdr:colOff>
      <xdr:row>62</xdr:row>
      <xdr:rowOff>0</xdr:rowOff>
    </xdr:from>
    <xdr:to>
      <xdr:col>33</xdr:col>
      <xdr:colOff>0</xdr:colOff>
      <xdr:row>62</xdr:row>
      <xdr:rowOff>0</xdr:rowOff>
    </xdr:to>
    <xdr:sp macro="" textlink="">
      <xdr:nvSpPr>
        <xdr:cNvPr id="6" name="Line 5">
          <a:extLst>
            <a:ext uri="{FF2B5EF4-FFF2-40B4-BE49-F238E27FC236}">
              <a16:creationId xmlns:a16="http://schemas.microsoft.com/office/drawing/2014/main" id="{00000000-0008-0000-1300-000006000000}"/>
            </a:ext>
          </a:extLst>
        </xdr:cNvPr>
        <xdr:cNvSpPr>
          <a:spLocks noChangeShapeType="1"/>
        </xdr:cNvSpPr>
      </xdr:nvSpPr>
      <xdr:spPr bwMode="auto">
        <a:xfrm>
          <a:off x="20847050" y="13119100"/>
          <a:ext cx="0" cy="0"/>
        </a:xfrm>
        <a:prstGeom prst="line">
          <a:avLst/>
        </a:prstGeom>
        <a:noFill/>
        <a:ln w="9525">
          <a:solidFill>
            <a:srgbClr val="000000"/>
          </a:solidFill>
          <a:prstDash val="sysDot"/>
          <a:round/>
          <a:headEnd/>
          <a:tailEnd/>
        </a:ln>
      </xdr:spPr>
    </xdr:sp>
    <xdr:clientData/>
  </xdr:twoCellAnchor>
  <xdr:twoCellAnchor>
    <xdr:from>
      <xdr:col>33</xdr:col>
      <xdr:colOff>0</xdr:colOff>
      <xdr:row>64</xdr:row>
      <xdr:rowOff>0</xdr:rowOff>
    </xdr:from>
    <xdr:to>
      <xdr:col>33</xdr:col>
      <xdr:colOff>9525</xdr:colOff>
      <xdr:row>64</xdr:row>
      <xdr:rowOff>0</xdr:rowOff>
    </xdr:to>
    <xdr:sp macro="" textlink="">
      <xdr:nvSpPr>
        <xdr:cNvPr id="7" name="Line 7">
          <a:extLst>
            <a:ext uri="{FF2B5EF4-FFF2-40B4-BE49-F238E27FC236}">
              <a16:creationId xmlns:a16="http://schemas.microsoft.com/office/drawing/2014/main" id="{00000000-0008-0000-1300-000007000000}"/>
            </a:ext>
          </a:extLst>
        </xdr:cNvPr>
        <xdr:cNvSpPr>
          <a:spLocks noChangeShapeType="1"/>
        </xdr:cNvSpPr>
      </xdr:nvSpPr>
      <xdr:spPr bwMode="auto">
        <a:xfrm>
          <a:off x="20847050" y="13436600"/>
          <a:ext cx="9525" cy="0"/>
        </a:xfrm>
        <a:prstGeom prst="line">
          <a:avLst/>
        </a:prstGeom>
        <a:noFill/>
        <a:ln w="9525">
          <a:solidFill>
            <a:srgbClr val="000000"/>
          </a:solidFill>
          <a:prstDash val="sysDot"/>
          <a:round/>
          <a:headEnd/>
          <a:tailEnd/>
        </a:ln>
      </xdr:spPr>
    </xdr:sp>
    <xdr:clientData/>
  </xdr:twoCellAnchor>
  <xdr:twoCellAnchor>
    <xdr:from>
      <xdr:col>33</xdr:col>
      <xdr:colOff>0</xdr:colOff>
      <xdr:row>70</xdr:row>
      <xdr:rowOff>0</xdr:rowOff>
    </xdr:from>
    <xdr:to>
      <xdr:col>33</xdr:col>
      <xdr:colOff>0</xdr:colOff>
      <xdr:row>70</xdr:row>
      <xdr:rowOff>0</xdr:rowOff>
    </xdr:to>
    <xdr:sp macro="" textlink="">
      <xdr:nvSpPr>
        <xdr:cNvPr id="8" name="Line 8">
          <a:extLst>
            <a:ext uri="{FF2B5EF4-FFF2-40B4-BE49-F238E27FC236}">
              <a16:creationId xmlns:a16="http://schemas.microsoft.com/office/drawing/2014/main" id="{00000000-0008-0000-1300-000008000000}"/>
            </a:ext>
          </a:extLst>
        </xdr:cNvPr>
        <xdr:cNvSpPr>
          <a:spLocks noChangeShapeType="1"/>
        </xdr:cNvSpPr>
      </xdr:nvSpPr>
      <xdr:spPr bwMode="auto">
        <a:xfrm>
          <a:off x="20847050" y="14389100"/>
          <a:ext cx="0" cy="0"/>
        </a:xfrm>
        <a:prstGeom prst="line">
          <a:avLst/>
        </a:prstGeom>
        <a:noFill/>
        <a:ln w="9525">
          <a:solidFill>
            <a:srgbClr val="000000"/>
          </a:solidFill>
          <a:prstDash val="sysDot"/>
          <a:round/>
          <a:headEnd/>
          <a:tailEnd/>
        </a:ln>
      </xdr:spPr>
    </xdr:sp>
    <xdr:clientData/>
  </xdr:twoCellAnchor>
  <xdr:twoCellAnchor>
    <xdr:from>
      <xdr:col>33</xdr:col>
      <xdr:colOff>0</xdr:colOff>
      <xdr:row>71</xdr:row>
      <xdr:rowOff>0</xdr:rowOff>
    </xdr:from>
    <xdr:to>
      <xdr:col>33</xdr:col>
      <xdr:colOff>0</xdr:colOff>
      <xdr:row>71</xdr:row>
      <xdr:rowOff>0</xdr:rowOff>
    </xdr:to>
    <xdr:sp macro="" textlink="">
      <xdr:nvSpPr>
        <xdr:cNvPr id="9" name="Line 10">
          <a:extLst>
            <a:ext uri="{FF2B5EF4-FFF2-40B4-BE49-F238E27FC236}">
              <a16:creationId xmlns:a16="http://schemas.microsoft.com/office/drawing/2014/main" id="{00000000-0008-0000-1300-000009000000}"/>
            </a:ext>
          </a:extLst>
        </xdr:cNvPr>
        <xdr:cNvSpPr>
          <a:spLocks noChangeShapeType="1"/>
        </xdr:cNvSpPr>
      </xdr:nvSpPr>
      <xdr:spPr bwMode="auto">
        <a:xfrm>
          <a:off x="20847050" y="14547850"/>
          <a:ext cx="0" cy="0"/>
        </a:xfrm>
        <a:prstGeom prst="line">
          <a:avLst/>
        </a:prstGeom>
        <a:noFill/>
        <a:ln w="9525">
          <a:solidFill>
            <a:srgbClr val="000000"/>
          </a:solidFill>
          <a:prstDash val="sysDot"/>
          <a:round/>
          <a:headEnd/>
          <a:tailEnd/>
        </a:ln>
      </xdr:spPr>
    </xdr:sp>
    <xdr:clientData/>
  </xdr:twoCellAnchor>
  <xdr:twoCellAnchor>
    <xdr:from>
      <xdr:col>33</xdr:col>
      <xdr:colOff>0</xdr:colOff>
      <xdr:row>72</xdr:row>
      <xdr:rowOff>0</xdr:rowOff>
    </xdr:from>
    <xdr:to>
      <xdr:col>33</xdr:col>
      <xdr:colOff>0</xdr:colOff>
      <xdr:row>72</xdr:row>
      <xdr:rowOff>0</xdr:rowOff>
    </xdr:to>
    <xdr:sp macro="" textlink="">
      <xdr:nvSpPr>
        <xdr:cNvPr id="10" name="Line 11">
          <a:extLst>
            <a:ext uri="{FF2B5EF4-FFF2-40B4-BE49-F238E27FC236}">
              <a16:creationId xmlns:a16="http://schemas.microsoft.com/office/drawing/2014/main" id="{00000000-0008-0000-1300-00000A000000}"/>
            </a:ext>
          </a:extLst>
        </xdr:cNvPr>
        <xdr:cNvSpPr>
          <a:spLocks noChangeShapeType="1"/>
        </xdr:cNvSpPr>
      </xdr:nvSpPr>
      <xdr:spPr bwMode="auto">
        <a:xfrm>
          <a:off x="20847050" y="14706600"/>
          <a:ext cx="0" cy="0"/>
        </a:xfrm>
        <a:prstGeom prst="line">
          <a:avLst/>
        </a:prstGeom>
        <a:noFill/>
        <a:ln w="9525">
          <a:solidFill>
            <a:srgbClr val="000000"/>
          </a:solidFill>
          <a:prstDash val="sysDot"/>
          <a:round/>
          <a:headEnd/>
          <a:tailEnd/>
        </a:ln>
      </xdr:spPr>
    </xdr:sp>
    <xdr:clientData/>
  </xdr:twoCellAnchor>
</xdr:wsDr>
</file>

<file path=xl/drawings/drawing21.xml><?xml version="1.0" encoding="utf-8"?>
<xdr:wsDr xmlns:xdr="http://schemas.openxmlformats.org/drawingml/2006/spreadsheetDrawing" xmlns:a="http://schemas.openxmlformats.org/drawingml/2006/main">
  <xdr:twoCellAnchor>
    <xdr:from>
      <xdr:col>34</xdr:col>
      <xdr:colOff>0</xdr:colOff>
      <xdr:row>77</xdr:row>
      <xdr:rowOff>0</xdr:rowOff>
    </xdr:from>
    <xdr:to>
      <xdr:col>34</xdr:col>
      <xdr:colOff>0</xdr:colOff>
      <xdr:row>77</xdr:row>
      <xdr:rowOff>0</xdr:rowOff>
    </xdr:to>
    <xdr:sp macro="" textlink="">
      <xdr:nvSpPr>
        <xdr:cNvPr id="2" name="Line 5">
          <a:extLst>
            <a:ext uri="{FF2B5EF4-FFF2-40B4-BE49-F238E27FC236}">
              <a16:creationId xmlns:a16="http://schemas.microsoft.com/office/drawing/2014/main" id="{00000000-0008-0000-1400-000002000000}"/>
            </a:ext>
          </a:extLst>
        </xdr:cNvPr>
        <xdr:cNvSpPr>
          <a:spLocks noChangeShapeType="1"/>
        </xdr:cNvSpPr>
      </xdr:nvSpPr>
      <xdr:spPr bwMode="auto">
        <a:xfrm>
          <a:off x="21907500" y="14230350"/>
          <a:ext cx="0" cy="0"/>
        </a:xfrm>
        <a:prstGeom prst="line">
          <a:avLst/>
        </a:prstGeom>
        <a:noFill/>
        <a:ln w="9525">
          <a:solidFill>
            <a:srgbClr val="000000"/>
          </a:solidFill>
          <a:prstDash val="sysDot"/>
          <a:round/>
          <a:headEnd/>
          <a:tailEnd/>
        </a:ln>
      </xdr:spPr>
    </xdr:sp>
    <xdr:clientData/>
  </xdr:twoCellAnchor>
  <xdr:twoCellAnchor>
    <xdr:from>
      <xdr:col>34</xdr:col>
      <xdr:colOff>0</xdr:colOff>
      <xdr:row>80</xdr:row>
      <xdr:rowOff>0</xdr:rowOff>
    </xdr:from>
    <xdr:to>
      <xdr:col>34</xdr:col>
      <xdr:colOff>9525</xdr:colOff>
      <xdr:row>80</xdr:row>
      <xdr:rowOff>0</xdr:rowOff>
    </xdr:to>
    <xdr:sp macro="" textlink="">
      <xdr:nvSpPr>
        <xdr:cNvPr id="3" name="Line 7">
          <a:extLst>
            <a:ext uri="{FF2B5EF4-FFF2-40B4-BE49-F238E27FC236}">
              <a16:creationId xmlns:a16="http://schemas.microsoft.com/office/drawing/2014/main" id="{00000000-0008-0000-1400-000003000000}"/>
            </a:ext>
          </a:extLst>
        </xdr:cNvPr>
        <xdr:cNvSpPr>
          <a:spLocks noChangeShapeType="1"/>
        </xdr:cNvSpPr>
      </xdr:nvSpPr>
      <xdr:spPr bwMode="auto">
        <a:xfrm>
          <a:off x="21907500" y="14611350"/>
          <a:ext cx="9525" cy="0"/>
        </a:xfrm>
        <a:prstGeom prst="line">
          <a:avLst/>
        </a:prstGeom>
        <a:noFill/>
        <a:ln w="9525">
          <a:solidFill>
            <a:srgbClr val="000000"/>
          </a:solidFill>
          <a:prstDash val="sysDot"/>
          <a:round/>
          <a:headEnd/>
          <a:tailEnd/>
        </a:ln>
      </xdr:spPr>
    </xdr:sp>
    <xdr:clientData/>
  </xdr:twoCellAnchor>
  <xdr:twoCellAnchor>
    <xdr:from>
      <xdr:col>34</xdr:col>
      <xdr:colOff>0</xdr:colOff>
      <xdr:row>85</xdr:row>
      <xdr:rowOff>0</xdr:rowOff>
    </xdr:from>
    <xdr:to>
      <xdr:col>34</xdr:col>
      <xdr:colOff>0</xdr:colOff>
      <xdr:row>85</xdr:row>
      <xdr:rowOff>0</xdr:rowOff>
    </xdr:to>
    <xdr:sp macro="" textlink="">
      <xdr:nvSpPr>
        <xdr:cNvPr id="4" name="Line 8">
          <a:extLst>
            <a:ext uri="{FF2B5EF4-FFF2-40B4-BE49-F238E27FC236}">
              <a16:creationId xmlns:a16="http://schemas.microsoft.com/office/drawing/2014/main" id="{00000000-0008-0000-1400-000004000000}"/>
            </a:ext>
          </a:extLst>
        </xdr:cNvPr>
        <xdr:cNvSpPr>
          <a:spLocks noChangeShapeType="1"/>
        </xdr:cNvSpPr>
      </xdr:nvSpPr>
      <xdr:spPr bwMode="auto">
        <a:xfrm>
          <a:off x="21907500" y="15328900"/>
          <a:ext cx="0" cy="0"/>
        </a:xfrm>
        <a:prstGeom prst="line">
          <a:avLst/>
        </a:prstGeom>
        <a:noFill/>
        <a:ln w="9525">
          <a:solidFill>
            <a:srgbClr val="000000"/>
          </a:solidFill>
          <a:prstDash val="sysDot"/>
          <a:round/>
          <a:headEnd/>
          <a:tailEnd/>
        </a:ln>
      </xdr:spPr>
    </xdr:sp>
    <xdr:clientData/>
  </xdr:twoCellAnchor>
  <xdr:twoCellAnchor>
    <xdr:from>
      <xdr:col>34</xdr:col>
      <xdr:colOff>0</xdr:colOff>
      <xdr:row>86</xdr:row>
      <xdr:rowOff>0</xdr:rowOff>
    </xdr:from>
    <xdr:to>
      <xdr:col>34</xdr:col>
      <xdr:colOff>0</xdr:colOff>
      <xdr:row>86</xdr:row>
      <xdr:rowOff>0</xdr:rowOff>
    </xdr:to>
    <xdr:sp macro="" textlink="">
      <xdr:nvSpPr>
        <xdr:cNvPr id="5" name="Line 10">
          <a:extLst>
            <a:ext uri="{FF2B5EF4-FFF2-40B4-BE49-F238E27FC236}">
              <a16:creationId xmlns:a16="http://schemas.microsoft.com/office/drawing/2014/main" id="{00000000-0008-0000-1400-000005000000}"/>
            </a:ext>
          </a:extLst>
        </xdr:cNvPr>
        <xdr:cNvSpPr>
          <a:spLocks noChangeShapeType="1"/>
        </xdr:cNvSpPr>
      </xdr:nvSpPr>
      <xdr:spPr bwMode="auto">
        <a:xfrm>
          <a:off x="21907500" y="15468600"/>
          <a:ext cx="0" cy="0"/>
        </a:xfrm>
        <a:prstGeom prst="line">
          <a:avLst/>
        </a:prstGeom>
        <a:noFill/>
        <a:ln w="9525">
          <a:solidFill>
            <a:srgbClr val="000000"/>
          </a:solidFill>
          <a:prstDash val="sysDot"/>
          <a:round/>
          <a:headEnd/>
          <a:tailEnd/>
        </a:ln>
      </xdr:spPr>
    </xdr:sp>
    <xdr:clientData/>
  </xdr:twoCellAnchor>
  <xdr:twoCellAnchor>
    <xdr:from>
      <xdr:col>34</xdr:col>
      <xdr:colOff>0</xdr:colOff>
      <xdr:row>88</xdr:row>
      <xdr:rowOff>0</xdr:rowOff>
    </xdr:from>
    <xdr:to>
      <xdr:col>34</xdr:col>
      <xdr:colOff>0</xdr:colOff>
      <xdr:row>88</xdr:row>
      <xdr:rowOff>0</xdr:rowOff>
    </xdr:to>
    <xdr:sp macro="" textlink="">
      <xdr:nvSpPr>
        <xdr:cNvPr id="6" name="Line 11">
          <a:extLst>
            <a:ext uri="{FF2B5EF4-FFF2-40B4-BE49-F238E27FC236}">
              <a16:creationId xmlns:a16="http://schemas.microsoft.com/office/drawing/2014/main" id="{00000000-0008-0000-1400-000006000000}"/>
            </a:ext>
          </a:extLst>
        </xdr:cNvPr>
        <xdr:cNvSpPr>
          <a:spLocks noChangeShapeType="1"/>
        </xdr:cNvSpPr>
      </xdr:nvSpPr>
      <xdr:spPr bwMode="auto">
        <a:xfrm>
          <a:off x="21907500" y="15722600"/>
          <a:ext cx="0" cy="0"/>
        </a:xfrm>
        <a:prstGeom prst="line">
          <a:avLst/>
        </a:prstGeom>
        <a:noFill/>
        <a:ln w="9525">
          <a:solidFill>
            <a:srgbClr val="000000"/>
          </a:solidFill>
          <a:prstDash val="sysDot"/>
          <a:round/>
          <a:headEnd/>
          <a:tailEnd/>
        </a:ln>
      </xdr:spPr>
    </xdr:sp>
    <xdr:clientData/>
  </xdr:twoCellAnchor>
</xdr:wsDr>
</file>

<file path=xl/drawings/drawing22.xml><?xml version="1.0" encoding="utf-8"?>
<xdr:wsDr xmlns:xdr="http://schemas.openxmlformats.org/drawingml/2006/spreadsheetDrawing" xmlns:a="http://schemas.openxmlformats.org/drawingml/2006/main">
  <xdr:twoCellAnchor>
    <xdr:from>
      <xdr:col>34</xdr:col>
      <xdr:colOff>0</xdr:colOff>
      <xdr:row>70</xdr:row>
      <xdr:rowOff>0</xdr:rowOff>
    </xdr:from>
    <xdr:to>
      <xdr:col>34</xdr:col>
      <xdr:colOff>0</xdr:colOff>
      <xdr:row>70</xdr:row>
      <xdr:rowOff>0</xdr:rowOff>
    </xdr:to>
    <xdr:sp macro="" textlink="">
      <xdr:nvSpPr>
        <xdr:cNvPr id="2" name="Line 5">
          <a:extLst>
            <a:ext uri="{FF2B5EF4-FFF2-40B4-BE49-F238E27FC236}">
              <a16:creationId xmlns:a16="http://schemas.microsoft.com/office/drawing/2014/main" id="{8063C263-560D-49BD-9AEA-F4147190CECD}"/>
            </a:ext>
          </a:extLst>
        </xdr:cNvPr>
        <xdr:cNvSpPr>
          <a:spLocks noChangeShapeType="1"/>
        </xdr:cNvSpPr>
      </xdr:nvSpPr>
      <xdr:spPr bwMode="auto">
        <a:xfrm>
          <a:off x="20326350" y="15106650"/>
          <a:ext cx="0" cy="0"/>
        </a:xfrm>
        <a:prstGeom prst="line">
          <a:avLst/>
        </a:prstGeom>
        <a:noFill/>
        <a:ln w="9525">
          <a:solidFill>
            <a:srgbClr val="000000"/>
          </a:solidFill>
          <a:prstDash val="sysDot"/>
          <a:round/>
          <a:headEnd/>
          <a:tailEnd/>
        </a:ln>
      </xdr:spPr>
    </xdr:sp>
    <xdr:clientData/>
  </xdr:twoCellAnchor>
  <xdr:twoCellAnchor>
    <xdr:from>
      <xdr:col>34</xdr:col>
      <xdr:colOff>0</xdr:colOff>
      <xdr:row>73</xdr:row>
      <xdr:rowOff>0</xdr:rowOff>
    </xdr:from>
    <xdr:to>
      <xdr:col>34</xdr:col>
      <xdr:colOff>9525</xdr:colOff>
      <xdr:row>73</xdr:row>
      <xdr:rowOff>0</xdr:rowOff>
    </xdr:to>
    <xdr:sp macro="" textlink="">
      <xdr:nvSpPr>
        <xdr:cNvPr id="3" name="Line 7">
          <a:extLst>
            <a:ext uri="{FF2B5EF4-FFF2-40B4-BE49-F238E27FC236}">
              <a16:creationId xmlns:a16="http://schemas.microsoft.com/office/drawing/2014/main" id="{9B016313-02D0-4C02-8F08-23AD5A47C987}"/>
            </a:ext>
          </a:extLst>
        </xdr:cNvPr>
        <xdr:cNvSpPr>
          <a:spLocks noChangeShapeType="1"/>
        </xdr:cNvSpPr>
      </xdr:nvSpPr>
      <xdr:spPr bwMode="auto">
        <a:xfrm>
          <a:off x="20326350" y="155924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78</xdr:row>
      <xdr:rowOff>0</xdr:rowOff>
    </xdr:from>
    <xdr:to>
      <xdr:col>34</xdr:col>
      <xdr:colOff>0</xdr:colOff>
      <xdr:row>78</xdr:row>
      <xdr:rowOff>0</xdr:rowOff>
    </xdr:to>
    <xdr:sp macro="" textlink="">
      <xdr:nvSpPr>
        <xdr:cNvPr id="4" name="Line 8">
          <a:extLst>
            <a:ext uri="{FF2B5EF4-FFF2-40B4-BE49-F238E27FC236}">
              <a16:creationId xmlns:a16="http://schemas.microsoft.com/office/drawing/2014/main" id="{2B29A81A-96EA-45EF-84DE-3A7C5B63578F}"/>
            </a:ext>
          </a:extLst>
        </xdr:cNvPr>
        <xdr:cNvSpPr>
          <a:spLocks noChangeShapeType="1"/>
        </xdr:cNvSpPr>
      </xdr:nvSpPr>
      <xdr:spPr bwMode="auto">
        <a:xfrm>
          <a:off x="20326350" y="16335375"/>
          <a:ext cx="0" cy="0"/>
        </a:xfrm>
        <a:prstGeom prst="line">
          <a:avLst/>
        </a:prstGeom>
        <a:noFill/>
        <a:ln w="9525">
          <a:solidFill>
            <a:srgbClr val="000000"/>
          </a:solidFill>
          <a:prstDash val="sysDot"/>
          <a:round/>
          <a:headEnd/>
          <a:tailEnd/>
        </a:ln>
      </xdr:spPr>
    </xdr:sp>
    <xdr:clientData/>
  </xdr:twoCellAnchor>
  <xdr:twoCellAnchor>
    <xdr:from>
      <xdr:col>34</xdr:col>
      <xdr:colOff>0</xdr:colOff>
      <xdr:row>79</xdr:row>
      <xdr:rowOff>0</xdr:rowOff>
    </xdr:from>
    <xdr:to>
      <xdr:col>34</xdr:col>
      <xdr:colOff>0</xdr:colOff>
      <xdr:row>79</xdr:row>
      <xdr:rowOff>0</xdr:rowOff>
    </xdr:to>
    <xdr:sp macro="" textlink="">
      <xdr:nvSpPr>
        <xdr:cNvPr id="5" name="Line 10">
          <a:extLst>
            <a:ext uri="{FF2B5EF4-FFF2-40B4-BE49-F238E27FC236}">
              <a16:creationId xmlns:a16="http://schemas.microsoft.com/office/drawing/2014/main" id="{91D79817-50ED-4C57-B891-1EEC6E98F54F}"/>
            </a:ext>
          </a:extLst>
        </xdr:cNvPr>
        <xdr:cNvSpPr>
          <a:spLocks noChangeShapeType="1"/>
        </xdr:cNvSpPr>
      </xdr:nvSpPr>
      <xdr:spPr bwMode="auto">
        <a:xfrm>
          <a:off x="20326350" y="16478250"/>
          <a:ext cx="0" cy="0"/>
        </a:xfrm>
        <a:prstGeom prst="line">
          <a:avLst/>
        </a:prstGeom>
        <a:noFill/>
        <a:ln w="9525">
          <a:solidFill>
            <a:srgbClr val="000000"/>
          </a:solidFill>
          <a:prstDash val="sysDot"/>
          <a:round/>
          <a:headEnd/>
          <a:tailEnd/>
        </a:ln>
      </xdr:spPr>
    </xdr:sp>
    <xdr:clientData/>
  </xdr:twoCellAnchor>
  <xdr:twoCellAnchor>
    <xdr:from>
      <xdr:col>34</xdr:col>
      <xdr:colOff>0</xdr:colOff>
      <xdr:row>81</xdr:row>
      <xdr:rowOff>0</xdr:rowOff>
    </xdr:from>
    <xdr:to>
      <xdr:col>34</xdr:col>
      <xdr:colOff>0</xdr:colOff>
      <xdr:row>81</xdr:row>
      <xdr:rowOff>0</xdr:rowOff>
    </xdr:to>
    <xdr:sp macro="" textlink="">
      <xdr:nvSpPr>
        <xdr:cNvPr id="6" name="Line 11">
          <a:extLst>
            <a:ext uri="{FF2B5EF4-FFF2-40B4-BE49-F238E27FC236}">
              <a16:creationId xmlns:a16="http://schemas.microsoft.com/office/drawing/2014/main" id="{F5F3BAD6-253D-4EED-A30B-2BDCFEFC759A}"/>
            </a:ext>
          </a:extLst>
        </xdr:cNvPr>
        <xdr:cNvSpPr>
          <a:spLocks noChangeShapeType="1"/>
        </xdr:cNvSpPr>
      </xdr:nvSpPr>
      <xdr:spPr bwMode="auto">
        <a:xfrm>
          <a:off x="20326350" y="16783050"/>
          <a:ext cx="0" cy="0"/>
        </a:xfrm>
        <a:prstGeom prst="line">
          <a:avLst/>
        </a:prstGeom>
        <a:noFill/>
        <a:ln w="9525">
          <a:solidFill>
            <a:srgbClr val="000000"/>
          </a:solidFill>
          <a:prstDash val="sysDot"/>
          <a:round/>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xdr:from>
      <xdr:col>34</xdr:col>
      <xdr:colOff>0</xdr:colOff>
      <xdr:row>52</xdr:row>
      <xdr:rowOff>0</xdr:rowOff>
    </xdr:from>
    <xdr:to>
      <xdr:col>34</xdr:col>
      <xdr:colOff>0</xdr:colOff>
      <xdr:row>52</xdr:row>
      <xdr:rowOff>0</xdr:rowOff>
    </xdr:to>
    <xdr:sp macro="" textlink="">
      <xdr:nvSpPr>
        <xdr:cNvPr id="2" name="Line 17">
          <a:extLst>
            <a:ext uri="{FF2B5EF4-FFF2-40B4-BE49-F238E27FC236}">
              <a16:creationId xmlns:a16="http://schemas.microsoft.com/office/drawing/2014/main" id="{00000000-0008-0000-1600-000002000000}"/>
            </a:ext>
          </a:extLst>
        </xdr:cNvPr>
        <xdr:cNvSpPr>
          <a:spLocks noChangeShapeType="1"/>
        </xdr:cNvSpPr>
      </xdr:nvSpPr>
      <xdr:spPr bwMode="auto">
        <a:xfrm>
          <a:off x="21037550" y="12414250"/>
          <a:ext cx="0" cy="0"/>
        </a:xfrm>
        <a:prstGeom prst="line">
          <a:avLst/>
        </a:prstGeom>
        <a:noFill/>
        <a:ln w="9525">
          <a:solidFill>
            <a:srgbClr val="000000"/>
          </a:solidFill>
          <a:prstDash val="sysDot"/>
          <a:round/>
          <a:headEnd/>
          <a:tailEnd/>
        </a:ln>
      </xdr:spPr>
    </xdr:sp>
    <xdr:clientData/>
  </xdr:twoCellAnchor>
  <xdr:twoCellAnchor>
    <xdr:from>
      <xdr:col>34</xdr:col>
      <xdr:colOff>0</xdr:colOff>
      <xdr:row>54</xdr:row>
      <xdr:rowOff>0</xdr:rowOff>
    </xdr:from>
    <xdr:to>
      <xdr:col>34</xdr:col>
      <xdr:colOff>9525</xdr:colOff>
      <xdr:row>54</xdr:row>
      <xdr:rowOff>0</xdr:rowOff>
    </xdr:to>
    <xdr:sp macro="" textlink="">
      <xdr:nvSpPr>
        <xdr:cNvPr id="3" name="Line 19">
          <a:extLst>
            <a:ext uri="{FF2B5EF4-FFF2-40B4-BE49-F238E27FC236}">
              <a16:creationId xmlns:a16="http://schemas.microsoft.com/office/drawing/2014/main" id="{00000000-0008-0000-1600-000003000000}"/>
            </a:ext>
          </a:extLst>
        </xdr:cNvPr>
        <xdr:cNvSpPr>
          <a:spLocks noChangeShapeType="1"/>
        </xdr:cNvSpPr>
      </xdr:nvSpPr>
      <xdr:spPr bwMode="auto">
        <a:xfrm>
          <a:off x="21037550" y="12700000"/>
          <a:ext cx="9525" cy="0"/>
        </a:xfrm>
        <a:prstGeom prst="line">
          <a:avLst/>
        </a:prstGeom>
        <a:noFill/>
        <a:ln w="9525">
          <a:solidFill>
            <a:srgbClr val="000000"/>
          </a:solidFill>
          <a:prstDash val="sysDot"/>
          <a:round/>
          <a:headEnd/>
          <a:tailEnd/>
        </a:ln>
      </xdr:spPr>
    </xdr:sp>
    <xdr:clientData/>
  </xdr:twoCellAnchor>
  <xdr:twoCellAnchor>
    <xdr:from>
      <xdr:col>34</xdr:col>
      <xdr:colOff>0</xdr:colOff>
      <xdr:row>60</xdr:row>
      <xdr:rowOff>0</xdr:rowOff>
    </xdr:from>
    <xdr:to>
      <xdr:col>34</xdr:col>
      <xdr:colOff>0</xdr:colOff>
      <xdr:row>60</xdr:row>
      <xdr:rowOff>0</xdr:rowOff>
    </xdr:to>
    <xdr:sp macro="" textlink="">
      <xdr:nvSpPr>
        <xdr:cNvPr id="4" name="Line 20">
          <a:extLst>
            <a:ext uri="{FF2B5EF4-FFF2-40B4-BE49-F238E27FC236}">
              <a16:creationId xmlns:a16="http://schemas.microsoft.com/office/drawing/2014/main" id="{00000000-0008-0000-1600-000004000000}"/>
            </a:ext>
          </a:extLst>
        </xdr:cNvPr>
        <xdr:cNvSpPr>
          <a:spLocks noChangeShapeType="1"/>
        </xdr:cNvSpPr>
      </xdr:nvSpPr>
      <xdr:spPr bwMode="auto">
        <a:xfrm>
          <a:off x="21037550" y="13474700"/>
          <a:ext cx="0" cy="0"/>
        </a:xfrm>
        <a:prstGeom prst="line">
          <a:avLst/>
        </a:prstGeom>
        <a:noFill/>
        <a:ln w="9525">
          <a:solidFill>
            <a:srgbClr val="000000"/>
          </a:solidFill>
          <a:prstDash val="sysDot"/>
          <a:round/>
          <a:headEnd/>
          <a:tailEnd/>
        </a:ln>
      </xdr:spPr>
    </xdr:sp>
    <xdr:clientData/>
  </xdr:twoCellAnchor>
  <xdr:twoCellAnchor>
    <xdr:from>
      <xdr:col>34</xdr:col>
      <xdr:colOff>0</xdr:colOff>
      <xdr:row>61</xdr:row>
      <xdr:rowOff>0</xdr:rowOff>
    </xdr:from>
    <xdr:to>
      <xdr:col>34</xdr:col>
      <xdr:colOff>0</xdr:colOff>
      <xdr:row>61</xdr:row>
      <xdr:rowOff>0</xdr:rowOff>
    </xdr:to>
    <xdr:sp macro="" textlink="">
      <xdr:nvSpPr>
        <xdr:cNvPr id="5" name="Line 22">
          <a:extLst>
            <a:ext uri="{FF2B5EF4-FFF2-40B4-BE49-F238E27FC236}">
              <a16:creationId xmlns:a16="http://schemas.microsoft.com/office/drawing/2014/main" id="{00000000-0008-0000-1600-000005000000}"/>
            </a:ext>
          </a:extLst>
        </xdr:cNvPr>
        <xdr:cNvSpPr>
          <a:spLocks noChangeShapeType="1"/>
        </xdr:cNvSpPr>
      </xdr:nvSpPr>
      <xdr:spPr bwMode="auto">
        <a:xfrm>
          <a:off x="21037550" y="13601700"/>
          <a:ext cx="0" cy="0"/>
        </a:xfrm>
        <a:prstGeom prst="line">
          <a:avLst/>
        </a:prstGeom>
        <a:noFill/>
        <a:ln w="9525">
          <a:solidFill>
            <a:srgbClr val="000000"/>
          </a:solidFill>
          <a:prstDash val="sysDot"/>
          <a:round/>
          <a:headEnd/>
          <a:tailEnd/>
        </a:ln>
      </xdr:spPr>
    </xdr:sp>
    <xdr:clientData/>
  </xdr:twoCellAnchor>
  <xdr:twoCellAnchor>
    <xdr:from>
      <xdr:col>34</xdr:col>
      <xdr:colOff>0</xdr:colOff>
      <xdr:row>63</xdr:row>
      <xdr:rowOff>0</xdr:rowOff>
    </xdr:from>
    <xdr:to>
      <xdr:col>34</xdr:col>
      <xdr:colOff>0</xdr:colOff>
      <xdr:row>63</xdr:row>
      <xdr:rowOff>0</xdr:rowOff>
    </xdr:to>
    <xdr:sp macro="" textlink="">
      <xdr:nvSpPr>
        <xdr:cNvPr id="6" name="Line 23">
          <a:extLst>
            <a:ext uri="{FF2B5EF4-FFF2-40B4-BE49-F238E27FC236}">
              <a16:creationId xmlns:a16="http://schemas.microsoft.com/office/drawing/2014/main" id="{00000000-0008-0000-1600-000006000000}"/>
            </a:ext>
          </a:extLst>
        </xdr:cNvPr>
        <xdr:cNvSpPr>
          <a:spLocks noChangeShapeType="1"/>
        </xdr:cNvSpPr>
      </xdr:nvSpPr>
      <xdr:spPr bwMode="auto">
        <a:xfrm>
          <a:off x="21037550" y="13855700"/>
          <a:ext cx="0" cy="0"/>
        </a:xfrm>
        <a:prstGeom prst="line">
          <a:avLst/>
        </a:prstGeom>
        <a:noFill/>
        <a:ln w="9525">
          <a:solidFill>
            <a:srgbClr val="000000"/>
          </a:solidFill>
          <a:prstDash val="sysDot"/>
          <a:round/>
          <a:headEnd/>
          <a:tailEnd/>
        </a:ln>
      </xdr:spPr>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38100</xdr:colOff>
      <xdr:row>81</xdr:row>
      <xdr:rowOff>0</xdr:rowOff>
    </xdr:from>
    <xdr:to>
      <xdr:col>4</xdr:col>
      <xdr:colOff>19050</xdr:colOff>
      <xdr:row>81</xdr:row>
      <xdr:rowOff>0</xdr:rowOff>
    </xdr:to>
    <xdr:sp macro="" textlink="">
      <xdr:nvSpPr>
        <xdr:cNvPr id="1918065" name="Line 1">
          <a:extLst>
            <a:ext uri="{FF2B5EF4-FFF2-40B4-BE49-F238E27FC236}">
              <a16:creationId xmlns:a16="http://schemas.microsoft.com/office/drawing/2014/main" id="{00000000-0008-0000-1700-000071441D00}"/>
            </a:ext>
          </a:extLst>
        </xdr:cNvPr>
        <xdr:cNvSpPr>
          <a:spLocks noChangeShapeType="1"/>
        </xdr:cNvSpPr>
      </xdr:nvSpPr>
      <xdr:spPr bwMode="auto">
        <a:xfrm>
          <a:off x="38100" y="12449175"/>
          <a:ext cx="3743325" cy="0"/>
        </a:xfrm>
        <a:prstGeom prst="line">
          <a:avLst/>
        </a:prstGeom>
        <a:noFill/>
        <a:ln w="9525">
          <a:solidFill>
            <a:srgbClr val="000000"/>
          </a:solidFill>
          <a:prstDash val="sysDot"/>
          <a:round/>
          <a:headEnd/>
          <a:tailEnd/>
        </a:ln>
      </xdr:spPr>
    </xdr:sp>
    <xdr:clientData/>
  </xdr:twoCellAnchor>
  <xdr:twoCellAnchor>
    <xdr:from>
      <xdr:col>33</xdr:col>
      <xdr:colOff>0</xdr:colOff>
      <xdr:row>77</xdr:row>
      <xdr:rowOff>0</xdr:rowOff>
    </xdr:from>
    <xdr:to>
      <xdr:col>33</xdr:col>
      <xdr:colOff>0</xdr:colOff>
      <xdr:row>77</xdr:row>
      <xdr:rowOff>0</xdr:rowOff>
    </xdr:to>
    <xdr:sp macro="" textlink="">
      <xdr:nvSpPr>
        <xdr:cNvPr id="1918069" name="Line 5">
          <a:extLst>
            <a:ext uri="{FF2B5EF4-FFF2-40B4-BE49-F238E27FC236}">
              <a16:creationId xmlns:a16="http://schemas.microsoft.com/office/drawing/2014/main" id="{00000000-0008-0000-1700-000075441D00}"/>
            </a:ext>
          </a:extLst>
        </xdr:cNvPr>
        <xdr:cNvSpPr>
          <a:spLocks noChangeShapeType="1"/>
        </xdr:cNvSpPr>
      </xdr:nvSpPr>
      <xdr:spPr bwMode="auto">
        <a:xfrm>
          <a:off x="18849975" y="11830050"/>
          <a:ext cx="0" cy="0"/>
        </a:xfrm>
        <a:prstGeom prst="line">
          <a:avLst/>
        </a:prstGeom>
        <a:noFill/>
        <a:ln w="9525">
          <a:solidFill>
            <a:srgbClr val="000000"/>
          </a:solidFill>
          <a:prstDash val="sysDot"/>
          <a:round/>
          <a:headEnd/>
          <a:tailEnd/>
        </a:ln>
      </xdr:spPr>
    </xdr:sp>
    <xdr:clientData/>
  </xdr:twoCellAnchor>
  <xdr:twoCellAnchor>
    <xdr:from>
      <xdr:col>33</xdr:col>
      <xdr:colOff>0</xdr:colOff>
      <xdr:row>79</xdr:row>
      <xdr:rowOff>0</xdr:rowOff>
    </xdr:from>
    <xdr:to>
      <xdr:col>33</xdr:col>
      <xdr:colOff>9525</xdr:colOff>
      <xdr:row>79</xdr:row>
      <xdr:rowOff>0</xdr:rowOff>
    </xdr:to>
    <xdr:sp macro="" textlink="">
      <xdr:nvSpPr>
        <xdr:cNvPr id="1918071" name="Line 7">
          <a:extLst>
            <a:ext uri="{FF2B5EF4-FFF2-40B4-BE49-F238E27FC236}">
              <a16:creationId xmlns:a16="http://schemas.microsoft.com/office/drawing/2014/main" id="{00000000-0008-0000-1700-000077441D00}"/>
            </a:ext>
          </a:extLst>
        </xdr:cNvPr>
        <xdr:cNvSpPr>
          <a:spLocks noChangeShapeType="1"/>
        </xdr:cNvSpPr>
      </xdr:nvSpPr>
      <xdr:spPr bwMode="auto">
        <a:xfrm>
          <a:off x="18849975" y="12144375"/>
          <a:ext cx="9525" cy="0"/>
        </a:xfrm>
        <a:prstGeom prst="line">
          <a:avLst/>
        </a:prstGeom>
        <a:noFill/>
        <a:ln w="9525">
          <a:solidFill>
            <a:srgbClr val="000000"/>
          </a:solidFill>
          <a:prstDash val="sysDot"/>
          <a:round/>
          <a:headEnd/>
          <a:tailEnd/>
        </a:ln>
      </xdr:spPr>
    </xdr:sp>
    <xdr:clientData/>
  </xdr:twoCellAnchor>
  <xdr:twoCellAnchor>
    <xdr:from>
      <xdr:col>33</xdr:col>
      <xdr:colOff>0</xdr:colOff>
      <xdr:row>85</xdr:row>
      <xdr:rowOff>0</xdr:rowOff>
    </xdr:from>
    <xdr:to>
      <xdr:col>33</xdr:col>
      <xdr:colOff>0</xdr:colOff>
      <xdr:row>85</xdr:row>
      <xdr:rowOff>0</xdr:rowOff>
    </xdr:to>
    <xdr:sp macro="" textlink="">
      <xdr:nvSpPr>
        <xdr:cNvPr id="1918072" name="Line 8">
          <a:extLst>
            <a:ext uri="{FF2B5EF4-FFF2-40B4-BE49-F238E27FC236}">
              <a16:creationId xmlns:a16="http://schemas.microsoft.com/office/drawing/2014/main" id="{00000000-0008-0000-1700-000078441D00}"/>
            </a:ext>
          </a:extLst>
        </xdr:cNvPr>
        <xdr:cNvSpPr>
          <a:spLocks noChangeShapeType="1"/>
        </xdr:cNvSpPr>
      </xdr:nvSpPr>
      <xdr:spPr bwMode="auto">
        <a:xfrm>
          <a:off x="18849975" y="13020675"/>
          <a:ext cx="0" cy="0"/>
        </a:xfrm>
        <a:prstGeom prst="line">
          <a:avLst/>
        </a:prstGeom>
        <a:noFill/>
        <a:ln w="9525">
          <a:solidFill>
            <a:srgbClr val="000000"/>
          </a:solidFill>
          <a:prstDash val="sysDot"/>
          <a:round/>
          <a:headEnd/>
          <a:tailEnd/>
        </a:ln>
      </xdr:spPr>
    </xdr:sp>
    <xdr:clientData/>
  </xdr:twoCellAnchor>
  <xdr:twoCellAnchor>
    <xdr:from>
      <xdr:col>33</xdr:col>
      <xdr:colOff>0</xdr:colOff>
      <xdr:row>86</xdr:row>
      <xdr:rowOff>0</xdr:rowOff>
    </xdr:from>
    <xdr:to>
      <xdr:col>33</xdr:col>
      <xdr:colOff>0</xdr:colOff>
      <xdr:row>86</xdr:row>
      <xdr:rowOff>0</xdr:rowOff>
    </xdr:to>
    <xdr:sp macro="" textlink="">
      <xdr:nvSpPr>
        <xdr:cNvPr id="1918074" name="Line 10">
          <a:extLst>
            <a:ext uri="{FF2B5EF4-FFF2-40B4-BE49-F238E27FC236}">
              <a16:creationId xmlns:a16="http://schemas.microsoft.com/office/drawing/2014/main" id="{00000000-0008-0000-1700-00007A441D00}"/>
            </a:ext>
          </a:extLst>
        </xdr:cNvPr>
        <xdr:cNvSpPr>
          <a:spLocks noChangeShapeType="1"/>
        </xdr:cNvSpPr>
      </xdr:nvSpPr>
      <xdr:spPr bwMode="auto">
        <a:xfrm>
          <a:off x="18849975" y="13163550"/>
          <a:ext cx="0" cy="0"/>
        </a:xfrm>
        <a:prstGeom prst="line">
          <a:avLst/>
        </a:prstGeom>
        <a:noFill/>
        <a:ln w="9525">
          <a:solidFill>
            <a:srgbClr val="000000"/>
          </a:solidFill>
          <a:prstDash val="sysDot"/>
          <a:round/>
          <a:headEnd/>
          <a:tailEnd/>
        </a:ln>
      </xdr:spPr>
    </xdr:sp>
    <xdr:clientData/>
  </xdr:twoCellAnchor>
  <xdr:twoCellAnchor>
    <xdr:from>
      <xdr:col>33</xdr:col>
      <xdr:colOff>0</xdr:colOff>
      <xdr:row>88</xdr:row>
      <xdr:rowOff>0</xdr:rowOff>
    </xdr:from>
    <xdr:to>
      <xdr:col>33</xdr:col>
      <xdr:colOff>0</xdr:colOff>
      <xdr:row>88</xdr:row>
      <xdr:rowOff>0</xdr:rowOff>
    </xdr:to>
    <xdr:sp macro="" textlink="">
      <xdr:nvSpPr>
        <xdr:cNvPr id="1918075" name="Line 11">
          <a:extLst>
            <a:ext uri="{FF2B5EF4-FFF2-40B4-BE49-F238E27FC236}">
              <a16:creationId xmlns:a16="http://schemas.microsoft.com/office/drawing/2014/main" id="{00000000-0008-0000-1700-00007B441D00}"/>
            </a:ext>
          </a:extLst>
        </xdr:cNvPr>
        <xdr:cNvSpPr>
          <a:spLocks noChangeShapeType="1"/>
        </xdr:cNvSpPr>
      </xdr:nvSpPr>
      <xdr:spPr bwMode="auto">
        <a:xfrm>
          <a:off x="18849975" y="13449300"/>
          <a:ext cx="0" cy="0"/>
        </a:xfrm>
        <a:prstGeom prst="line">
          <a:avLst/>
        </a:prstGeom>
        <a:noFill/>
        <a:ln w="9525">
          <a:solidFill>
            <a:srgbClr val="000000"/>
          </a:solidFill>
          <a:prstDash val="sysDot"/>
          <a:round/>
          <a:headEnd/>
          <a:tailEnd/>
        </a:ln>
      </xdr:spPr>
    </xdr:sp>
    <xdr:clientData/>
  </xdr:twoCellAnchor>
  <xdr:twoCellAnchor>
    <xdr:from>
      <xdr:col>0</xdr:col>
      <xdr:colOff>38100</xdr:colOff>
      <xdr:row>77</xdr:row>
      <xdr:rowOff>0</xdr:rowOff>
    </xdr:from>
    <xdr:to>
      <xdr:col>4</xdr:col>
      <xdr:colOff>19050</xdr:colOff>
      <xdr:row>77</xdr:row>
      <xdr:rowOff>0</xdr:rowOff>
    </xdr:to>
    <xdr:sp macro="" textlink="">
      <xdr:nvSpPr>
        <xdr:cNvPr id="12" name="Line 1">
          <a:extLst>
            <a:ext uri="{FF2B5EF4-FFF2-40B4-BE49-F238E27FC236}">
              <a16:creationId xmlns:a16="http://schemas.microsoft.com/office/drawing/2014/main" id="{00000000-0008-0000-1700-00000C000000}"/>
            </a:ext>
          </a:extLst>
        </xdr:cNvPr>
        <xdr:cNvSpPr>
          <a:spLocks noChangeShapeType="1"/>
        </xdr:cNvSpPr>
      </xdr:nvSpPr>
      <xdr:spPr bwMode="auto">
        <a:xfrm>
          <a:off x="38100" y="12906375"/>
          <a:ext cx="4105275" cy="0"/>
        </a:xfrm>
        <a:prstGeom prst="line">
          <a:avLst/>
        </a:prstGeom>
        <a:noFill/>
        <a:ln w="9525">
          <a:solidFill>
            <a:srgbClr val="000000"/>
          </a:solidFill>
          <a:prstDash val="sysDot"/>
          <a:round/>
          <a:headEnd/>
          <a:tailEnd/>
        </a:ln>
      </xdr:spPr>
    </xdr:sp>
    <xdr:clientData/>
  </xdr:twoCellAnchor>
  <xdr:twoCellAnchor>
    <xdr:from>
      <xdr:col>33</xdr:col>
      <xdr:colOff>0</xdr:colOff>
      <xdr:row>73</xdr:row>
      <xdr:rowOff>0</xdr:rowOff>
    </xdr:from>
    <xdr:to>
      <xdr:col>33</xdr:col>
      <xdr:colOff>0</xdr:colOff>
      <xdr:row>73</xdr:row>
      <xdr:rowOff>0</xdr:rowOff>
    </xdr:to>
    <xdr:sp macro="" textlink="">
      <xdr:nvSpPr>
        <xdr:cNvPr id="16" name="Line 5">
          <a:extLst>
            <a:ext uri="{FF2B5EF4-FFF2-40B4-BE49-F238E27FC236}">
              <a16:creationId xmlns:a16="http://schemas.microsoft.com/office/drawing/2014/main" id="{00000000-0008-0000-1700-000010000000}"/>
            </a:ext>
          </a:extLst>
        </xdr:cNvPr>
        <xdr:cNvSpPr>
          <a:spLocks noChangeShapeType="1"/>
        </xdr:cNvSpPr>
      </xdr:nvSpPr>
      <xdr:spPr bwMode="auto">
        <a:xfrm>
          <a:off x="19002375" y="12287250"/>
          <a:ext cx="0" cy="0"/>
        </a:xfrm>
        <a:prstGeom prst="line">
          <a:avLst/>
        </a:prstGeom>
        <a:noFill/>
        <a:ln w="9525">
          <a:solidFill>
            <a:srgbClr val="000000"/>
          </a:solidFill>
          <a:prstDash val="sysDot"/>
          <a:round/>
          <a:headEnd/>
          <a:tailEnd/>
        </a:ln>
      </xdr:spPr>
    </xdr:sp>
    <xdr:clientData/>
  </xdr:twoCellAnchor>
  <xdr:twoCellAnchor>
    <xdr:from>
      <xdr:col>0</xdr:col>
      <xdr:colOff>0</xdr:colOff>
      <xdr:row>71</xdr:row>
      <xdr:rowOff>137583</xdr:rowOff>
    </xdr:from>
    <xdr:to>
      <xdr:col>3</xdr:col>
      <xdr:colOff>487892</xdr:colOff>
      <xdr:row>71</xdr:row>
      <xdr:rowOff>137583</xdr:rowOff>
    </xdr:to>
    <xdr:sp macro="" textlink="">
      <xdr:nvSpPr>
        <xdr:cNvPr id="17" name="Line 6">
          <a:extLst>
            <a:ext uri="{FF2B5EF4-FFF2-40B4-BE49-F238E27FC236}">
              <a16:creationId xmlns:a16="http://schemas.microsoft.com/office/drawing/2014/main" id="{00000000-0008-0000-1700-000011000000}"/>
            </a:ext>
          </a:extLst>
        </xdr:cNvPr>
        <xdr:cNvSpPr>
          <a:spLocks noChangeShapeType="1"/>
        </xdr:cNvSpPr>
      </xdr:nvSpPr>
      <xdr:spPr bwMode="auto">
        <a:xfrm>
          <a:off x="0" y="12100983"/>
          <a:ext cx="3945467" cy="0"/>
        </a:xfrm>
        <a:prstGeom prst="line">
          <a:avLst/>
        </a:prstGeom>
        <a:noFill/>
        <a:ln w="9525">
          <a:solidFill>
            <a:srgbClr val="000000"/>
          </a:solidFill>
          <a:prstDash val="sysDot"/>
          <a:round/>
          <a:headEnd/>
          <a:tailEnd/>
        </a:ln>
      </xdr:spPr>
    </xdr:sp>
    <xdr:clientData/>
  </xdr:twoCellAnchor>
  <xdr:twoCellAnchor>
    <xdr:from>
      <xdr:col>33</xdr:col>
      <xdr:colOff>0</xdr:colOff>
      <xdr:row>75</xdr:row>
      <xdr:rowOff>0</xdr:rowOff>
    </xdr:from>
    <xdr:to>
      <xdr:col>33</xdr:col>
      <xdr:colOff>9525</xdr:colOff>
      <xdr:row>75</xdr:row>
      <xdr:rowOff>0</xdr:rowOff>
    </xdr:to>
    <xdr:sp macro="" textlink="">
      <xdr:nvSpPr>
        <xdr:cNvPr id="18" name="Line 7">
          <a:extLst>
            <a:ext uri="{FF2B5EF4-FFF2-40B4-BE49-F238E27FC236}">
              <a16:creationId xmlns:a16="http://schemas.microsoft.com/office/drawing/2014/main" id="{00000000-0008-0000-1700-000012000000}"/>
            </a:ext>
          </a:extLst>
        </xdr:cNvPr>
        <xdr:cNvSpPr>
          <a:spLocks noChangeShapeType="1"/>
        </xdr:cNvSpPr>
      </xdr:nvSpPr>
      <xdr:spPr bwMode="auto">
        <a:xfrm>
          <a:off x="19002375" y="12601575"/>
          <a:ext cx="9525" cy="0"/>
        </a:xfrm>
        <a:prstGeom prst="line">
          <a:avLst/>
        </a:prstGeom>
        <a:noFill/>
        <a:ln w="9525">
          <a:solidFill>
            <a:srgbClr val="000000"/>
          </a:solidFill>
          <a:prstDash val="sysDot"/>
          <a:round/>
          <a:headEnd/>
          <a:tailEnd/>
        </a:ln>
      </xdr:spPr>
    </xdr:sp>
    <xdr:clientData/>
  </xdr:twoCellAnchor>
  <xdr:twoCellAnchor>
    <xdr:from>
      <xdr:col>33</xdr:col>
      <xdr:colOff>0</xdr:colOff>
      <xdr:row>81</xdr:row>
      <xdr:rowOff>0</xdr:rowOff>
    </xdr:from>
    <xdr:to>
      <xdr:col>33</xdr:col>
      <xdr:colOff>0</xdr:colOff>
      <xdr:row>81</xdr:row>
      <xdr:rowOff>0</xdr:rowOff>
    </xdr:to>
    <xdr:sp macro="" textlink="">
      <xdr:nvSpPr>
        <xdr:cNvPr id="19" name="Line 8">
          <a:extLst>
            <a:ext uri="{FF2B5EF4-FFF2-40B4-BE49-F238E27FC236}">
              <a16:creationId xmlns:a16="http://schemas.microsoft.com/office/drawing/2014/main" id="{00000000-0008-0000-1700-000013000000}"/>
            </a:ext>
          </a:extLst>
        </xdr:cNvPr>
        <xdr:cNvSpPr>
          <a:spLocks noChangeShapeType="1"/>
        </xdr:cNvSpPr>
      </xdr:nvSpPr>
      <xdr:spPr bwMode="auto">
        <a:xfrm>
          <a:off x="19002375" y="13477875"/>
          <a:ext cx="0" cy="0"/>
        </a:xfrm>
        <a:prstGeom prst="line">
          <a:avLst/>
        </a:prstGeom>
        <a:noFill/>
        <a:ln w="9525">
          <a:solidFill>
            <a:srgbClr val="000000"/>
          </a:solidFill>
          <a:prstDash val="sysDot"/>
          <a:round/>
          <a:headEnd/>
          <a:tailEnd/>
        </a:ln>
      </xdr:spPr>
    </xdr:sp>
    <xdr:clientData/>
  </xdr:twoCellAnchor>
  <xdr:twoCellAnchor>
    <xdr:from>
      <xdr:col>33</xdr:col>
      <xdr:colOff>0</xdr:colOff>
      <xdr:row>82</xdr:row>
      <xdr:rowOff>0</xdr:rowOff>
    </xdr:from>
    <xdr:to>
      <xdr:col>33</xdr:col>
      <xdr:colOff>0</xdr:colOff>
      <xdr:row>82</xdr:row>
      <xdr:rowOff>0</xdr:rowOff>
    </xdr:to>
    <xdr:sp macro="" textlink="">
      <xdr:nvSpPr>
        <xdr:cNvPr id="20" name="Line 10">
          <a:extLst>
            <a:ext uri="{FF2B5EF4-FFF2-40B4-BE49-F238E27FC236}">
              <a16:creationId xmlns:a16="http://schemas.microsoft.com/office/drawing/2014/main" id="{00000000-0008-0000-1700-000014000000}"/>
            </a:ext>
          </a:extLst>
        </xdr:cNvPr>
        <xdr:cNvSpPr>
          <a:spLocks noChangeShapeType="1"/>
        </xdr:cNvSpPr>
      </xdr:nvSpPr>
      <xdr:spPr bwMode="auto">
        <a:xfrm>
          <a:off x="19002375" y="13620750"/>
          <a:ext cx="0" cy="0"/>
        </a:xfrm>
        <a:prstGeom prst="line">
          <a:avLst/>
        </a:prstGeom>
        <a:noFill/>
        <a:ln w="9525">
          <a:solidFill>
            <a:srgbClr val="000000"/>
          </a:solidFill>
          <a:prstDash val="sysDot"/>
          <a:round/>
          <a:headEnd/>
          <a:tailEnd/>
        </a:ln>
      </xdr:spPr>
    </xdr:sp>
    <xdr:clientData/>
  </xdr:twoCellAnchor>
  <xdr:twoCellAnchor>
    <xdr:from>
      <xdr:col>33</xdr:col>
      <xdr:colOff>0</xdr:colOff>
      <xdr:row>84</xdr:row>
      <xdr:rowOff>0</xdr:rowOff>
    </xdr:from>
    <xdr:to>
      <xdr:col>33</xdr:col>
      <xdr:colOff>0</xdr:colOff>
      <xdr:row>84</xdr:row>
      <xdr:rowOff>0</xdr:rowOff>
    </xdr:to>
    <xdr:sp macro="" textlink="">
      <xdr:nvSpPr>
        <xdr:cNvPr id="21" name="Line 11">
          <a:extLst>
            <a:ext uri="{FF2B5EF4-FFF2-40B4-BE49-F238E27FC236}">
              <a16:creationId xmlns:a16="http://schemas.microsoft.com/office/drawing/2014/main" id="{00000000-0008-0000-1700-000015000000}"/>
            </a:ext>
          </a:extLst>
        </xdr:cNvPr>
        <xdr:cNvSpPr>
          <a:spLocks noChangeShapeType="1"/>
        </xdr:cNvSpPr>
      </xdr:nvSpPr>
      <xdr:spPr bwMode="auto">
        <a:xfrm>
          <a:off x="19002375" y="13906500"/>
          <a:ext cx="0" cy="0"/>
        </a:xfrm>
        <a:prstGeom prst="line">
          <a:avLst/>
        </a:prstGeom>
        <a:noFill/>
        <a:ln w="9525">
          <a:solidFill>
            <a:srgbClr val="000000"/>
          </a:solidFill>
          <a:prstDash val="sysDot"/>
          <a:round/>
          <a:headEnd/>
          <a:tailEnd/>
        </a:ln>
      </xdr:spPr>
    </xdr:sp>
    <xdr:clientData/>
  </xdr:twoCellAnchor>
  <xdr:twoCellAnchor>
    <xdr:from>
      <xdr:col>1</xdr:col>
      <xdr:colOff>90436</xdr:colOff>
      <xdr:row>69</xdr:row>
      <xdr:rowOff>146538</xdr:rowOff>
    </xdr:from>
    <xdr:to>
      <xdr:col>5</xdr:col>
      <xdr:colOff>71386</xdr:colOff>
      <xdr:row>69</xdr:row>
      <xdr:rowOff>146538</xdr:rowOff>
    </xdr:to>
    <xdr:sp macro="" textlink="">
      <xdr:nvSpPr>
        <xdr:cNvPr id="22" name="Line 1">
          <a:extLst>
            <a:ext uri="{FF2B5EF4-FFF2-40B4-BE49-F238E27FC236}">
              <a16:creationId xmlns:a16="http://schemas.microsoft.com/office/drawing/2014/main" id="{00000000-0008-0000-1700-000016000000}"/>
            </a:ext>
          </a:extLst>
        </xdr:cNvPr>
        <xdr:cNvSpPr>
          <a:spLocks noChangeShapeType="1"/>
        </xdr:cNvSpPr>
      </xdr:nvSpPr>
      <xdr:spPr bwMode="auto">
        <a:xfrm>
          <a:off x="446315" y="11827747"/>
          <a:ext cx="3696747" cy="0"/>
        </a:xfrm>
        <a:prstGeom prst="line">
          <a:avLst/>
        </a:prstGeom>
        <a:noFill/>
        <a:ln w="9525">
          <a:solidFill>
            <a:srgbClr val="000000"/>
          </a:solidFill>
          <a:prstDash val="sysDot"/>
          <a:round/>
          <a:headEnd/>
          <a:tailEnd/>
        </a:ln>
      </xdr:spPr>
    </xdr:sp>
    <xdr:clientData/>
  </xdr:twoCellAnchor>
  <xdr:twoCellAnchor>
    <xdr:from>
      <xdr:col>32</xdr:col>
      <xdr:colOff>0</xdr:colOff>
      <xdr:row>66</xdr:row>
      <xdr:rowOff>0</xdr:rowOff>
    </xdr:from>
    <xdr:to>
      <xdr:col>32</xdr:col>
      <xdr:colOff>0</xdr:colOff>
      <xdr:row>66</xdr:row>
      <xdr:rowOff>0</xdr:rowOff>
    </xdr:to>
    <xdr:sp macro="" textlink="">
      <xdr:nvSpPr>
        <xdr:cNvPr id="23" name="Line 5">
          <a:extLst>
            <a:ext uri="{FF2B5EF4-FFF2-40B4-BE49-F238E27FC236}">
              <a16:creationId xmlns:a16="http://schemas.microsoft.com/office/drawing/2014/main" id="{00000000-0008-0000-1700-000017000000}"/>
            </a:ext>
          </a:extLst>
        </xdr:cNvPr>
        <xdr:cNvSpPr>
          <a:spLocks noChangeShapeType="1"/>
        </xdr:cNvSpPr>
      </xdr:nvSpPr>
      <xdr:spPr bwMode="auto">
        <a:xfrm>
          <a:off x="18297525" y="11191875"/>
          <a:ext cx="0" cy="0"/>
        </a:xfrm>
        <a:prstGeom prst="line">
          <a:avLst/>
        </a:prstGeom>
        <a:noFill/>
        <a:ln w="9525">
          <a:solidFill>
            <a:srgbClr val="000000"/>
          </a:solidFill>
          <a:prstDash val="sysDot"/>
          <a:round/>
          <a:headEnd/>
          <a:tailEnd/>
        </a:ln>
      </xdr:spPr>
    </xdr:sp>
    <xdr:clientData/>
  </xdr:twoCellAnchor>
  <xdr:twoCellAnchor>
    <xdr:from>
      <xdr:col>32</xdr:col>
      <xdr:colOff>0</xdr:colOff>
      <xdr:row>68</xdr:row>
      <xdr:rowOff>0</xdr:rowOff>
    </xdr:from>
    <xdr:to>
      <xdr:col>32</xdr:col>
      <xdr:colOff>9525</xdr:colOff>
      <xdr:row>68</xdr:row>
      <xdr:rowOff>0</xdr:rowOff>
    </xdr:to>
    <xdr:sp macro="" textlink="">
      <xdr:nvSpPr>
        <xdr:cNvPr id="24" name="Line 7">
          <a:extLst>
            <a:ext uri="{FF2B5EF4-FFF2-40B4-BE49-F238E27FC236}">
              <a16:creationId xmlns:a16="http://schemas.microsoft.com/office/drawing/2014/main" id="{00000000-0008-0000-1700-000018000000}"/>
            </a:ext>
          </a:extLst>
        </xdr:cNvPr>
        <xdr:cNvSpPr>
          <a:spLocks noChangeShapeType="1"/>
        </xdr:cNvSpPr>
      </xdr:nvSpPr>
      <xdr:spPr bwMode="auto">
        <a:xfrm>
          <a:off x="18297525" y="11334750"/>
          <a:ext cx="9525" cy="0"/>
        </a:xfrm>
        <a:prstGeom prst="line">
          <a:avLst/>
        </a:prstGeom>
        <a:noFill/>
        <a:ln w="9525">
          <a:solidFill>
            <a:srgbClr val="000000"/>
          </a:solidFill>
          <a:prstDash val="sysDot"/>
          <a:round/>
          <a:headEnd/>
          <a:tailEnd/>
        </a:ln>
      </xdr:spPr>
    </xdr:sp>
    <xdr:clientData/>
  </xdr:twoCellAnchor>
  <xdr:twoCellAnchor>
    <xdr:from>
      <xdr:col>32</xdr:col>
      <xdr:colOff>0</xdr:colOff>
      <xdr:row>74</xdr:row>
      <xdr:rowOff>0</xdr:rowOff>
    </xdr:from>
    <xdr:to>
      <xdr:col>32</xdr:col>
      <xdr:colOff>0</xdr:colOff>
      <xdr:row>74</xdr:row>
      <xdr:rowOff>0</xdr:rowOff>
    </xdr:to>
    <xdr:sp macro="" textlink="">
      <xdr:nvSpPr>
        <xdr:cNvPr id="25" name="Line 8">
          <a:extLst>
            <a:ext uri="{FF2B5EF4-FFF2-40B4-BE49-F238E27FC236}">
              <a16:creationId xmlns:a16="http://schemas.microsoft.com/office/drawing/2014/main" id="{00000000-0008-0000-1700-000019000000}"/>
            </a:ext>
          </a:extLst>
        </xdr:cNvPr>
        <xdr:cNvSpPr>
          <a:spLocks noChangeShapeType="1"/>
        </xdr:cNvSpPr>
      </xdr:nvSpPr>
      <xdr:spPr bwMode="auto">
        <a:xfrm>
          <a:off x="18297525" y="12211050"/>
          <a:ext cx="0" cy="0"/>
        </a:xfrm>
        <a:prstGeom prst="line">
          <a:avLst/>
        </a:prstGeom>
        <a:noFill/>
        <a:ln w="9525">
          <a:solidFill>
            <a:srgbClr val="000000"/>
          </a:solidFill>
          <a:prstDash val="sysDot"/>
          <a:round/>
          <a:headEnd/>
          <a:tailEnd/>
        </a:ln>
      </xdr:spPr>
    </xdr:sp>
    <xdr:clientData/>
  </xdr:twoCellAnchor>
  <xdr:twoCellAnchor>
    <xdr:from>
      <xdr:col>32</xdr:col>
      <xdr:colOff>0</xdr:colOff>
      <xdr:row>75</xdr:row>
      <xdr:rowOff>0</xdr:rowOff>
    </xdr:from>
    <xdr:to>
      <xdr:col>32</xdr:col>
      <xdr:colOff>0</xdr:colOff>
      <xdr:row>75</xdr:row>
      <xdr:rowOff>0</xdr:rowOff>
    </xdr:to>
    <xdr:sp macro="" textlink="">
      <xdr:nvSpPr>
        <xdr:cNvPr id="26" name="Line 10">
          <a:extLst>
            <a:ext uri="{FF2B5EF4-FFF2-40B4-BE49-F238E27FC236}">
              <a16:creationId xmlns:a16="http://schemas.microsoft.com/office/drawing/2014/main" id="{00000000-0008-0000-1700-00001A000000}"/>
            </a:ext>
          </a:extLst>
        </xdr:cNvPr>
        <xdr:cNvSpPr>
          <a:spLocks noChangeShapeType="1"/>
        </xdr:cNvSpPr>
      </xdr:nvSpPr>
      <xdr:spPr bwMode="auto">
        <a:xfrm>
          <a:off x="18297525" y="12353925"/>
          <a:ext cx="0" cy="0"/>
        </a:xfrm>
        <a:prstGeom prst="line">
          <a:avLst/>
        </a:prstGeom>
        <a:noFill/>
        <a:ln w="9525">
          <a:solidFill>
            <a:srgbClr val="000000"/>
          </a:solidFill>
          <a:prstDash val="sysDot"/>
          <a:round/>
          <a:headEnd/>
          <a:tailEnd/>
        </a:ln>
      </xdr:spPr>
    </xdr:sp>
    <xdr:clientData/>
  </xdr:twoCellAnchor>
  <xdr:twoCellAnchor>
    <xdr:from>
      <xdr:col>32</xdr:col>
      <xdr:colOff>0</xdr:colOff>
      <xdr:row>77</xdr:row>
      <xdr:rowOff>0</xdr:rowOff>
    </xdr:from>
    <xdr:to>
      <xdr:col>32</xdr:col>
      <xdr:colOff>0</xdr:colOff>
      <xdr:row>77</xdr:row>
      <xdr:rowOff>0</xdr:rowOff>
    </xdr:to>
    <xdr:sp macro="" textlink="">
      <xdr:nvSpPr>
        <xdr:cNvPr id="27" name="Line 11">
          <a:extLst>
            <a:ext uri="{FF2B5EF4-FFF2-40B4-BE49-F238E27FC236}">
              <a16:creationId xmlns:a16="http://schemas.microsoft.com/office/drawing/2014/main" id="{00000000-0008-0000-1700-00001B000000}"/>
            </a:ext>
          </a:extLst>
        </xdr:cNvPr>
        <xdr:cNvSpPr>
          <a:spLocks noChangeShapeType="1"/>
        </xdr:cNvSpPr>
      </xdr:nvSpPr>
      <xdr:spPr bwMode="auto">
        <a:xfrm>
          <a:off x="18297525" y="12639675"/>
          <a:ext cx="0" cy="0"/>
        </a:xfrm>
        <a:prstGeom prst="line">
          <a:avLst/>
        </a:prstGeom>
        <a:noFill/>
        <a:ln w="9525">
          <a:solidFill>
            <a:srgbClr val="000000"/>
          </a:solidFill>
          <a:prstDash val="sysDot"/>
          <a:round/>
          <a:headEnd/>
          <a:tailEnd/>
        </a:ln>
      </xdr:spPr>
    </xdr:sp>
    <xdr:clientData/>
  </xdr:twoCellAnchor>
</xdr:wsDr>
</file>

<file path=xl/drawings/drawing25.xml><?xml version="1.0" encoding="utf-8"?>
<xdr:wsDr xmlns:xdr="http://schemas.openxmlformats.org/drawingml/2006/spreadsheetDrawing" xmlns:a="http://schemas.openxmlformats.org/drawingml/2006/main">
  <xdr:twoCellAnchor>
    <xdr:from>
      <xdr:col>32</xdr:col>
      <xdr:colOff>0</xdr:colOff>
      <xdr:row>28</xdr:row>
      <xdr:rowOff>0</xdr:rowOff>
    </xdr:from>
    <xdr:to>
      <xdr:col>32</xdr:col>
      <xdr:colOff>0</xdr:colOff>
      <xdr:row>28</xdr:row>
      <xdr:rowOff>0</xdr:rowOff>
    </xdr:to>
    <xdr:sp macro="" textlink="">
      <xdr:nvSpPr>
        <xdr:cNvPr id="2" name="Line 5">
          <a:extLst>
            <a:ext uri="{FF2B5EF4-FFF2-40B4-BE49-F238E27FC236}">
              <a16:creationId xmlns:a16="http://schemas.microsoft.com/office/drawing/2014/main" id="{4290A155-9D73-4D4D-88C3-41BAB5DF1592}"/>
            </a:ext>
          </a:extLst>
        </xdr:cNvPr>
        <xdr:cNvSpPr>
          <a:spLocks noChangeShapeType="1"/>
        </xdr:cNvSpPr>
      </xdr:nvSpPr>
      <xdr:spPr bwMode="auto">
        <a:xfrm>
          <a:off x="21431250" y="9448800"/>
          <a:ext cx="0" cy="0"/>
        </a:xfrm>
        <a:prstGeom prst="line">
          <a:avLst/>
        </a:prstGeom>
        <a:noFill/>
        <a:ln w="9525">
          <a:solidFill>
            <a:srgbClr val="000000"/>
          </a:solidFill>
          <a:prstDash val="sysDot"/>
          <a:round/>
          <a:headEnd/>
          <a:tailEnd/>
        </a:ln>
      </xdr:spPr>
    </xdr:sp>
    <xdr:clientData/>
  </xdr:twoCellAnchor>
  <xdr:twoCellAnchor>
    <xdr:from>
      <xdr:col>32</xdr:col>
      <xdr:colOff>0</xdr:colOff>
      <xdr:row>29</xdr:row>
      <xdr:rowOff>0</xdr:rowOff>
    </xdr:from>
    <xdr:to>
      <xdr:col>32</xdr:col>
      <xdr:colOff>9525</xdr:colOff>
      <xdr:row>29</xdr:row>
      <xdr:rowOff>0</xdr:rowOff>
    </xdr:to>
    <xdr:sp macro="" textlink="">
      <xdr:nvSpPr>
        <xdr:cNvPr id="3" name="Line 7">
          <a:extLst>
            <a:ext uri="{FF2B5EF4-FFF2-40B4-BE49-F238E27FC236}">
              <a16:creationId xmlns:a16="http://schemas.microsoft.com/office/drawing/2014/main" id="{3CFD8708-0056-42FD-B534-14C669578D94}"/>
            </a:ext>
          </a:extLst>
        </xdr:cNvPr>
        <xdr:cNvSpPr>
          <a:spLocks noChangeShapeType="1"/>
        </xdr:cNvSpPr>
      </xdr:nvSpPr>
      <xdr:spPr bwMode="auto">
        <a:xfrm>
          <a:off x="21431250" y="96107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34</xdr:row>
      <xdr:rowOff>0</xdr:rowOff>
    </xdr:from>
    <xdr:to>
      <xdr:col>32</xdr:col>
      <xdr:colOff>0</xdr:colOff>
      <xdr:row>34</xdr:row>
      <xdr:rowOff>0</xdr:rowOff>
    </xdr:to>
    <xdr:sp macro="" textlink="">
      <xdr:nvSpPr>
        <xdr:cNvPr id="6" name="Line 11">
          <a:extLst>
            <a:ext uri="{FF2B5EF4-FFF2-40B4-BE49-F238E27FC236}">
              <a16:creationId xmlns:a16="http://schemas.microsoft.com/office/drawing/2014/main" id="{103E2F4B-EC05-40FC-8852-9B5D207FE630}"/>
            </a:ext>
          </a:extLst>
        </xdr:cNvPr>
        <xdr:cNvSpPr>
          <a:spLocks noChangeShapeType="1"/>
        </xdr:cNvSpPr>
      </xdr:nvSpPr>
      <xdr:spPr bwMode="auto">
        <a:xfrm>
          <a:off x="21431250" y="11449050"/>
          <a:ext cx="0" cy="0"/>
        </a:xfrm>
        <a:prstGeom prst="line">
          <a:avLst/>
        </a:prstGeom>
        <a:noFill/>
        <a:ln w="9525">
          <a:solidFill>
            <a:srgbClr val="000000"/>
          </a:solidFill>
          <a:prstDash val="sysDot"/>
          <a:round/>
          <a:headEnd/>
          <a:tailEnd/>
        </a:ln>
      </xdr:spPr>
    </xdr:sp>
    <xdr:clientData/>
  </xdr:twoCellAnchor>
  <xdr:twoCellAnchor>
    <xdr:from>
      <xdr:col>0</xdr:col>
      <xdr:colOff>38100</xdr:colOff>
      <xdr:row>46</xdr:row>
      <xdr:rowOff>0</xdr:rowOff>
    </xdr:from>
    <xdr:to>
      <xdr:col>4</xdr:col>
      <xdr:colOff>19050</xdr:colOff>
      <xdr:row>46</xdr:row>
      <xdr:rowOff>0</xdr:rowOff>
    </xdr:to>
    <xdr:sp macro="" textlink="">
      <xdr:nvSpPr>
        <xdr:cNvPr id="7" name="Line 1">
          <a:extLst>
            <a:ext uri="{FF2B5EF4-FFF2-40B4-BE49-F238E27FC236}">
              <a16:creationId xmlns:a16="http://schemas.microsoft.com/office/drawing/2014/main" id="{38E9141F-59B3-4B7D-A084-0742FB783C66}"/>
            </a:ext>
          </a:extLst>
        </xdr:cNvPr>
        <xdr:cNvSpPr>
          <a:spLocks noChangeShapeType="1"/>
        </xdr:cNvSpPr>
      </xdr:nvSpPr>
      <xdr:spPr bwMode="auto">
        <a:xfrm>
          <a:off x="38100" y="13392150"/>
          <a:ext cx="3981450" cy="0"/>
        </a:xfrm>
        <a:prstGeom prst="line">
          <a:avLst/>
        </a:prstGeom>
        <a:noFill/>
        <a:ln w="9525">
          <a:solidFill>
            <a:srgbClr val="000000"/>
          </a:solidFill>
          <a:prstDash val="sysDot"/>
          <a:round/>
          <a:headEnd/>
          <a:tailEnd/>
        </a:ln>
      </xdr:spPr>
    </xdr:sp>
    <xdr:clientData/>
  </xdr:twoCellAnchor>
  <xdr:twoCellAnchor>
    <xdr:from>
      <xdr:col>32</xdr:col>
      <xdr:colOff>0</xdr:colOff>
      <xdr:row>41</xdr:row>
      <xdr:rowOff>0</xdr:rowOff>
    </xdr:from>
    <xdr:to>
      <xdr:col>32</xdr:col>
      <xdr:colOff>0</xdr:colOff>
      <xdr:row>41</xdr:row>
      <xdr:rowOff>0</xdr:rowOff>
    </xdr:to>
    <xdr:sp macro="" textlink="">
      <xdr:nvSpPr>
        <xdr:cNvPr id="8" name="Line 5">
          <a:extLst>
            <a:ext uri="{FF2B5EF4-FFF2-40B4-BE49-F238E27FC236}">
              <a16:creationId xmlns:a16="http://schemas.microsoft.com/office/drawing/2014/main" id="{ED05DD79-BA86-4898-8385-8CBEC823A171}"/>
            </a:ext>
          </a:extLst>
        </xdr:cNvPr>
        <xdr:cNvSpPr>
          <a:spLocks noChangeShapeType="1"/>
        </xdr:cNvSpPr>
      </xdr:nvSpPr>
      <xdr:spPr bwMode="auto">
        <a:xfrm>
          <a:off x="21431250" y="12601575"/>
          <a:ext cx="0" cy="0"/>
        </a:xfrm>
        <a:prstGeom prst="line">
          <a:avLst/>
        </a:prstGeom>
        <a:noFill/>
        <a:ln w="9525">
          <a:solidFill>
            <a:srgbClr val="000000"/>
          </a:solidFill>
          <a:prstDash val="sysDot"/>
          <a:round/>
          <a:headEnd/>
          <a:tailEnd/>
        </a:ln>
      </xdr:spPr>
    </xdr:sp>
    <xdr:clientData/>
  </xdr:twoCellAnchor>
  <xdr:twoCellAnchor>
    <xdr:from>
      <xdr:col>32</xdr:col>
      <xdr:colOff>0</xdr:colOff>
      <xdr:row>43</xdr:row>
      <xdr:rowOff>0</xdr:rowOff>
    </xdr:from>
    <xdr:to>
      <xdr:col>32</xdr:col>
      <xdr:colOff>9525</xdr:colOff>
      <xdr:row>43</xdr:row>
      <xdr:rowOff>0</xdr:rowOff>
    </xdr:to>
    <xdr:sp macro="" textlink="">
      <xdr:nvSpPr>
        <xdr:cNvPr id="9" name="Line 7">
          <a:extLst>
            <a:ext uri="{FF2B5EF4-FFF2-40B4-BE49-F238E27FC236}">
              <a16:creationId xmlns:a16="http://schemas.microsoft.com/office/drawing/2014/main" id="{68774706-3020-401F-850F-9BA3823B0B7F}"/>
            </a:ext>
          </a:extLst>
        </xdr:cNvPr>
        <xdr:cNvSpPr>
          <a:spLocks noChangeShapeType="1"/>
        </xdr:cNvSpPr>
      </xdr:nvSpPr>
      <xdr:spPr bwMode="auto">
        <a:xfrm>
          <a:off x="21431250" y="129254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49</xdr:row>
      <xdr:rowOff>0</xdr:rowOff>
    </xdr:from>
    <xdr:to>
      <xdr:col>32</xdr:col>
      <xdr:colOff>0</xdr:colOff>
      <xdr:row>49</xdr:row>
      <xdr:rowOff>0</xdr:rowOff>
    </xdr:to>
    <xdr:sp macro="" textlink="">
      <xdr:nvSpPr>
        <xdr:cNvPr id="10" name="Line 8">
          <a:extLst>
            <a:ext uri="{FF2B5EF4-FFF2-40B4-BE49-F238E27FC236}">
              <a16:creationId xmlns:a16="http://schemas.microsoft.com/office/drawing/2014/main" id="{9F7433C3-5DDC-4A6B-8A63-3AA741AE3A45}"/>
            </a:ext>
          </a:extLst>
        </xdr:cNvPr>
        <xdr:cNvSpPr>
          <a:spLocks noChangeShapeType="1"/>
        </xdr:cNvSpPr>
      </xdr:nvSpPr>
      <xdr:spPr bwMode="auto">
        <a:xfrm>
          <a:off x="21431250" y="13820775"/>
          <a:ext cx="0" cy="0"/>
        </a:xfrm>
        <a:prstGeom prst="line">
          <a:avLst/>
        </a:prstGeom>
        <a:noFill/>
        <a:ln w="9525">
          <a:solidFill>
            <a:srgbClr val="000000"/>
          </a:solidFill>
          <a:prstDash val="sysDot"/>
          <a:round/>
          <a:headEnd/>
          <a:tailEnd/>
        </a:ln>
      </xdr:spPr>
    </xdr:sp>
    <xdr:clientData/>
  </xdr:twoCellAnchor>
  <xdr:twoCellAnchor>
    <xdr:from>
      <xdr:col>32</xdr:col>
      <xdr:colOff>0</xdr:colOff>
      <xdr:row>50</xdr:row>
      <xdr:rowOff>0</xdr:rowOff>
    </xdr:from>
    <xdr:to>
      <xdr:col>32</xdr:col>
      <xdr:colOff>0</xdr:colOff>
      <xdr:row>50</xdr:row>
      <xdr:rowOff>0</xdr:rowOff>
    </xdr:to>
    <xdr:sp macro="" textlink="">
      <xdr:nvSpPr>
        <xdr:cNvPr id="11" name="Line 10">
          <a:extLst>
            <a:ext uri="{FF2B5EF4-FFF2-40B4-BE49-F238E27FC236}">
              <a16:creationId xmlns:a16="http://schemas.microsoft.com/office/drawing/2014/main" id="{93CDE6FF-C40D-45F6-8803-E99E59875D62}"/>
            </a:ext>
          </a:extLst>
        </xdr:cNvPr>
        <xdr:cNvSpPr>
          <a:spLocks noChangeShapeType="1"/>
        </xdr:cNvSpPr>
      </xdr:nvSpPr>
      <xdr:spPr bwMode="auto">
        <a:xfrm>
          <a:off x="21431250" y="13963650"/>
          <a:ext cx="0" cy="0"/>
        </a:xfrm>
        <a:prstGeom prst="line">
          <a:avLst/>
        </a:prstGeom>
        <a:noFill/>
        <a:ln w="9525">
          <a:solidFill>
            <a:srgbClr val="000000"/>
          </a:solidFill>
          <a:prstDash val="sysDot"/>
          <a:round/>
          <a:headEnd/>
          <a:tailEnd/>
        </a:ln>
      </xdr:spPr>
    </xdr:sp>
    <xdr:clientData/>
  </xdr:twoCellAnchor>
  <xdr:twoCellAnchor>
    <xdr:from>
      <xdr:col>32</xdr:col>
      <xdr:colOff>0</xdr:colOff>
      <xdr:row>52</xdr:row>
      <xdr:rowOff>0</xdr:rowOff>
    </xdr:from>
    <xdr:to>
      <xdr:col>32</xdr:col>
      <xdr:colOff>0</xdr:colOff>
      <xdr:row>52</xdr:row>
      <xdr:rowOff>0</xdr:rowOff>
    </xdr:to>
    <xdr:sp macro="" textlink="">
      <xdr:nvSpPr>
        <xdr:cNvPr id="12" name="Line 11">
          <a:extLst>
            <a:ext uri="{FF2B5EF4-FFF2-40B4-BE49-F238E27FC236}">
              <a16:creationId xmlns:a16="http://schemas.microsoft.com/office/drawing/2014/main" id="{192C8BB6-F8B6-42CF-88C3-CD93B26ED757}"/>
            </a:ext>
          </a:extLst>
        </xdr:cNvPr>
        <xdr:cNvSpPr>
          <a:spLocks noChangeShapeType="1"/>
        </xdr:cNvSpPr>
      </xdr:nvSpPr>
      <xdr:spPr bwMode="auto">
        <a:xfrm>
          <a:off x="21431250" y="14249400"/>
          <a:ext cx="0" cy="0"/>
        </a:xfrm>
        <a:prstGeom prst="line">
          <a:avLst/>
        </a:prstGeom>
        <a:noFill/>
        <a:ln w="9525">
          <a:solidFill>
            <a:srgbClr val="000000"/>
          </a:solidFill>
          <a:prstDash val="sysDot"/>
          <a:round/>
          <a:headEnd/>
          <a:tailEnd/>
        </a:ln>
      </xdr:spPr>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38100</xdr:colOff>
      <xdr:row>74</xdr:row>
      <xdr:rowOff>0</xdr:rowOff>
    </xdr:from>
    <xdr:to>
      <xdr:col>4</xdr:col>
      <xdr:colOff>19050</xdr:colOff>
      <xdr:row>74</xdr:row>
      <xdr:rowOff>0</xdr:rowOff>
    </xdr:to>
    <xdr:sp macro="" textlink="">
      <xdr:nvSpPr>
        <xdr:cNvPr id="2" name="Line 1">
          <a:extLst>
            <a:ext uri="{FF2B5EF4-FFF2-40B4-BE49-F238E27FC236}">
              <a16:creationId xmlns:a16="http://schemas.microsoft.com/office/drawing/2014/main" id="{00000000-0008-0000-1800-000002000000}"/>
            </a:ext>
          </a:extLst>
        </xdr:cNvPr>
        <xdr:cNvSpPr>
          <a:spLocks noChangeShapeType="1"/>
        </xdr:cNvSpPr>
      </xdr:nvSpPr>
      <xdr:spPr bwMode="auto">
        <a:xfrm>
          <a:off x="38100" y="14982825"/>
          <a:ext cx="4105275" cy="0"/>
        </a:xfrm>
        <a:prstGeom prst="line">
          <a:avLst/>
        </a:prstGeom>
        <a:noFill/>
        <a:ln w="9525">
          <a:solidFill>
            <a:srgbClr val="000000"/>
          </a:solidFill>
          <a:prstDash val="sysDot"/>
          <a:round/>
          <a:headEnd/>
          <a:tailEnd/>
        </a:ln>
      </xdr:spPr>
    </xdr:sp>
    <xdr:clientData/>
  </xdr:twoCellAnchor>
  <xdr:twoCellAnchor>
    <xdr:from>
      <xdr:col>31</xdr:col>
      <xdr:colOff>0</xdr:colOff>
      <xdr:row>70</xdr:row>
      <xdr:rowOff>0</xdr:rowOff>
    </xdr:from>
    <xdr:to>
      <xdr:col>31</xdr:col>
      <xdr:colOff>0</xdr:colOff>
      <xdr:row>70</xdr:row>
      <xdr:rowOff>0</xdr:rowOff>
    </xdr:to>
    <xdr:sp macro="" textlink="">
      <xdr:nvSpPr>
        <xdr:cNvPr id="3" name="Line 5">
          <a:extLst>
            <a:ext uri="{FF2B5EF4-FFF2-40B4-BE49-F238E27FC236}">
              <a16:creationId xmlns:a16="http://schemas.microsoft.com/office/drawing/2014/main" id="{00000000-0008-0000-1800-000003000000}"/>
            </a:ext>
          </a:extLst>
        </xdr:cNvPr>
        <xdr:cNvSpPr>
          <a:spLocks noChangeShapeType="1"/>
        </xdr:cNvSpPr>
      </xdr:nvSpPr>
      <xdr:spPr bwMode="auto">
        <a:xfrm>
          <a:off x="19650075" y="14335125"/>
          <a:ext cx="0" cy="0"/>
        </a:xfrm>
        <a:prstGeom prst="line">
          <a:avLst/>
        </a:prstGeom>
        <a:noFill/>
        <a:ln w="9525">
          <a:solidFill>
            <a:srgbClr val="000000"/>
          </a:solidFill>
          <a:prstDash val="sysDot"/>
          <a:round/>
          <a:headEnd/>
          <a:tailEnd/>
        </a:ln>
      </xdr:spPr>
    </xdr:sp>
    <xdr:clientData/>
  </xdr:twoCellAnchor>
  <xdr:twoCellAnchor>
    <xdr:from>
      <xdr:col>31</xdr:col>
      <xdr:colOff>0</xdr:colOff>
      <xdr:row>72</xdr:row>
      <xdr:rowOff>0</xdr:rowOff>
    </xdr:from>
    <xdr:to>
      <xdr:col>31</xdr:col>
      <xdr:colOff>9525</xdr:colOff>
      <xdr:row>72</xdr:row>
      <xdr:rowOff>0</xdr:rowOff>
    </xdr:to>
    <xdr:sp macro="" textlink="">
      <xdr:nvSpPr>
        <xdr:cNvPr id="4" name="Line 7">
          <a:extLst>
            <a:ext uri="{FF2B5EF4-FFF2-40B4-BE49-F238E27FC236}">
              <a16:creationId xmlns:a16="http://schemas.microsoft.com/office/drawing/2014/main" id="{00000000-0008-0000-1800-000004000000}"/>
            </a:ext>
          </a:extLst>
        </xdr:cNvPr>
        <xdr:cNvSpPr>
          <a:spLocks noChangeShapeType="1"/>
        </xdr:cNvSpPr>
      </xdr:nvSpPr>
      <xdr:spPr bwMode="auto">
        <a:xfrm>
          <a:off x="19650075" y="146589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78</xdr:row>
      <xdr:rowOff>0</xdr:rowOff>
    </xdr:from>
    <xdr:to>
      <xdr:col>31</xdr:col>
      <xdr:colOff>0</xdr:colOff>
      <xdr:row>78</xdr:row>
      <xdr:rowOff>0</xdr:rowOff>
    </xdr:to>
    <xdr:sp macro="" textlink="">
      <xdr:nvSpPr>
        <xdr:cNvPr id="5" name="Line 8">
          <a:extLst>
            <a:ext uri="{FF2B5EF4-FFF2-40B4-BE49-F238E27FC236}">
              <a16:creationId xmlns:a16="http://schemas.microsoft.com/office/drawing/2014/main" id="{00000000-0008-0000-1800-000005000000}"/>
            </a:ext>
          </a:extLst>
        </xdr:cNvPr>
        <xdr:cNvSpPr>
          <a:spLocks noChangeShapeType="1"/>
        </xdr:cNvSpPr>
      </xdr:nvSpPr>
      <xdr:spPr bwMode="auto">
        <a:xfrm>
          <a:off x="19650075" y="15630525"/>
          <a:ext cx="0" cy="0"/>
        </a:xfrm>
        <a:prstGeom prst="line">
          <a:avLst/>
        </a:prstGeom>
        <a:noFill/>
        <a:ln w="9525">
          <a:solidFill>
            <a:srgbClr val="000000"/>
          </a:solidFill>
          <a:prstDash val="sysDot"/>
          <a:round/>
          <a:headEnd/>
          <a:tailEnd/>
        </a:ln>
      </xdr:spPr>
    </xdr:sp>
    <xdr:clientData/>
  </xdr:twoCellAnchor>
  <xdr:twoCellAnchor>
    <xdr:from>
      <xdr:col>31</xdr:col>
      <xdr:colOff>0</xdr:colOff>
      <xdr:row>79</xdr:row>
      <xdr:rowOff>0</xdr:rowOff>
    </xdr:from>
    <xdr:to>
      <xdr:col>31</xdr:col>
      <xdr:colOff>0</xdr:colOff>
      <xdr:row>79</xdr:row>
      <xdr:rowOff>0</xdr:rowOff>
    </xdr:to>
    <xdr:sp macro="" textlink="">
      <xdr:nvSpPr>
        <xdr:cNvPr id="6" name="Line 10">
          <a:extLst>
            <a:ext uri="{FF2B5EF4-FFF2-40B4-BE49-F238E27FC236}">
              <a16:creationId xmlns:a16="http://schemas.microsoft.com/office/drawing/2014/main" id="{00000000-0008-0000-1800-000006000000}"/>
            </a:ext>
          </a:extLst>
        </xdr:cNvPr>
        <xdr:cNvSpPr>
          <a:spLocks noChangeShapeType="1"/>
        </xdr:cNvSpPr>
      </xdr:nvSpPr>
      <xdr:spPr bwMode="auto">
        <a:xfrm>
          <a:off x="19650075" y="15792450"/>
          <a:ext cx="0" cy="0"/>
        </a:xfrm>
        <a:prstGeom prst="line">
          <a:avLst/>
        </a:prstGeom>
        <a:noFill/>
        <a:ln w="9525">
          <a:solidFill>
            <a:srgbClr val="000000"/>
          </a:solidFill>
          <a:prstDash val="sysDot"/>
          <a:round/>
          <a:headEnd/>
          <a:tailEnd/>
        </a:ln>
      </xdr:spPr>
    </xdr:sp>
    <xdr:clientData/>
  </xdr:twoCellAnchor>
  <xdr:twoCellAnchor>
    <xdr:from>
      <xdr:col>31</xdr:col>
      <xdr:colOff>0</xdr:colOff>
      <xdr:row>81</xdr:row>
      <xdr:rowOff>0</xdr:rowOff>
    </xdr:from>
    <xdr:to>
      <xdr:col>31</xdr:col>
      <xdr:colOff>0</xdr:colOff>
      <xdr:row>81</xdr:row>
      <xdr:rowOff>0</xdr:rowOff>
    </xdr:to>
    <xdr:sp macro="" textlink="">
      <xdr:nvSpPr>
        <xdr:cNvPr id="7" name="Line 11">
          <a:extLst>
            <a:ext uri="{FF2B5EF4-FFF2-40B4-BE49-F238E27FC236}">
              <a16:creationId xmlns:a16="http://schemas.microsoft.com/office/drawing/2014/main" id="{00000000-0008-0000-1800-000007000000}"/>
            </a:ext>
          </a:extLst>
        </xdr:cNvPr>
        <xdr:cNvSpPr>
          <a:spLocks noChangeShapeType="1"/>
        </xdr:cNvSpPr>
      </xdr:nvSpPr>
      <xdr:spPr bwMode="auto">
        <a:xfrm>
          <a:off x="19650075" y="16116300"/>
          <a:ext cx="0" cy="0"/>
        </a:xfrm>
        <a:prstGeom prst="line">
          <a:avLst/>
        </a:prstGeom>
        <a:noFill/>
        <a:ln w="9525">
          <a:solidFill>
            <a:srgbClr val="000000"/>
          </a:solidFill>
          <a:prstDash val="sysDot"/>
          <a:round/>
          <a:headEnd/>
          <a:tailEnd/>
        </a:ln>
      </xdr:spPr>
    </xdr:sp>
    <xdr:clientData/>
  </xdr:twoCellAnchor>
  <xdr:twoCellAnchor>
    <xdr:from>
      <xdr:col>31</xdr:col>
      <xdr:colOff>0</xdr:colOff>
      <xdr:row>74</xdr:row>
      <xdr:rowOff>0</xdr:rowOff>
    </xdr:from>
    <xdr:to>
      <xdr:col>31</xdr:col>
      <xdr:colOff>0</xdr:colOff>
      <xdr:row>74</xdr:row>
      <xdr:rowOff>0</xdr:rowOff>
    </xdr:to>
    <xdr:sp macro="" textlink="">
      <xdr:nvSpPr>
        <xdr:cNvPr id="8" name="Line 5">
          <a:extLst>
            <a:ext uri="{FF2B5EF4-FFF2-40B4-BE49-F238E27FC236}">
              <a16:creationId xmlns:a16="http://schemas.microsoft.com/office/drawing/2014/main" id="{00000000-0008-0000-1800-000008000000}"/>
            </a:ext>
          </a:extLst>
        </xdr:cNvPr>
        <xdr:cNvSpPr>
          <a:spLocks noChangeShapeType="1"/>
        </xdr:cNvSpPr>
      </xdr:nvSpPr>
      <xdr:spPr bwMode="auto">
        <a:xfrm>
          <a:off x="19650075" y="14982825"/>
          <a:ext cx="0" cy="0"/>
        </a:xfrm>
        <a:prstGeom prst="line">
          <a:avLst/>
        </a:prstGeom>
        <a:noFill/>
        <a:ln w="9525">
          <a:solidFill>
            <a:srgbClr val="000000"/>
          </a:solidFill>
          <a:prstDash val="sysDot"/>
          <a:round/>
          <a:headEnd/>
          <a:tailEnd/>
        </a:ln>
      </xdr:spPr>
    </xdr:sp>
    <xdr:clientData/>
  </xdr:twoCellAnchor>
  <xdr:twoCellAnchor>
    <xdr:from>
      <xdr:col>30</xdr:col>
      <xdr:colOff>9525</xdr:colOff>
      <xdr:row>74</xdr:row>
      <xdr:rowOff>133350</xdr:rowOff>
    </xdr:from>
    <xdr:to>
      <xdr:col>31</xdr:col>
      <xdr:colOff>933450</xdr:colOff>
      <xdr:row>74</xdr:row>
      <xdr:rowOff>133350</xdr:rowOff>
    </xdr:to>
    <xdr:sp macro="" textlink="">
      <xdr:nvSpPr>
        <xdr:cNvPr id="9" name="Line 6">
          <a:extLst>
            <a:ext uri="{FF2B5EF4-FFF2-40B4-BE49-F238E27FC236}">
              <a16:creationId xmlns:a16="http://schemas.microsoft.com/office/drawing/2014/main" id="{00000000-0008-0000-1800-000009000000}"/>
            </a:ext>
          </a:extLst>
        </xdr:cNvPr>
        <xdr:cNvSpPr>
          <a:spLocks noChangeShapeType="1"/>
        </xdr:cNvSpPr>
      </xdr:nvSpPr>
      <xdr:spPr bwMode="auto">
        <a:xfrm>
          <a:off x="19459575" y="13011150"/>
          <a:ext cx="1123950" cy="0"/>
        </a:xfrm>
        <a:prstGeom prst="line">
          <a:avLst/>
        </a:prstGeom>
        <a:noFill/>
        <a:ln w="9525">
          <a:solidFill>
            <a:srgbClr val="000000"/>
          </a:solidFill>
          <a:prstDash val="sysDot"/>
          <a:round/>
          <a:headEnd/>
          <a:tailEnd/>
        </a:ln>
      </xdr:spPr>
    </xdr:sp>
    <xdr:clientData/>
  </xdr:twoCellAnchor>
  <xdr:twoCellAnchor>
    <xdr:from>
      <xdr:col>31</xdr:col>
      <xdr:colOff>0</xdr:colOff>
      <xdr:row>76</xdr:row>
      <xdr:rowOff>0</xdr:rowOff>
    </xdr:from>
    <xdr:to>
      <xdr:col>31</xdr:col>
      <xdr:colOff>9525</xdr:colOff>
      <xdr:row>76</xdr:row>
      <xdr:rowOff>0</xdr:rowOff>
    </xdr:to>
    <xdr:sp macro="" textlink="">
      <xdr:nvSpPr>
        <xdr:cNvPr id="10" name="Line 7">
          <a:extLst>
            <a:ext uri="{FF2B5EF4-FFF2-40B4-BE49-F238E27FC236}">
              <a16:creationId xmlns:a16="http://schemas.microsoft.com/office/drawing/2014/main" id="{00000000-0008-0000-1800-00000A000000}"/>
            </a:ext>
          </a:extLst>
        </xdr:cNvPr>
        <xdr:cNvSpPr>
          <a:spLocks noChangeShapeType="1"/>
        </xdr:cNvSpPr>
      </xdr:nvSpPr>
      <xdr:spPr bwMode="auto">
        <a:xfrm>
          <a:off x="19650075" y="15306675"/>
          <a:ext cx="9525" cy="0"/>
        </a:xfrm>
        <a:prstGeom prst="line">
          <a:avLst/>
        </a:prstGeom>
        <a:noFill/>
        <a:ln w="9525">
          <a:solidFill>
            <a:srgbClr val="000000"/>
          </a:solidFill>
          <a:prstDash val="sysDot"/>
          <a:round/>
          <a:headEnd/>
          <a:tailEnd/>
        </a:ln>
      </xdr:spPr>
    </xdr:sp>
    <xdr:clientData/>
  </xdr:twoCellAnchor>
  <xdr:twoCellAnchor>
    <xdr:from>
      <xdr:col>31</xdr:col>
      <xdr:colOff>0</xdr:colOff>
      <xdr:row>82</xdr:row>
      <xdr:rowOff>0</xdr:rowOff>
    </xdr:from>
    <xdr:to>
      <xdr:col>31</xdr:col>
      <xdr:colOff>0</xdr:colOff>
      <xdr:row>82</xdr:row>
      <xdr:rowOff>0</xdr:rowOff>
    </xdr:to>
    <xdr:sp macro="" textlink="">
      <xdr:nvSpPr>
        <xdr:cNvPr id="11" name="Line 8">
          <a:extLst>
            <a:ext uri="{FF2B5EF4-FFF2-40B4-BE49-F238E27FC236}">
              <a16:creationId xmlns:a16="http://schemas.microsoft.com/office/drawing/2014/main" id="{00000000-0008-0000-1800-00000B000000}"/>
            </a:ext>
          </a:extLst>
        </xdr:cNvPr>
        <xdr:cNvSpPr>
          <a:spLocks noChangeShapeType="1"/>
        </xdr:cNvSpPr>
      </xdr:nvSpPr>
      <xdr:spPr bwMode="auto">
        <a:xfrm>
          <a:off x="19650075" y="16278225"/>
          <a:ext cx="0" cy="0"/>
        </a:xfrm>
        <a:prstGeom prst="line">
          <a:avLst/>
        </a:prstGeom>
        <a:noFill/>
        <a:ln w="9525">
          <a:solidFill>
            <a:srgbClr val="000000"/>
          </a:solidFill>
          <a:prstDash val="sysDot"/>
          <a:round/>
          <a:headEnd/>
          <a:tailEnd/>
        </a:ln>
      </xdr:spPr>
    </xdr:sp>
    <xdr:clientData/>
  </xdr:twoCellAnchor>
  <xdr:twoCellAnchor>
    <xdr:from>
      <xdr:col>31</xdr:col>
      <xdr:colOff>0</xdr:colOff>
      <xdr:row>83</xdr:row>
      <xdr:rowOff>0</xdr:rowOff>
    </xdr:from>
    <xdr:to>
      <xdr:col>31</xdr:col>
      <xdr:colOff>0</xdr:colOff>
      <xdr:row>83</xdr:row>
      <xdr:rowOff>0</xdr:rowOff>
    </xdr:to>
    <xdr:sp macro="" textlink="">
      <xdr:nvSpPr>
        <xdr:cNvPr id="12" name="Line 10">
          <a:extLst>
            <a:ext uri="{FF2B5EF4-FFF2-40B4-BE49-F238E27FC236}">
              <a16:creationId xmlns:a16="http://schemas.microsoft.com/office/drawing/2014/main" id="{00000000-0008-0000-1800-00000C000000}"/>
            </a:ext>
          </a:extLst>
        </xdr:cNvPr>
        <xdr:cNvSpPr>
          <a:spLocks noChangeShapeType="1"/>
        </xdr:cNvSpPr>
      </xdr:nvSpPr>
      <xdr:spPr bwMode="auto">
        <a:xfrm>
          <a:off x="19650075" y="16440150"/>
          <a:ext cx="0" cy="0"/>
        </a:xfrm>
        <a:prstGeom prst="line">
          <a:avLst/>
        </a:prstGeom>
        <a:noFill/>
        <a:ln w="9525">
          <a:solidFill>
            <a:srgbClr val="000000"/>
          </a:solidFill>
          <a:prstDash val="sysDot"/>
          <a:round/>
          <a:headEnd/>
          <a:tailEnd/>
        </a:ln>
      </xdr:spPr>
    </xdr:sp>
    <xdr:clientData/>
  </xdr:twoCellAnchor>
  <xdr:twoCellAnchor>
    <xdr:from>
      <xdr:col>31</xdr:col>
      <xdr:colOff>0</xdr:colOff>
      <xdr:row>85</xdr:row>
      <xdr:rowOff>0</xdr:rowOff>
    </xdr:from>
    <xdr:to>
      <xdr:col>31</xdr:col>
      <xdr:colOff>0</xdr:colOff>
      <xdr:row>85</xdr:row>
      <xdr:rowOff>0</xdr:rowOff>
    </xdr:to>
    <xdr:sp macro="" textlink="">
      <xdr:nvSpPr>
        <xdr:cNvPr id="13" name="Line 11">
          <a:extLst>
            <a:ext uri="{FF2B5EF4-FFF2-40B4-BE49-F238E27FC236}">
              <a16:creationId xmlns:a16="http://schemas.microsoft.com/office/drawing/2014/main" id="{00000000-0008-0000-1800-00000D000000}"/>
            </a:ext>
          </a:extLst>
        </xdr:cNvPr>
        <xdr:cNvSpPr>
          <a:spLocks noChangeShapeType="1"/>
        </xdr:cNvSpPr>
      </xdr:nvSpPr>
      <xdr:spPr bwMode="auto">
        <a:xfrm>
          <a:off x="19650075" y="16764000"/>
          <a:ext cx="0" cy="0"/>
        </a:xfrm>
        <a:prstGeom prst="line">
          <a:avLst/>
        </a:prstGeom>
        <a:noFill/>
        <a:ln w="9525">
          <a:solidFill>
            <a:srgbClr val="000000"/>
          </a:solidFill>
          <a:prstDash val="sysDot"/>
          <a:round/>
          <a:headEnd/>
          <a:tailEnd/>
        </a:ln>
      </xdr:spPr>
    </xdr:sp>
    <xdr:clientData/>
  </xdr:twoCellAnchor>
  <xdr:twoCellAnchor>
    <xdr:from>
      <xdr:col>0</xdr:col>
      <xdr:colOff>38100</xdr:colOff>
      <xdr:row>66</xdr:row>
      <xdr:rowOff>0</xdr:rowOff>
    </xdr:from>
    <xdr:to>
      <xdr:col>4</xdr:col>
      <xdr:colOff>19050</xdr:colOff>
      <xdr:row>66</xdr:row>
      <xdr:rowOff>0</xdr:rowOff>
    </xdr:to>
    <xdr:sp macro="" textlink="">
      <xdr:nvSpPr>
        <xdr:cNvPr id="14" name="Line 1">
          <a:extLst>
            <a:ext uri="{FF2B5EF4-FFF2-40B4-BE49-F238E27FC236}">
              <a16:creationId xmlns:a16="http://schemas.microsoft.com/office/drawing/2014/main" id="{00000000-0008-0000-1800-00000E000000}"/>
            </a:ext>
          </a:extLst>
        </xdr:cNvPr>
        <xdr:cNvSpPr>
          <a:spLocks noChangeShapeType="1"/>
        </xdr:cNvSpPr>
      </xdr:nvSpPr>
      <xdr:spPr bwMode="auto">
        <a:xfrm>
          <a:off x="38100" y="13687425"/>
          <a:ext cx="4105275" cy="0"/>
        </a:xfrm>
        <a:prstGeom prst="line">
          <a:avLst/>
        </a:prstGeom>
        <a:noFill/>
        <a:ln w="9525">
          <a:solidFill>
            <a:srgbClr val="000000"/>
          </a:solidFill>
          <a:prstDash val="sysDot"/>
          <a:round/>
          <a:headEnd/>
          <a:tailEnd/>
        </a:ln>
      </xdr:spPr>
    </xdr:sp>
    <xdr:clientData/>
  </xdr:twoCellAnchor>
  <xdr:twoCellAnchor>
    <xdr:from>
      <xdr:col>1</xdr:col>
      <xdr:colOff>38100</xdr:colOff>
      <xdr:row>69</xdr:row>
      <xdr:rowOff>133350</xdr:rowOff>
    </xdr:from>
    <xdr:to>
      <xdr:col>3</xdr:col>
      <xdr:colOff>533400</xdr:colOff>
      <xdr:row>70</xdr:row>
      <xdr:rowOff>0</xdr:rowOff>
    </xdr:to>
    <xdr:sp macro="" textlink="">
      <xdr:nvSpPr>
        <xdr:cNvPr id="15" name="Line 2">
          <a:extLst>
            <a:ext uri="{FF2B5EF4-FFF2-40B4-BE49-F238E27FC236}">
              <a16:creationId xmlns:a16="http://schemas.microsoft.com/office/drawing/2014/main" id="{00000000-0008-0000-1800-00000F000000}"/>
            </a:ext>
          </a:extLst>
        </xdr:cNvPr>
        <xdr:cNvSpPr>
          <a:spLocks noChangeShapeType="1"/>
        </xdr:cNvSpPr>
      </xdr:nvSpPr>
      <xdr:spPr bwMode="auto">
        <a:xfrm flipV="1">
          <a:off x="238125" y="14306550"/>
          <a:ext cx="3800475" cy="28575"/>
        </a:xfrm>
        <a:prstGeom prst="line">
          <a:avLst/>
        </a:prstGeom>
        <a:noFill/>
        <a:ln w="9525">
          <a:solidFill>
            <a:srgbClr val="000000"/>
          </a:solidFill>
          <a:prstDash val="sysDot"/>
          <a:round/>
          <a:headEnd/>
          <a:tailEnd/>
        </a:ln>
      </xdr:spPr>
    </xdr:sp>
    <xdr:clientData/>
  </xdr:twoCellAnchor>
  <xdr:twoCellAnchor>
    <xdr:from>
      <xdr:col>0</xdr:col>
      <xdr:colOff>57150</xdr:colOff>
      <xdr:row>73</xdr:row>
      <xdr:rowOff>0</xdr:rowOff>
    </xdr:from>
    <xdr:to>
      <xdr:col>1</xdr:col>
      <xdr:colOff>1457325</xdr:colOff>
      <xdr:row>73</xdr:row>
      <xdr:rowOff>9525</xdr:rowOff>
    </xdr:to>
    <xdr:sp macro="" textlink="">
      <xdr:nvSpPr>
        <xdr:cNvPr id="16" name="Line 3">
          <a:extLst>
            <a:ext uri="{FF2B5EF4-FFF2-40B4-BE49-F238E27FC236}">
              <a16:creationId xmlns:a16="http://schemas.microsoft.com/office/drawing/2014/main" id="{00000000-0008-0000-1800-000010000000}"/>
            </a:ext>
          </a:extLst>
        </xdr:cNvPr>
        <xdr:cNvSpPr>
          <a:spLocks noChangeShapeType="1"/>
        </xdr:cNvSpPr>
      </xdr:nvSpPr>
      <xdr:spPr bwMode="auto">
        <a:xfrm>
          <a:off x="57150" y="14820900"/>
          <a:ext cx="1600200" cy="9525"/>
        </a:xfrm>
        <a:prstGeom prst="line">
          <a:avLst/>
        </a:prstGeom>
        <a:noFill/>
        <a:ln w="9525">
          <a:solidFill>
            <a:srgbClr val="000000"/>
          </a:solidFill>
          <a:prstDash val="sysDot"/>
          <a:round/>
          <a:headEnd/>
          <a:tailEnd/>
        </a:ln>
      </xdr:spPr>
    </xdr:sp>
    <xdr:clientData/>
  </xdr:twoCellAnchor>
  <xdr:twoCellAnchor>
    <xdr:from>
      <xdr:col>2</xdr:col>
      <xdr:colOff>266700</xdr:colOff>
      <xdr:row>73</xdr:row>
      <xdr:rowOff>0</xdr:rowOff>
    </xdr:from>
    <xdr:to>
      <xdr:col>4</xdr:col>
      <xdr:colOff>457200</xdr:colOff>
      <xdr:row>73</xdr:row>
      <xdr:rowOff>0</xdr:rowOff>
    </xdr:to>
    <xdr:sp macro="" textlink="">
      <xdr:nvSpPr>
        <xdr:cNvPr id="17" name="Line 4">
          <a:extLst>
            <a:ext uri="{FF2B5EF4-FFF2-40B4-BE49-F238E27FC236}">
              <a16:creationId xmlns:a16="http://schemas.microsoft.com/office/drawing/2014/main" id="{00000000-0008-0000-1800-000011000000}"/>
            </a:ext>
          </a:extLst>
        </xdr:cNvPr>
        <xdr:cNvSpPr>
          <a:spLocks noChangeShapeType="1"/>
        </xdr:cNvSpPr>
      </xdr:nvSpPr>
      <xdr:spPr bwMode="auto">
        <a:xfrm>
          <a:off x="2638425" y="14820900"/>
          <a:ext cx="1943100" cy="0"/>
        </a:xfrm>
        <a:prstGeom prst="line">
          <a:avLst/>
        </a:prstGeom>
        <a:noFill/>
        <a:ln w="9525">
          <a:solidFill>
            <a:srgbClr val="000000"/>
          </a:solidFill>
          <a:prstDash val="sysDot"/>
          <a:round/>
          <a:headEnd/>
          <a:tailEnd/>
        </a:ln>
      </xdr:spPr>
    </xdr:sp>
    <xdr:clientData/>
  </xdr:twoCellAnchor>
  <xdr:twoCellAnchor>
    <xdr:from>
      <xdr:col>32</xdr:col>
      <xdr:colOff>0</xdr:colOff>
      <xdr:row>62</xdr:row>
      <xdr:rowOff>0</xdr:rowOff>
    </xdr:from>
    <xdr:to>
      <xdr:col>32</xdr:col>
      <xdr:colOff>0</xdr:colOff>
      <xdr:row>62</xdr:row>
      <xdr:rowOff>0</xdr:rowOff>
    </xdr:to>
    <xdr:sp macro="" textlink="">
      <xdr:nvSpPr>
        <xdr:cNvPr id="18" name="Line 5">
          <a:extLst>
            <a:ext uri="{FF2B5EF4-FFF2-40B4-BE49-F238E27FC236}">
              <a16:creationId xmlns:a16="http://schemas.microsoft.com/office/drawing/2014/main" id="{00000000-0008-0000-1800-000012000000}"/>
            </a:ext>
          </a:extLst>
        </xdr:cNvPr>
        <xdr:cNvSpPr>
          <a:spLocks noChangeShapeType="1"/>
        </xdr:cNvSpPr>
      </xdr:nvSpPr>
      <xdr:spPr bwMode="auto">
        <a:xfrm>
          <a:off x="20650200" y="13039725"/>
          <a:ext cx="0" cy="0"/>
        </a:xfrm>
        <a:prstGeom prst="line">
          <a:avLst/>
        </a:prstGeom>
        <a:noFill/>
        <a:ln w="9525">
          <a:solidFill>
            <a:srgbClr val="000000"/>
          </a:solidFill>
          <a:prstDash val="sysDot"/>
          <a:round/>
          <a:headEnd/>
          <a:tailEnd/>
        </a:ln>
      </xdr:spPr>
    </xdr:sp>
    <xdr:clientData/>
  </xdr:twoCellAnchor>
  <xdr:twoCellAnchor>
    <xdr:from>
      <xdr:col>32</xdr:col>
      <xdr:colOff>0</xdr:colOff>
      <xdr:row>64</xdr:row>
      <xdr:rowOff>0</xdr:rowOff>
    </xdr:from>
    <xdr:to>
      <xdr:col>32</xdr:col>
      <xdr:colOff>9525</xdr:colOff>
      <xdr:row>64</xdr:row>
      <xdr:rowOff>0</xdr:rowOff>
    </xdr:to>
    <xdr:sp macro="" textlink="">
      <xdr:nvSpPr>
        <xdr:cNvPr id="19" name="Line 7">
          <a:extLst>
            <a:ext uri="{FF2B5EF4-FFF2-40B4-BE49-F238E27FC236}">
              <a16:creationId xmlns:a16="http://schemas.microsoft.com/office/drawing/2014/main" id="{00000000-0008-0000-1800-000013000000}"/>
            </a:ext>
          </a:extLst>
        </xdr:cNvPr>
        <xdr:cNvSpPr>
          <a:spLocks noChangeShapeType="1"/>
        </xdr:cNvSpPr>
      </xdr:nvSpPr>
      <xdr:spPr bwMode="auto">
        <a:xfrm>
          <a:off x="20650200" y="13363575"/>
          <a:ext cx="9525" cy="0"/>
        </a:xfrm>
        <a:prstGeom prst="line">
          <a:avLst/>
        </a:prstGeom>
        <a:noFill/>
        <a:ln w="9525">
          <a:solidFill>
            <a:srgbClr val="000000"/>
          </a:solidFill>
          <a:prstDash val="sysDot"/>
          <a:round/>
          <a:headEnd/>
          <a:tailEnd/>
        </a:ln>
      </xdr:spPr>
    </xdr:sp>
    <xdr:clientData/>
  </xdr:twoCellAnchor>
  <xdr:twoCellAnchor>
    <xdr:from>
      <xdr:col>32</xdr:col>
      <xdr:colOff>0</xdr:colOff>
      <xdr:row>70</xdr:row>
      <xdr:rowOff>0</xdr:rowOff>
    </xdr:from>
    <xdr:to>
      <xdr:col>32</xdr:col>
      <xdr:colOff>0</xdr:colOff>
      <xdr:row>70</xdr:row>
      <xdr:rowOff>0</xdr:rowOff>
    </xdr:to>
    <xdr:sp macro="" textlink="">
      <xdr:nvSpPr>
        <xdr:cNvPr id="20" name="Line 8">
          <a:extLst>
            <a:ext uri="{FF2B5EF4-FFF2-40B4-BE49-F238E27FC236}">
              <a16:creationId xmlns:a16="http://schemas.microsoft.com/office/drawing/2014/main" id="{00000000-0008-0000-1800-000014000000}"/>
            </a:ext>
          </a:extLst>
        </xdr:cNvPr>
        <xdr:cNvSpPr>
          <a:spLocks noChangeShapeType="1"/>
        </xdr:cNvSpPr>
      </xdr:nvSpPr>
      <xdr:spPr bwMode="auto">
        <a:xfrm>
          <a:off x="20650200" y="14335125"/>
          <a:ext cx="0" cy="0"/>
        </a:xfrm>
        <a:prstGeom prst="line">
          <a:avLst/>
        </a:prstGeom>
        <a:noFill/>
        <a:ln w="9525">
          <a:solidFill>
            <a:srgbClr val="000000"/>
          </a:solidFill>
          <a:prstDash val="sysDot"/>
          <a:round/>
          <a:headEnd/>
          <a:tailEnd/>
        </a:ln>
      </xdr:spPr>
    </xdr:sp>
    <xdr:clientData/>
  </xdr:twoCellAnchor>
  <xdr:twoCellAnchor>
    <xdr:from>
      <xdr:col>32</xdr:col>
      <xdr:colOff>0</xdr:colOff>
      <xdr:row>71</xdr:row>
      <xdr:rowOff>0</xdr:rowOff>
    </xdr:from>
    <xdr:to>
      <xdr:col>32</xdr:col>
      <xdr:colOff>0</xdr:colOff>
      <xdr:row>71</xdr:row>
      <xdr:rowOff>0</xdr:rowOff>
    </xdr:to>
    <xdr:sp macro="" textlink="">
      <xdr:nvSpPr>
        <xdr:cNvPr id="21" name="Line 10">
          <a:extLst>
            <a:ext uri="{FF2B5EF4-FFF2-40B4-BE49-F238E27FC236}">
              <a16:creationId xmlns:a16="http://schemas.microsoft.com/office/drawing/2014/main" id="{00000000-0008-0000-1800-000015000000}"/>
            </a:ext>
          </a:extLst>
        </xdr:cNvPr>
        <xdr:cNvSpPr>
          <a:spLocks noChangeShapeType="1"/>
        </xdr:cNvSpPr>
      </xdr:nvSpPr>
      <xdr:spPr bwMode="auto">
        <a:xfrm>
          <a:off x="20650200" y="14497050"/>
          <a:ext cx="0" cy="0"/>
        </a:xfrm>
        <a:prstGeom prst="line">
          <a:avLst/>
        </a:prstGeom>
        <a:noFill/>
        <a:ln w="9525">
          <a:solidFill>
            <a:srgbClr val="000000"/>
          </a:solidFill>
          <a:prstDash val="sysDot"/>
          <a:round/>
          <a:headEnd/>
          <a:tailEnd/>
        </a:ln>
      </xdr:spPr>
    </xdr:sp>
    <xdr:clientData/>
  </xdr:twoCellAnchor>
  <xdr:twoCellAnchor>
    <xdr:from>
      <xdr:col>32</xdr:col>
      <xdr:colOff>0</xdr:colOff>
      <xdr:row>73</xdr:row>
      <xdr:rowOff>0</xdr:rowOff>
    </xdr:from>
    <xdr:to>
      <xdr:col>32</xdr:col>
      <xdr:colOff>0</xdr:colOff>
      <xdr:row>73</xdr:row>
      <xdr:rowOff>0</xdr:rowOff>
    </xdr:to>
    <xdr:sp macro="" textlink="">
      <xdr:nvSpPr>
        <xdr:cNvPr id="22" name="Line 11">
          <a:extLst>
            <a:ext uri="{FF2B5EF4-FFF2-40B4-BE49-F238E27FC236}">
              <a16:creationId xmlns:a16="http://schemas.microsoft.com/office/drawing/2014/main" id="{00000000-0008-0000-1800-000016000000}"/>
            </a:ext>
          </a:extLst>
        </xdr:cNvPr>
        <xdr:cNvSpPr>
          <a:spLocks noChangeShapeType="1"/>
        </xdr:cNvSpPr>
      </xdr:nvSpPr>
      <xdr:spPr bwMode="auto">
        <a:xfrm>
          <a:off x="20650200" y="14820900"/>
          <a:ext cx="0" cy="0"/>
        </a:xfrm>
        <a:prstGeom prst="line">
          <a:avLst/>
        </a:prstGeom>
        <a:noFill/>
        <a:ln w="9525">
          <a:solidFill>
            <a:srgbClr val="000000"/>
          </a:solidFill>
          <a:prstDash val="sysDot"/>
          <a:round/>
          <a:headEnd/>
          <a:tailEnd/>
        </a:ln>
      </xdr:spPr>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38100</xdr:colOff>
      <xdr:row>81</xdr:row>
      <xdr:rowOff>0</xdr:rowOff>
    </xdr:from>
    <xdr:to>
      <xdr:col>4</xdr:col>
      <xdr:colOff>19050</xdr:colOff>
      <xdr:row>81</xdr:row>
      <xdr:rowOff>0</xdr:rowOff>
    </xdr:to>
    <xdr:sp macro="" textlink="">
      <xdr:nvSpPr>
        <xdr:cNvPr id="1917037" name="Line 1">
          <a:extLst>
            <a:ext uri="{FF2B5EF4-FFF2-40B4-BE49-F238E27FC236}">
              <a16:creationId xmlns:a16="http://schemas.microsoft.com/office/drawing/2014/main" id="{00000000-0008-0000-1900-00006D401D00}"/>
            </a:ext>
          </a:extLst>
        </xdr:cNvPr>
        <xdr:cNvSpPr>
          <a:spLocks noChangeShapeType="1"/>
        </xdr:cNvSpPr>
      </xdr:nvSpPr>
      <xdr:spPr bwMode="auto">
        <a:xfrm>
          <a:off x="38100" y="12258675"/>
          <a:ext cx="3505200" cy="0"/>
        </a:xfrm>
        <a:prstGeom prst="line">
          <a:avLst/>
        </a:prstGeom>
        <a:noFill/>
        <a:ln w="9525">
          <a:solidFill>
            <a:srgbClr val="000000"/>
          </a:solidFill>
          <a:prstDash val="sysDot"/>
          <a:round/>
          <a:headEnd/>
          <a:tailEnd/>
        </a:ln>
      </xdr:spPr>
    </xdr:sp>
    <xdr:clientData/>
  </xdr:twoCellAnchor>
  <xdr:twoCellAnchor>
    <xdr:from>
      <xdr:col>34</xdr:col>
      <xdr:colOff>0</xdr:colOff>
      <xdr:row>77</xdr:row>
      <xdr:rowOff>0</xdr:rowOff>
    </xdr:from>
    <xdr:to>
      <xdr:col>34</xdr:col>
      <xdr:colOff>0</xdr:colOff>
      <xdr:row>77</xdr:row>
      <xdr:rowOff>0</xdr:rowOff>
    </xdr:to>
    <xdr:sp macro="" textlink="">
      <xdr:nvSpPr>
        <xdr:cNvPr id="1917041" name="Line 5">
          <a:extLst>
            <a:ext uri="{FF2B5EF4-FFF2-40B4-BE49-F238E27FC236}">
              <a16:creationId xmlns:a16="http://schemas.microsoft.com/office/drawing/2014/main" id="{00000000-0008-0000-1900-000071401D00}"/>
            </a:ext>
          </a:extLst>
        </xdr:cNvPr>
        <xdr:cNvSpPr>
          <a:spLocks noChangeShapeType="1"/>
        </xdr:cNvSpPr>
      </xdr:nvSpPr>
      <xdr:spPr bwMode="auto">
        <a:xfrm>
          <a:off x="17945100" y="11687175"/>
          <a:ext cx="0" cy="0"/>
        </a:xfrm>
        <a:prstGeom prst="line">
          <a:avLst/>
        </a:prstGeom>
        <a:noFill/>
        <a:ln w="9525">
          <a:solidFill>
            <a:srgbClr val="000000"/>
          </a:solidFill>
          <a:prstDash val="sysDot"/>
          <a:round/>
          <a:headEnd/>
          <a:tailEnd/>
        </a:ln>
      </xdr:spPr>
    </xdr:sp>
    <xdr:clientData/>
  </xdr:twoCellAnchor>
  <xdr:twoCellAnchor>
    <xdr:from>
      <xdr:col>30</xdr:col>
      <xdr:colOff>0</xdr:colOff>
      <xdr:row>79</xdr:row>
      <xdr:rowOff>0</xdr:rowOff>
    </xdr:from>
    <xdr:to>
      <xdr:col>34</xdr:col>
      <xdr:colOff>0</xdr:colOff>
      <xdr:row>79</xdr:row>
      <xdr:rowOff>0</xdr:rowOff>
    </xdr:to>
    <xdr:sp macro="" textlink="">
      <xdr:nvSpPr>
        <xdr:cNvPr id="1917042" name="Line 6">
          <a:extLst>
            <a:ext uri="{FF2B5EF4-FFF2-40B4-BE49-F238E27FC236}">
              <a16:creationId xmlns:a16="http://schemas.microsoft.com/office/drawing/2014/main" id="{00000000-0008-0000-1900-000072401D00}"/>
            </a:ext>
          </a:extLst>
        </xdr:cNvPr>
        <xdr:cNvSpPr>
          <a:spLocks noChangeShapeType="1"/>
        </xdr:cNvSpPr>
      </xdr:nvSpPr>
      <xdr:spPr bwMode="auto">
        <a:xfrm>
          <a:off x="14430375" y="11972925"/>
          <a:ext cx="3514725" cy="0"/>
        </a:xfrm>
        <a:prstGeom prst="line">
          <a:avLst/>
        </a:prstGeom>
        <a:noFill/>
        <a:ln w="9525">
          <a:solidFill>
            <a:srgbClr val="000000"/>
          </a:solidFill>
          <a:prstDash val="sysDot"/>
          <a:round/>
          <a:headEnd/>
          <a:tailEnd/>
        </a:ln>
      </xdr:spPr>
    </xdr:sp>
    <xdr:clientData/>
  </xdr:twoCellAnchor>
  <xdr:twoCellAnchor>
    <xdr:from>
      <xdr:col>34</xdr:col>
      <xdr:colOff>0</xdr:colOff>
      <xdr:row>79</xdr:row>
      <xdr:rowOff>0</xdr:rowOff>
    </xdr:from>
    <xdr:to>
      <xdr:col>34</xdr:col>
      <xdr:colOff>9525</xdr:colOff>
      <xdr:row>79</xdr:row>
      <xdr:rowOff>0</xdr:rowOff>
    </xdr:to>
    <xdr:sp macro="" textlink="">
      <xdr:nvSpPr>
        <xdr:cNvPr id="1917043" name="Line 7">
          <a:extLst>
            <a:ext uri="{FF2B5EF4-FFF2-40B4-BE49-F238E27FC236}">
              <a16:creationId xmlns:a16="http://schemas.microsoft.com/office/drawing/2014/main" id="{00000000-0008-0000-1900-000073401D00}"/>
            </a:ext>
          </a:extLst>
        </xdr:cNvPr>
        <xdr:cNvSpPr>
          <a:spLocks noChangeShapeType="1"/>
        </xdr:cNvSpPr>
      </xdr:nvSpPr>
      <xdr:spPr bwMode="auto">
        <a:xfrm>
          <a:off x="17945100" y="11972925"/>
          <a:ext cx="9525" cy="0"/>
        </a:xfrm>
        <a:prstGeom prst="line">
          <a:avLst/>
        </a:prstGeom>
        <a:noFill/>
        <a:ln w="9525">
          <a:solidFill>
            <a:srgbClr val="000000"/>
          </a:solidFill>
          <a:prstDash val="sysDot"/>
          <a:round/>
          <a:headEnd/>
          <a:tailEnd/>
        </a:ln>
      </xdr:spPr>
    </xdr:sp>
    <xdr:clientData/>
  </xdr:twoCellAnchor>
  <xdr:twoCellAnchor>
    <xdr:from>
      <xdr:col>34</xdr:col>
      <xdr:colOff>0</xdr:colOff>
      <xdr:row>84</xdr:row>
      <xdr:rowOff>0</xdr:rowOff>
    </xdr:from>
    <xdr:to>
      <xdr:col>34</xdr:col>
      <xdr:colOff>0</xdr:colOff>
      <xdr:row>84</xdr:row>
      <xdr:rowOff>0</xdr:rowOff>
    </xdr:to>
    <xdr:sp macro="" textlink="">
      <xdr:nvSpPr>
        <xdr:cNvPr id="1917044" name="Line 8">
          <a:extLst>
            <a:ext uri="{FF2B5EF4-FFF2-40B4-BE49-F238E27FC236}">
              <a16:creationId xmlns:a16="http://schemas.microsoft.com/office/drawing/2014/main" id="{00000000-0008-0000-1900-000074401D00}"/>
            </a:ext>
          </a:extLst>
        </xdr:cNvPr>
        <xdr:cNvSpPr>
          <a:spLocks noChangeShapeType="1"/>
        </xdr:cNvSpPr>
      </xdr:nvSpPr>
      <xdr:spPr bwMode="auto">
        <a:xfrm>
          <a:off x="17945100" y="12830175"/>
          <a:ext cx="0" cy="0"/>
        </a:xfrm>
        <a:prstGeom prst="line">
          <a:avLst/>
        </a:prstGeom>
        <a:noFill/>
        <a:ln w="9525">
          <a:solidFill>
            <a:srgbClr val="000000"/>
          </a:solidFill>
          <a:prstDash val="sysDot"/>
          <a:round/>
          <a:headEnd/>
          <a:tailEnd/>
        </a:ln>
      </xdr:spPr>
    </xdr:sp>
    <xdr:clientData/>
  </xdr:twoCellAnchor>
  <xdr:twoCellAnchor>
    <xdr:from>
      <xdr:col>34</xdr:col>
      <xdr:colOff>0</xdr:colOff>
      <xdr:row>84</xdr:row>
      <xdr:rowOff>0</xdr:rowOff>
    </xdr:from>
    <xdr:to>
      <xdr:col>34</xdr:col>
      <xdr:colOff>0</xdr:colOff>
      <xdr:row>84</xdr:row>
      <xdr:rowOff>0</xdr:rowOff>
    </xdr:to>
    <xdr:sp macro="" textlink="">
      <xdr:nvSpPr>
        <xdr:cNvPr id="1917046" name="Line 10">
          <a:extLst>
            <a:ext uri="{FF2B5EF4-FFF2-40B4-BE49-F238E27FC236}">
              <a16:creationId xmlns:a16="http://schemas.microsoft.com/office/drawing/2014/main" id="{00000000-0008-0000-1900-000076401D00}"/>
            </a:ext>
          </a:extLst>
        </xdr:cNvPr>
        <xdr:cNvSpPr>
          <a:spLocks noChangeShapeType="1"/>
        </xdr:cNvSpPr>
      </xdr:nvSpPr>
      <xdr:spPr bwMode="auto">
        <a:xfrm>
          <a:off x="17945100" y="12973050"/>
          <a:ext cx="0" cy="0"/>
        </a:xfrm>
        <a:prstGeom prst="line">
          <a:avLst/>
        </a:prstGeom>
        <a:noFill/>
        <a:ln w="9525">
          <a:solidFill>
            <a:srgbClr val="000000"/>
          </a:solidFill>
          <a:prstDash val="sysDot"/>
          <a:round/>
          <a:headEnd/>
          <a:tailEnd/>
        </a:ln>
      </xdr:spPr>
    </xdr:sp>
    <xdr:clientData/>
  </xdr:twoCellAnchor>
  <xdr:twoCellAnchor>
    <xdr:from>
      <xdr:col>34</xdr:col>
      <xdr:colOff>0</xdr:colOff>
      <xdr:row>86</xdr:row>
      <xdr:rowOff>0</xdr:rowOff>
    </xdr:from>
    <xdr:to>
      <xdr:col>34</xdr:col>
      <xdr:colOff>0</xdr:colOff>
      <xdr:row>86</xdr:row>
      <xdr:rowOff>0</xdr:rowOff>
    </xdr:to>
    <xdr:sp macro="" textlink="">
      <xdr:nvSpPr>
        <xdr:cNvPr id="1917047" name="Line 11">
          <a:extLst>
            <a:ext uri="{FF2B5EF4-FFF2-40B4-BE49-F238E27FC236}">
              <a16:creationId xmlns:a16="http://schemas.microsoft.com/office/drawing/2014/main" id="{00000000-0008-0000-1900-000077401D00}"/>
            </a:ext>
          </a:extLst>
        </xdr:cNvPr>
        <xdr:cNvSpPr>
          <a:spLocks noChangeShapeType="1"/>
        </xdr:cNvSpPr>
      </xdr:nvSpPr>
      <xdr:spPr bwMode="auto">
        <a:xfrm>
          <a:off x="17945100" y="13258800"/>
          <a:ext cx="0" cy="0"/>
        </a:xfrm>
        <a:prstGeom prst="line">
          <a:avLst/>
        </a:prstGeom>
        <a:noFill/>
        <a:ln w="9525">
          <a:solidFill>
            <a:srgbClr val="000000"/>
          </a:solidFill>
          <a:prstDash val="sysDot"/>
          <a:round/>
          <a:headEnd/>
          <a:tailEnd/>
        </a:ln>
      </xdr:spPr>
    </xdr:sp>
    <xdr:clientData/>
  </xdr:twoCellAnchor>
  <xdr:twoCellAnchor>
    <xdr:from>
      <xdr:col>0</xdr:col>
      <xdr:colOff>38100</xdr:colOff>
      <xdr:row>75</xdr:row>
      <xdr:rowOff>0</xdr:rowOff>
    </xdr:from>
    <xdr:to>
      <xdr:col>4</xdr:col>
      <xdr:colOff>19050</xdr:colOff>
      <xdr:row>75</xdr:row>
      <xdr:rowOff>0</xdr:rowOff>
    </xdr:to>
    <xdr:sp macro="" textlink="">
      <xdr:nvSpPr>
        <xdr:cNvPr id="13" name="Line 1">
          <a:extLst>
            <a:ext uri="{FF2B5EF4-FFF2-40B4-BE49-F238E27FC236}">
              <a16:creationId xmlns:a16="http://schemas.microsoft.com/office/drawing/2014/main" id="{00000000-0008-0000-1900-00000D000000}"/>
            </a:ext>
          </a:extLst>
        </xdr:cNvPr>
        <xdr:cNvSpPr>
          <a:spLocks noChangeShapeType="1"/>
        </xdr:cNvSpPr>
      </xdr:nvSpPr>
      <xdr:spPr bwMode="auto">
        <a:xfrm>
          <a:off x="38100" y="13887450"/>
          <a:ext cx="3724275" cy="0"/>
        </a:xfrm>
        <a:prstGeom prst="line">
          <a:avLst/>
        </a:prstGeom>
        <a:noFill/>
        <a:ln w="9525">
          <a:solidFill>
            <a:srgbClr val="000000"/>
          </a:solidFill>
          <a:prstDash val="sysDot"/>
          <a:round/>
          <a:headEnd/>
          <a:tailEnd/>
        </a:ln>
      </xdr:spPr>
    </xdr:sp>
    <xdr:clientData/>
  </xdr:twoCellAnchor>
  <xdr:twoCellAnchor>
    <xdr:from>
      <xdr:col>0</xdr:col>
      <xdr:colOff>200025</xdr:colOff>
      <xdr:row>79</xdr:row>
      <xdr:rowOff>11906</xdr:rowOff>
    </xdr:from>
    <xdr:to>
      <xdr:col>2</xdr:col>
      <xdr:colOff>52387</xdr:colOff>
      <xdr:row>79</xdr:row>
      <xdr:rowOff>21431</xdr:rowOff>
    </xdr:to>
    <xdr:sp macro="" textlink="">
      <xdr:nvSpPr>
        <xdr:cNvPr id="14" name="Line 3">
          <a:extLst>
            <a:ext uri="{FF2B5EF4-FFF2-40B4-BE49-F238E27FC236}">
              <a16:creationId xmlns:a16="http://schemas.microsoft.com/office/drawing/2014/main" id="{00000000-0008-0000-1900-00000E000000}"/>
            </a:ext>
          </a:extLst>
        </xdr:cNvPr>
        <xdr:cNvSpPr>
          <a:spLocks noChangeShapeType="1"/>
        </xdr:cNvSpPr>
      </xdr:nvSpPr>
      <xdr:spPr bwMode="auto">
        <a:xfrm>
          <a:off x="200025" y="14442281"/>
          <a:ext cx="1766887" cy="9525"/>
        </a:xfrm>
        <a:prstGeom prst="line">
          <a:avLst/>
        </a:prstGeom>
        <a:noFill/>
        <a:ln w="9525">
          <a:solidFill>
            <a:srgbClr val="000000"/>
          </a:solidFill>
          <a:prstDash val="sysDot"/>
          <a:round/>
          <a:headEnd/>
          <a:tailEnd/>
        </a:ln>
      </xdr:spPr>
    </xdr:sp>
    <xdr:clientData/>
  </xdr:twoCellAnchor>
  <xdr:twoCellAnchor>
    <xdr:from>
      <xdr:col>2</xdr:col>
      <xdr:colOff>338137</xdr:colOff>
      <xdr:row>79</xdr:row>
      <xdr:rowOff>11906</xdr:rowOff>
    </xdr:from>
    <xdr:to>
      <xdr:col>4</xdr:col>
      <xdr:colOff>528637</xdr:colOff>
      <xdr:row>79</xdr:row>
      <xdr:rowOff>11906</xdr:rowOff>
    </xdr:to>
    <xdr:sp macro="" textlink="">
      <xdr:nvSpPr>
        <xdr:cNvPr id="15" name="Line 4">
          <a:extLst>
            <a:ext uri="{FF2B5EF4-FFF2-40B4-BE49-F238E27FC236}">
              <a16:creationId xmlns:a16="http://schemas.microsoft.com/office/drawing/2014/main" id="{00000000-0008-0000-1900-00000F000000}"/>
            </a:ext>
          </a:extLst>
        </xdr:cNvPr>
        <xdr:cNvSpPr>
          <a:spLocks noChangeShapeType="1"/>
        </xdr:cNvSpPr>
      </xdr:nvSpPr>
      <xdr:spPr bwMode="auto">
        <a:xfrm>
          <a:off x="2252662" y="14442281"/>
          <a:ext cx="2019300" cy="0"/>
        </a:xfrm>
        <a:prstGeom prst="line">
          <a:avLst/>
        </a:prstGeom>
        <a:noFill/>
        <a:ln w="9525">
          <a:solidFill>
            <a:srgbClr val="000000"/>
          </a:solidFill>
          <a:prstDash val="sysDot"/>
          <a:round/>
          <a:headEnd/>
          <a:tailEnd/>
        </a:ln>
      </xdr:spPr>
    </xdr:sp>
    <xdr:clientData/>
  </xdr:twoCellAnchor>
  <xdr:twoCellAnchor>
    <xdr:from>
      <xdr:col>35</xdr:col>
      <xdr:colOff>0</xdr:colOff>
      <xdr:row>71</xdr:row>
      <xdr:rowOff>0</xdr:rowOff>
    </xdr:from>
    <xdr:to>
      <xdr:col>35</xdr:col>
      <xdr:colOff>0</xdr:colOff>
      <xdr:row>71</xdr:row>
      <xdr:rowOff>0</xdr:rowOff>
    </xdr:to>
    <xdr:sp macro="" textlink="">
      <xdr:nvSpPr>
        <xdr:cNvPr id="16" name="Line 5">
          <a:extLst>
            <a:ext uri="{FF2B5EF4-FFF2-40B4-BE49-F238E27FC236}">
              <a16:creationId xmlns:a16="http://schemas.microsoft.com/office/drawing/2014/main" id="{00000000-0008-0000-1900-000010000000}"/>
            </a:ext>
          </a:extLst>
        </xdr:cNvPr>
        <xdr:cNvSpPr>
          <a:spLocks noChangeShapeType="1"/>
        </xdr:cNvSpPr>
      </xdr:nvSpPr>
      <xdr:spPr bwMode="auto">
        <a:xfrm>
          <a:off x="18430875" y="13315950"/>
          <a:ext cx="0" cy="0"/>
        </a:xfrm>
        <a:prstGeom prst="line">
          <a:avLst/>
        </a:prstGeom>
        <a:noFill/>
        <a:ln w="9525">
          <a:solidFill>
            <a:srgbClr val="000000"/>
          </a:solidFill>
          <a:prstDash val="sysDot"/>
          <a:round/>
          <a:headEnd/>
          <a:tailEnd/>
        </a:ln>
      </xdr:spPr>
    </xdr:sp>
    <xdr:clientData/>
  </xdr:twoCellAnchor>
  <xdr:twoCellAnchor>
    <xdr:from>
      <xdr:col>35</xdr:col>
      <xdr:colOff>0</xdr:colOff>
      <xdr:row>73</xdr:row>
      <xdr:rowOff>0</xdr:rowOff>
    </xdr:from>
    <xdr:to>
      <xdr:col>35</xdr:col>
      <xdr:colOff>9525</xdr:colOff>
      <xdr:row>73</xdr:row>
      <xdr:rowOff>0</xdr:rowOff>
    </xdr:to>
    <xdr:sp macro="" textlink="">
      <xdr:nvSpPr>
        <xdr:cNvPr id="18" name="Line 7">
          <a:extLst>
            <a:ext uri="{FF2B5EF4-FFF2-40B4-BE49-F238E27FC236}">
              <a16:creationId xmlns:a16="http://schemas.microsoft.com/office/drawing/2014/main" id="{00000000-0008-0000-1900-000012000000}"/>
            </a:ext>
          </a:extLst>
        </xdr:cNvPr>
        <xdr:cNvSpPr>
          <a:spLocks noChangeShapeType="1"/>
        </xdr:cNvSpPr>
      </xdr:nvSpPr>
      <xdr:spPr bwMode="auto">
        <a:xfrm>
          <a:off x="18430875" y="13601700"/>
          <a:ext cx="9525" cy="0"/>
        </a:xfrm>
        <a:prstGeom prst="line">
          <a:avLst/>
        </a:prstGeom>
        <a:noFill/>
        <a:ln w="9525">
          <a:solidFill>
            <a:srgbClr val="000000"/>
          </a:solidFill>
          <a:prstDash val="sysDot"/>
          <a:round/>
          <a:headEnd/>
          <a:tailEnd/>
        </a:ln>
      </xdr:spPr>
    </xdr:sp>
    <xdr:clientData/>
  </xdr:twoCellAnchor>
  <xdr:twoCellAnchor>
    <xdr:from>
      <xdr:col>35</xdr:col>
      <xdr:colOff>0</xdr:colOff>
      <xdr:row>78</xdr:row>
      <xdr:rowOff>0</xdr:rowOff>
    </xdr:from>
    <xdr:to>
      <xdr:col>35</xdr:col>
      <xdr:colOff>0</xdr:colOff>
      <xdr:row>78</xdr:row>
      <xdr:rowOff>0</xdr:rowOff>
    </xdr:to>
    <xdr:sp macro="" textlink="">
      <xdr:nvSpPr>
        <xdr:cNvPr id="19" name="Line 8">
          <a:extLst>
            <a:ext uri="{FF2B5EF4-FFF2-40B4-BE49-F238E27FC236}">
              <a16:creationId xmlns:a16="http://schemas.microsoft.com/office/drawing/2014/main" id="{00000000-0008-0000-1900-000013000000}"/>
            </a:ext>
          </a:extLst>
        </xdr:cNvPr>
        <xdr:cNvSpPr>
          <a:spLocks noChangeShapeType="1"/>
        </xdr:cNvSpPr>
      </xdr:nvSpPr>
      <xdr:spPr bwMode="auto">
        <a:xfrm>
          <a:off x="18430875" y="14287500"/>
          <a:ext cx="0" cy="0"/>
        </a:xfrm>
        <a:prstGeom prst="line">
          <a:avLst/>
        </a:prstGeom>
        <a:noFill/>
        <a:ln w="9525">
          <a:solidFill>
            <a:srgbClr val="000000"/>
          </a:solidFill>
          <a:prstDash val="sysDot"/>
          <a:round/>
          <a:headEnd/>
          <a:tailEnd/>
        </a:ln>
      </xdr:spPr>
    </xdr:sp>
    <xdr:clientData/>
  </xdr:twoCellAnchor>
  <xdr:twoCellAnchor>
    <xdr:from>
      <xdr:col>35</xdr:col>
      <xdr:colOff>0</xdr:colOff>
      <xdr:row>78</xdr:row>
      <xdr:rowOff>0</xdr:rowOff>
    </xdr:from>
    <xdr:to>
      <xdr:col>35</xdr:col>
      <xdr:colOff>0</xdr:colOff>
      <xdr:row>78</xdr:row>
      <xdr:rowOff>0</xdr:rowOff>
    </xdr:to>
    <xdr:sp macro="" textlink="">
      <xdr:nvSpPr>
        <xdr:cNvPr id="21" name="Line 10">
          <a:extLst>
            <a:ext uri="{FF2B5EF4-FFF2-40B4-BE49-F238E27FC236}">
              <a16:creationId xmlns:a16="http://schemas.microsoft.com/office/drawing/2014/main" id="{00000000-0008-0000-1900-000015000000}"/>
            </a:ext>
          </a:extLst>
        </xdr:cNvPr>
        <xdr:cNvSpPr>
          <a:spLocks noChangeShapeType="1"/>
        </xdr:cNvSpPr>
      </xdr:nvSpPr>
      <xdr:spPr bwMode="auto">
        <a:xfrm>
          <a:off x="18430875" y="14287500"/>
          <a:ext cx="0" cy="0"/>
        </a:xfrm>
        <a:prstGeom prst="line">
          <a:avLst/>
        </a:prstGeom>
        <a:noFill/>
        <a:ln w="9525">
          <a:solidFill>
            <a:srgbClr val="000000"/>
          </a:solidFill>
          <a:prstDash val="sysDot"/>
          <a:round/>
          <a:headEnd/>
          <a:tailEnd/>
        </a:ln>
      </xdr:spPr>
    </xdr:sp>
    <xdr:clientData/>
  </xdr:twoCellAnchor>
  <xdr:twoCellAnchor>
    <xdr:from>
      <xdr:col>35</xdr:col>
      <xdr:colOff>0</xdr:colOff>
      <xdr:row>80</xdr:row>
      <xdr:rowOff>0</xdr:rowOff>
    </xdr:from>
    <xdr:to>
      <xdr:col>35</xdr:col>
      <xdr:colOff>0</xdr:colOff>
      <xdr:row>80</xdr:row>
      <xdr:rowOff>0</xdr:rowOff>
    </xdr:to>
    <xdr:sp macro="" textlink="">
      <xdr:nvSpPr>
        <xdr:cNvPr id="22" name="Line 11">
          <a:extLst>
            <a:ext uri="{FF2B5EF4-FFF2-40B4-BE49-F238E27FC236}">
              <a16:creationId xmlns:a16="http://schemas.microsoft.com/office/drawing/2014/main" id="{00000000-0008-0000-1900-000016000000}"/>
            </a:ext>
          </a:extLst>
        </xdr:cNvPr>
        <xdr:cNvSpPr>
          <a:spLocks noChangeShapeType="1"/>
        </xdr:cNvSpPr>
      </xdr:nvSpPr>
      <xdr:spPr bwMode="auto">
        <a:xfrm>
          <a:off x="18430875" y="14573250"/>
          <a:ext cx="0" cy="0"/>
        </a:xfrm>
        <a:prstGeom prst="line">
          <a:avLst/>
        </a:prstGeom>
        <a:noFill/>
        <a:ln w="9525">
          <a:solidFill>
            <a:srgbClr val="000000"/>
          </a:solidFill>
          <a:prstDash val="sysDot"/>
          <a:round/>
          <a:headEnd/>
          <a:tailEnd/>
        </a:ln>
      </xdr:spPr>
    </xdr:sp>
    <xdr:clientData/>
  </xdr:twoCellAnchor>
  <xdr:twoCellAnchor>
    <xdr:from>
      <xdr:col>33</xdr:col>
      <xdr:colOff>0</xdr:colOff>
      <xdr:row>74</xdr:row>
      <xdr:rowOff>0</xdr:rowOff>
    </xdr:from>
    <xdr:to>
      <xdr:col>33</xdr:col>
      <xdr:colOff>0</xdr:colOff>
      <xdr:row>74</xdr:row>
      <xdr:rowOff>0</xdr:rowOff>
    </xdr:to>
    <xdr:sp macro="" textlink="">
      <xdr:nvSpPr>
        <xdr:cNvPr id="24" name="Line 5">
          <a:extLst>
            <a:ext uri="{FF2B5EF4-FFF2-40B4-BE49-F238E27FC236}">
              <a16:creationId xmlns:a16="http://schemas.microsoft.com/office/drawing/2014/main" id="{00000000-0008-0000-1900-000018000000}"/>
            </a:ext>
          </a:extLst>
        </xdr:cNvPr>
        <xdr:cNvSpPr>
          <a:spLocks noChangeShapeType="1"/>
        </xdr:cNvSpPr>
      </xdr:nvSpPr>
      <xdr:spPr bwMode="auto">
        <a:xfrm>
          <a:off x="18621375" y="14220825"/>
          <a:ext cx="0" cy="0"/>
        </a:xfrm>
        <a:prstGeom prst="line">
          <a:avLst/>
        </a:prstGeom>
        <a:noFill/>
        <a:ln w="9525">
          <a:solidFill>
            <a:srgbClr val="000000"/>
          </a:solidFill>
          <a:prstDash val="sysDot"/>
          <a:round/>
          <a:headEnd/>
          <a:tailEnd/>
        </a:ln>
      </xdr:spPr>
    </xdr:sp>
    <xdr:clientData/>
  </xdr:twoCellAnchor>
  <xdr:twoCellAnchor>
    <xdr:from>
      <xdr:col>33</xdr:col>
      <xdr:colOff>0</xdr:colOff>
      <xdr:row>77</xdr:row>
      <xdr:rowOff>0</xdr:rowOff>
    </xdr:from>
    <xdr:to>
      <xdr:col>33</xdr:col>
      <xdr:colOff>9525</xdr:colOff>
      <xdr:row>77</xdr:row>
      <xdr:rowOff>0</xdr:rowOff>
    </xdr:to>
    <xdr:sp macro="" textlink="">
      <xdr:nvSpPr>
        <xdr:cNvPr id="25" name="Line 7">
          <a:extLst>
            <a:ext uri="{FF2B5EF4-FFF2-40B4-BE49-F238E27FC236}">
              <a16:creationId xmlns:a16="http://schemas.microsoft.com/office/drawing/2014/main" id="{00000000-0008-0000-1900-000019000000}"/>
            </a:ext>
          </a:extLst>
        </xdr:cNvPr>
        <xdr:cNvSpPr>
          <a:spLocks noChangeShapeType="1"/>
        </xdr:cNvSpPr>
      </xdr:nvSpPr>
      <xdr:spPr bwMode="auto">
        <a:xfrm>
          <a:off x="18621375" y="14649450"/>
          <a:ext cx="9525" cy="0"/>
        </a:xfrm>
        <a:prstGeom prst="line">
          <a:avLst/>
        </a:prstGeom>
        <a:noFill/>
        <a:ln w="9525">
          <a:solidFill>
            <a:srgbClr val="000000"/>
          </a:solidFill>
          <a:prstDash val="sysDot"/>
          <a:round/>
          <a:headEnd/>
          <a:tailEnd/>
        </a:ln>
      </xdr:spPr>
    </xdr:sp>
    <xdr:clientData/>
  </xdr:twoCellAnchor>
  <xdr:twoCellAnchor>
    <xdr:from>
      <xdr:col>33</xdr:col>
      <xdr:colOff>0</xdr:colOff>
      <xdr:row>82</xdr:row>
      <xdr:rowOff>0</xdr:rowOff>
    </xdr:from>
    <xdr:to>
      <xdr:col>33</xdr:col>
      <xdr:colOff>0</xdr:colOff>
      <xdr:row>82</xdr:row>
      <xdr:rowOff>0</xdr:rowOff>
    </xdr:to>
    <xdr:sp macro="" textlink="">
      <xdr:nvSpPr>
        <xdr:cNvPr id="26" name="Line 8">
          <a:extLst>
            <a:ext uri="{FF2B5EF4-FFF2-40B4-BE49-F238E27FC236}">
              <a16:creationId xmlns:a16="http://schemas.microsoft.com/office/drawing/2014/main" id="{00000000-0008-0000-1900-00001A000000}"/>
            </a:ext>
          </a:extLst>
        </xdr:cNvPr>
        <xdr:cNvSpPr>
          <a:spLocks noChangeShapeType="1"/>
        </xdr:cNvSpPr>
      </xdr:nvSpPr>
      <xdr:spPr bwMode="auto">
        <a:xfrm>
          <a:off x="18621375" y="15392400"/>
          <a:ext cx="0" cy="0"/>
        </a:xfrm>
        <a:prstGeom prst="line">
          <a:avLst/>
        </a:prstGeom>
        <a:noFill/>
        <a:ln w="9525">
          <a:solidFill>
            <a:srgbClr val="000000"/>
          </a:solidFill>
          <a:prstDash val="sysDot"/>
          <a:round/>
          <a:headEnd/>
          <a:tailEnd/>
        </a:ln>
      </xdr:spPr>
    </xdr:sp>
    <xdr:clientData/>
  </xdr:twoCellAnchor>
  <xdr:twoCellAnchor>
    <xdr:from>
      <xdr:col>33</xdr:col>
      <xdr:colOff>0</xdr:colOff>
      <xdr:row>83</xdr:row>
      <xdr:rowOff>0</xdr:rowOff>
    </xdr:from>
    <xdr:to>
      <xdr:col>33</xdr:col>
      <xdr:colOff>0</xdr:colOff>
      <xdr:row>83</xdr:row>
      <xdr:rowOff>0</xdr:rowOff>
    </xdr:to>
    <xdr:sp macro="" textlink="">
      <xdr:nvSpPr>
        <xdr:cNvPr id="27" name="Line 10">
          <a:extLst>
            <a:ext uri="{FF2B5EF4-FFF2-40B4-BE49-F238E27FC236}">
              <a16:creationId xmlns:a16="http://schemas.microsoft.com/office/drawing/2014/main" id="{00000000-0008-0000-1900-00001B000000}"/>
            </a:ext>
          </a:extLst>
        </xdr:cNvPr>
        <xdr:cNvSpPr>
          <a:spLocks noChangeShapeType="1"/>
        </xdr:cNvSpPr>
      </xdr:nvSpPr>
      <xdr:spPr bwMode="auto">
        <a:xfrm>
          <a:off x="18621375" y="15535275"/>
          <a:ext cx="0" cy="0"/>
        </a:xfrm>
        <a:prstGeom prst="line">
          <a:avLst/>
        </a:prstGeom>
        <a:noFill/>
        <a:ln w="9525">
          <a:solidFill>
            <a:srgbClr val="000000"/>
          </a:solidFill>
          <a:prstDash val="sysDot"/>
          <a:round/>
          <a:headEnd/>
          <a:tailEnd/>
        </a:ln>
      </xdr:spPr>
    </xdr:sp>
    <xdr:clientData/>
  </xdr:twoCellAnchor>
  <xdr:twoCellAnchor>
    <xdr:from>
      <xdr:col>33</xdr:col>
      <xdr:colOff>0</xdr:colOff>
      <xdr:row>85</xdr:row>
      <xdr:rowOff>0</xdr:rowOff>
    </xdr:from>
    <xdr:to>
      <xdr:col>33</xdr:col>
      <xdr:colOff>0</xdr:colOff>
      <xdr:row>85</xdr:row>
      <xdr:rowOff>0</xdr:rowOff>
    </xdr:to>
    <xdr:sp macro="" textlink="">
      <xdr:nvSpPr>
        <xdr:cNvPr id="28" name="Line 11">
          <a:extLst>
            <a:ext uri="{FF2B5EF4-FFF2-40B4-BE49-F238E27FC236}">
              <a16:creationId xmlns:a16="http://schemas.microsoft.com/office/drawing/2014/main" id="{00000000-0008-0000-1900-00001C000000}"/>
            </a:ext>
          </a:extLst>
        </xdr:cNvPr>
        <xdr:cNvSpPr>
          <a:spLocks noChangeShapeType="1"/>
        </xdr:cNvSpPr>
      </xdr:nvSpPr>
      <xdr:spPr bwMode="auto">
        <a:xfrm>
          <a:off x="18621375" y="15821025"/>
          <a:ext cx="0" cy="0"/>
        </a:xfrm>
        <a:prstGeom prst="line">
          <a:avLst/>
        </a:prstGeom>
        <a:noFill/>
        <a:ln w="9525">
          <a:solidFill>
            <a:srgbClr val="000000"/>
          </a:solidFill>
          <a:prstDash val="sysDot"/>
          <a:round/>
          <a:headEnd/>
          <a:tailEnd/>
        </a:ln>
      </xdr:spPr>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38100</xdr:colOff>
      <xdr:row>72</xdr:row>
      <xdr:rowOff>0</xdr:rowOff>
    </xdr:from>
    <xdr:to>
      <xdr:col>4</xdr:col>
      <xdr:colOff>19050</xdr:colOff>
      <xdr:row>72</xdr:row>
      <xdr:rowOff>0</xdr:rowOff>
    </xdr:to>
    <xdr:sp macro="" textlink="">
      <xdr:nvSpPr>
        <xdr:cNvPr id="2" name="Line 1">
          <a:extLst>
            <a:ext uri="{FF2B5EF4-FFF2-40B4-BE49-F238E27FC236}">
              <a16:creationId xmlns:a16="http://schemas.microsoft.com/office/drawing/2014/main" id="{00000000-0008-0000-1A00-000002000000}"/>
            </a:ext>
          </a:extLst>
        </xdr:cNvPr>
        <xdr:cNvSpPr>
          <a:spLocks noChangeShapeType="1"/>
        </xdr:cNvSpPr>
      </xdr:nvSpPr>
      <xdr:spPr bwMode="auto">
        <a:xfrm>
          <a:off x="38100" y="12239625"/>
          <a:ext cx="3724275" cy="0"/>
        </a:xfrm>
        <a:prstGeom prst="line">
          <a:avLst/>
        </a:prstGeom>
        <a:noFill/>
        <a:ln w="9525">
          <a:solidFill>
            <a:srgbClr val="000000"/>
          </a:solidFill>
          <a:prstDash val="sysDot"/>
          <a:round/>
          <a:headEnd/>
          <a:tailEnd/>
        </a:ln>
      </xdr:spPr>
    </xdr:sp>
    <xdr:clientData/>
  </xdr:twoCellAnchor>
  <xdr:twoCellAnchor>
    <xdr:from>
      <xdr:col>0</xdr:col>
      <xdr:colOff>200025</xdr:colOff>
      <xdr:row>76</xdr:row>
      <xdr:rowOff>11906</xdr:rowOff>
    </xdr:from>
    <xdr:to>
      <xdr:col>2</xdr:col>
      <xdr:colOff>52387</xdr:colOff>
      <xdr:row>76</xdr:row>
      <xdr:rowOff>21431</xdr:rowOff>
    </xdr:to>
    <xdr:sp macro="" textlink="">
      <xdr:nvSpPr>
        <xdr:cNvPr id="3" name="Line 3">
          <a:extLst>
            <a:ext uri="{FF2B5EF4-FFF2-40B4-BE49-F238E27FC236}">
              <a16:creationId xmlns:a16="http://schemas.microsoft.com/office/drawing/2014/main" id="{00000000-0008-0000-1A00-000003000000}"/>
            </a:ext>
          </a:extLst>
        </xdr:cNvPr>
        <xdr:cNvSpPr>
          <a:spLocks noChangeShapeType="1"/>
        </xdr:cNvSpPr>
      </xdr:nvSpPr>
      <xdr:spPr bwMode="auto">
        <a:xfrm>
          <a:off x="200025" y="12794456"/>
          <a:ext cx="1766887" cy="9525"/>
        </a:xfrm>
        <a:prstGeom prst="line">
          <a:avLst/>
        </a:prstGeom>
        <a:noFill/>
        <a:ln w="9525">
          <a:solidFill>
            <a:srgbClr val="000000"/>
          </a:solidFill>
          <a:prstDash val="sysDot"/>
          <a:round/>
          <a:headEnd/>
          <a:tailEnd/>
        </a:ln>
      </xdr:spPr>
    </xdr:sp>
    <xdr:clientData/>
  </xdr:twoCellAnchor>
  <xdr:twoCellAnchor>
    <xdr:from>
      <xdr:col>2</xdr:col>
      <xdr:colOff>338137</xdr:colOff>
      <xdr:row>76</xdr:row>
      <xdr:rowOff>11906</xdr:rowOff>
    </xdr:from>
    <xdr:to>
      <xdr:col>4</xdr:col>
      <xdr:colOff>528637</xdr:colOff>
      <xdr:row>76</xdr:row>
      <xdr:rowOff>11906</xdr:rowOff>
    </xdr:to>
    <xdr:sp macro="" textlink="">
      <xdr:nvSpPr>
        <xdr:cNvPr id="4" name="Line 4">
          <a:extLst>
            <a:ext uri="{FF2B5EF4-FFF2-40B4-BE49-F238E27FC236}">
              <a16:creationId xmlns:a16="http://schemas.microsoft.com/office/drawing/2014/main" id="{00000000-0008-0000-1A00-000004000000}"/>
            </a:ext>
          </a:extLst>
        </xdr:cNvPr>
        <xdr:cNvSpPr>
          <a:spLocks noChangeShapeType="1"/>
        </xdr:cNvSpPr>
      </xdr:nvSpPr>
      <xdr:spPr bwMode="auto">
        <a:xfrm>
          <a:off x="2252662" y="12794456"/>
          <a:ext cx="2019300" cy="0"/>
        </a:xfrm>
        <a:prstGeom prst="line">
          <a:avLst/>
        </a:prstGeom>
        <a:noFill/>
        <a:ln w="9525">
          <a:solidFill>
            <a:srgbClr val="000000"/>
          </a:solidFill>
          <a:prstDash val="sysDot"/>
          <a:round/>
          <a:headEnd/>
          <a:tailEnd/>
        </a:ln>
      </xdr:spPr>
    </xdr:sp>
    <xdr:clientData/>
  </xdr:twoCellAnchor>
  <xdr:twoCellAnchor>
    <xdr:from>
      <xdr:col>30</xdr:col>
      <xdr:colOff>0</xdr:colOff>
      <xdr:row>68</xdr:row>
      <xdr:rowOff>0</xdr:rowOff>
    </xdr:from>
    <xdr:to>
      <xdr:col>30</xdr:col>
      <xdr:colOff>0</xdr:colOff>
      <xdr:row>68</xdr:row>
      <xdr:rowOff>0</xdr:rowOff>
    </xdr:to>
    <xdr:sp macro="" textlink="">
      <xdr:nvSpPr>
        <xdr:cNvPr id="5" name="Line 5">
          <a:extLst>
            <a:ext uri="{FF2B5EF4-FFF2-40B4-BE49-F238E27FC236}">
              <a16:creationId xmlns:a16="http://schemas.microsoft.com/office/drawing/2014/main" id="{00000000-0008-0000-1A00-000005000000}"/>
            </a:ext>
          </a:extLst>
        </xdr:cNvPr>
        <xdr:cNvSpPr>
          <a:spLocks noChangeShapeType="1"/>
        </xdr:cNvSpPr>
      </xdr:nvSpPr>
      <xdr:spPr bwMode="auto">
        <a:xfrm>
          <a:off x="18497550" y="11668125"/>
          <a:ext cx="0" cy="0"/>
        </a:xfrm>
        <a:prstGeom prst="line">
          <a:avLst/>
        </a:prstGeom>
        <a:noFill/>
        <a:ln w="9525">
          <a:solidFill>
            <a:srgbClr val="000000"/>
          </a:solidFill>
          <a:prstDash val="sysDot"/>
          <a:round/>
          <a:headEnd/>
          <a:tailEnd/>
        </a:ln>
      </xdr:spPr>
    </xdr:sp>
    <xdr:clientData/>
  </xdr:twoCellAnchor>
  <xdr:twoCellAnchor>
    <xdr:from>
      <xdr:col>26</xdr:col>
      <xdr:colOff>0</xdr:colOff>
      <xdr:row>79</xdr:row>
      <xdr:rowOff>0</xdr:rowOff>
    </xdr:from>
    <xdr:to>
      <xdr:col>29</xdr:col>
      <xdr:colOff>531914</xdr:colOff>
      <xdr:row>79</xdr:row>
      <xdr:rowOff>0</xdr:rowOff>
    </xdr:to>
    <xdr:sp macro="" textlink="">
      <xdr:nvSpPr>
        <xdr:cNvPr id="6" name="Line 6">
          <a:extLst>
            <a:ext uri="{FF2B5EF4-FFF2-40B4-BE49-F238E27FC236}">
              <a16:creationId xmlns:a16="http://schemas.microsoft.com/office/drawing/2014/main" id="{00000000-0008-0000-1A00-000006000000}"/>
            </a:ext>
          </a:extLst>
        </xdr:cNvPr>
        <xdr:cNvSpPr>
          <a:spLocks noChangeShapeType="1"/>
        </xdr:cNvSpPr>
      </xdr:nvSpPr>
      <xdr:spPr bwMode="auto">
        <a:xfrm>
          <a:off x="16802099" y="15316200"/>
          <a:ext cx="2417865" cy="0"/>
        </a:xfrm>
        <a:prstGeom prst="line">
          <a:avLst/>
        </a:prstGeom>
        <a:noFill/>
        <a:ln w="9525">
          <a:solidFill>
            <a:srgbClr val="000000"/>
          </a:solidFill>
          <a:prstDash val="sysDot"/>
          <a:round/>
          <a:headEnd/>
          <a:tailEnd/>
        </a:ln>
      </xdr:spPr>
    </xdr:sp>
    <xdr:clientData/>
  </xdr:twoCellAnchor>
  <xdr:twoCellAnchor>
    <xdr:from>
      <xdr:col>30</xdr:col>
      <xdr:colOff>0</xdr:colOff>
      <xdr:row>70</xdr:row>
      <xdr:rowOff>0</xdr:rowOff>
    </xdr:from>
    <xdr:to>
      <xdr:col>30</xdr:col>
      <xdr:colOff>9525</xdr:colOff>
      <xdr:row>70</xdr:row>
      <xdr:rowOff>0</xdr:rowOff>
    </xdr:to>
    <xdr:sp macro="" textlink="">
      <xdr:nvSpPr>
        <xdr:cNvPr id="7" name="Line 7">
          <a:extLst>
            <a:ext uri="{FF2B5EF4-FFF2-40B4-BE49-F238E27FC236}">
              <a16:creationId xmlns:a16="http://schemas.microsoft.com/office/drawing/2014/main" id="{00000000-0008-0000-1A00-000007000000}"/>
            </a:ext>
          </a:extLst>
        </xdr:cNvPr>
        <xdr:cNvSpPr>
          <a:spLocks noChangeShapeType="1"/>
        </xdr:cNvSpPr>
      </xdr:nvSpPr>
      <xdr:spPr bwMode="auto">
        <a:xfrm>
          <a:off x="18497550" y="11953875"/>
          <a:ext cx="9525" cy="0"/>
        </a:xfrm>
        <a:prstGeom prst="line">
          <a:avLst/>
        </a:prstGeom>
        <a:noFill/>
        <a:ln w="9525">
          <a:solidFill>
            <a:srgbClr val="000000"/>
          </a:solidFill>
          <a:prstDash val="sysDot"/>
          <a:round/>
          <a:headEnd/>
          <a:tailEnd/>
        </a:ln>
      </xdr:spPr>
    </xdr:sp>
    <xdr:clientData/>
  </xdr:twoCellAnchor>
  <xdr:twoCellAnchor>
    <xdr:from>
      <xdr:col>30</xdr:col>
      <xdr:colOff>0</xdr:colOff>
      <xdr:row>75</xdr:row>
      <xdr:rowOff>0</xdr:rowOff>
    </xdr:from>
    <xdr:to>
      <xdr:col>30</xdr:col>
      <xdr:colOff>0</xdr:colOff>
      <xdr:row>75</xdr:row>
      <xdr:rowOff>0</xdr:rowOff>
    </xdr:to>
    <xdr:sp macro="" textlink="">
      <xdr:nvSpPr>
        <xdr:cNvPr id="8" name="Line 8">
          <a:extLst>
            <a:ext uri="{FF2B5EF4-FFF2-40B4-BE49-F238E27FC236}">
              <a16:creationId xmlns:a16="http://schemas.microsoft.com/office/drawing/2014/main" id="{00000000-0008-0000-1A00-000008000000}"/>
            </a:ext>
          </a:extLst>
        </xdr:cNvPr>
        <xdr:cNvSpPr>
          <a:spLocks noChangeShapeType="1"/>
        </xdr:cNvSpPr>
      </xdr:nvSpPr>
      <xdr:spPr bwMode="auto">
        <a:xfrm>
          <a:off x="18497550" y="12639675"/>
          <a:ext cx="0" cy="0"/>
        </a:xfrm>
        <a:prstGeom prst="line">
          <a:avLst/>
        </a:prstGeom>
        <a:noFill/>
        <a:ln w="9525">
          <a:solidFill>
            <a:srgbClr val="000000"/>
          </a:solidFill>
          <a:prstDash val="sysDot"/>
          <a:round/>
          <a:headEnd/>
          <a:tailEnd/>
        </a:ln>
      </xdr:spPr>
    </xdr:sp>
    <xdr:clientData/>
  </xdr:twoCellAnchor>
  <xdr:twoCellAnchor>
    <xdr:from>
      <xdr:col>30</xdr:col>
      <xdr:colOff>0</xdr:colOff>
      <xdr:row>75</xdr:row>
      <xdr:rowOff>0</xdr:rowOff>
    </xdr:from>
    <xdr:to>
      <xdr:col>30</xdr:col>
      <xdr:colOff>0</xdr:colOff>
      <xdr:row>75</xdr:row>
      <xdr:rowOff>0</xdr:rowOff>
    </xdr:to>
    <xdr:sp macro="" textlink="">
      <xdr:nvSpPr>
        <xdr:cNvPr id="10" name="Line 10">
          <a:extLst>
            <a:ext uri="{FF2B5EF4-FFF2-40B4-BE49-F238E27FC236}">
              <a16:creationId xmlns:a16="http://schemas.microsoft.com/office/drawing/2014/main" id="{00000000-0008-0000-1A00-00000A000000}"/>
            </a:ext>
          </a:extLst>
        </xdr:cNvPr>
        <xdr:cNvSpPr>
          <a:spLocks noChangeShapeType="1"/>
        </xdr:cNvSpPr>
      </xdr:nvSpPr>
      <xdr:spPr bwMode="auto">
        <a:xfrm>
          <a:off x="18497550" y="12639675"/>
          <a:ext cx="0" cy="0"/>
        </a:xfrm>
        <a:prstGeom prst="line">
          <a:avLst/>
        </a:prstGeom>
        <a:noFill/>
        <a:ln w="9525">
          <a:solidFill>
            <a:srgbClr val="000000"/>
          </a:solidFill>
          <a:prstDash val="sysDot"/>
          <a:round/>
          <a:headEnd/>
          <a:tailEnd/>
        </a:ln>
      </xdr:spPr>
    </xdr:sp>
    <xdr:clientData/>
  </xdr:twoCellAnchor>
  <xdr:twoCellAnchor>
    <xdr:from>
      <xdr:col>30</xdr:col>
      <xdr:colOff>0</xdr:colOff>
      <xdr:row>77</xdr:row>
      <xdr:rowOff>0</xdr:rowOff>
    </xdr:from>
    <xdr:to>
      <xdr:col>30</xdr:col>
      <xdr:colOff>0</xdr:colOff>
      <xdr:row>77</xdr:row>
      <xdr:rowOff>0</xdr:rowOff>
    </xdr:to>
    <xdr:sp macro="" textlink="">
      <xdr:nvSpPr>
        <xdr:cNvPr id="11" name="Line 11">
          <a:extLst>
            <a:ext uri="{FF2B5EF4-FFF2-40B4-BE49-F238E27FC236}">
              <a16:creationId xmlns:a16="http://schemas.microsoft.com/office/drawing/2014/main" id="{00000000-0008-0000-1A00-00000B000000}"/>
            </a:ext>
          </a:extLst>
        </xdr:cNvPr>
        <xdr:cNvSpPr>
          <a:spLocks noChangeShapeType="1"/>
        </xdr:cNvSpPr>
      </xdr:nvSpPr>
      <xdr:spPr bwMode="auto">
        <a:xfrm>
          <a:off x="18497550" y="12925425"/>
          <a:ext cx="0" cy="0"/>
        </a:xfrm>
        <a:prstGeom prst="line">
          <a:avLst/>
        </a:prstGeom>
        <a:noFill/>
        <a:ln w="9525">
          <a:solidFill>
            <a:srgbClr val="000000"/>
          </a:solidFill>
          <a:prstDash val="sysDot"/>
          <a:round/>
          <a:headEnd/>
          <a:tailEnd/>
        </a:ln>
      </xdr:spPr>
    </xdr:sp>
    <xdr:clientData/>
  </xdr:twoCellAnchor>
  <xdr:twoCellAnchor>
    <xdr:from>
      <xdr:col>29</xdr:col>
      <xdr:colOff>0</xdr:colOff>
      <xdr:row>70</xdr:row>
      <xdr:rowOff>0</xdr:rowOff>
    </xdr:from>
    <xdr:to>
      <xdr:col>29</xdr:col>
      <xdr:colOff>0</xdr:colOff>
      <xdr:row>70</xdr:row>
      <xdr:rowOff>0</xdr:rowOff>
    </xdr:to>
    <xdr:sp macro="" textlink="">
      <xdr:nvSpPr>
        <xdr:cNvPr id="12" name="Line 5">
          <a:extLst>
            <a:ext uri="{FF2B5EF4-FFF2-40B4-BE49-F238E27FC236}">
              <a16:creationId xmlns:a16="http://schemas.microsoft.com/office/drawing/2014/main" id="{00000000-0008-0000-1A00-00000C000000}"/>
            </a:ext>
          </a:extLst>
        </xdr:cNvPr>
        <xdr:cNvSpPr>
          <a:spLocks noChangeShapeType="1"/>
        </xdr:cNvSpPr>
      </xdr:nvSpPr>
      <xdr:spPr bwMode="auto">
        <a:xfrm>
          <a:off x="18707100" y="13335000"/>
          <a:ext cx="0" cy="0"/>
        </a:xfrm>
        <a:prstGeom prst="line">
          <a:avLst/>
        </a:prstGeom>
        <a:noFill/>
        <a:ln w="9525">
          <a:solidFill>
            <a:srgbClr val="000000"/>
          </a:solidFill>
          <a:prstDash val="sysDot"/>
          <a:round/>
          <a:headEnd/>
          <a:tailEnd/>
        </a:ln>
      </xdr:spPr>
    </xdr:sp>
    <xdr:clientData/>
  </xdr:twoCellAnchor>
  <xdr:twoCellAnchor>
    <xdr:from>
      <xdr:col>29</xdr:col>
      <xdr:colOff>0</xdr:colOff>
      <xdr:row>73</xdr:row>
      <xdr:rowOff>0</xdr:rowOff>
    </xdr:from>
    <xdr:to>
      <xdr:col>29</xdr:col>
      <xdr:colOff>9525</xdr:colOff>
      <xdr:row>73</xdr:row>
      <xdr:rowOff>0</xdr:rowOff>
    </xdr:to>
    <xdr:sp macro="" textlink="">
      <xdr:nvSpPr>
        <xdr:cNvPr id="13" name="Line 7">
          <a:extLst>
            <a:ext uri="{FF2B5EF4-FFF2-40B4-BE49-F238E27FC236}">
              <a16:creationId xmlns:a16="http://schemas.microsoft.com/office/drawing/2014/main" id="{00000000-0008-0000-1A00-00000D000000}"/>
            </a:ext>
          </a:extLst>
        </xdr:cNvPr>
        <xdr:cNvSpPr>
          <a:spLocks noChangeShapeType="1"/>
        </xdr:cNvSpPr>
      </xdr:nvSpPr>
      <xdr:spPr bwMode="auto">
        <a:xfrm>
          <a:off x="18707100" y="13763625"/>
          <a:ext cx="9525" cy="0"/>
        </a:xfrm>
        <a:prstGeom prst="line">
          <a:avLst/>
        </a:prstGeom>
        <a:noFill/>
        <a:ln w="9525">
          <a:solidFill>
            <a:srgbClr val="000000"/>
          </a:solidFill>
          <a:prstDash val="sysDot"/>
          <a:round/>
          <a:headEnd/>
          <a:tailEnd/>
        </a:ln>
      </xdr:spPr>
    </xdr:sp>
    <xdr:clientData/>
  </xdr:twoCellAnchor>
  <xdr:twoCellAnchor>
    <xdr:from>
      <xdr:col>29</xdr:col>
      <xdr:colOff>0</xdr:colOff>
      <xdr:row>78</xdr:row>
      <xdr:rowOff>0</xdr:rowOff>
    </xdr:from>
    <xdr:to>
      <xdr:col>29</xdr:col>
      <xdr:colOff>0</xdr:colOff>
      <xdr:row>78</xdr:row>
      <xdr:rowOff>0</xdr:rowOff>
    </xdr:to>
    <xdr:sp macro="" textlink="">
      <xdr:nvSpPr>
        <xdr:cNvPr id="14" name="Line 8">
          <a:extLst>
            <a:ext uri="{FF2B5EF4-FFF2-40B4-BE49-F238E27FC236}">
              <a16:creationId xmlns:a16="http://schemas.microsoft.com/office/drawing/2014/main" id="{00000000-0008-0000-1A00-00000E000000}"/>
            </a:ext>
          </a:extLst>
        </xdr:cNvPr>
        <xdr:cNvSpPr>
          <a:spLocks noChangeShapeType="1"/>
        </xdr:cNvSpPr>
      </xdr:nvSpPr>
      <xdr:spPr bwMode="auto">
        <a:xfrm>
          <a:off x="18707100" y="14506575"/>
          <a:ext cx="0" cy="0"/>
        </a:xfrm>
        <a:prstGeom prst="line">
          <a:avLst/>
        </a:prstGeom>
        <a:noFill/>
        <a:ln w="9525">
          <a:solidFill>
            <a:srgbClr val="000000"/>
          </a:solidFill>
          <a:prstDash val="sysDot"/>
          <a:round/>
          <a:headEnd/>
          <a:tailEnd/>
        </a:ln>
      </xdr:spPr>
    </xdr:sp>
    <xdr:clientData/>
  </xdr:twoCellAnchor>
  <xdr:twoCellAnchor>
    <xdr:from>
      <xdr:col>29</xdr:col>
      <xdr:colOff>0</xdr:colOff>
      <xdr:row>79</xdr:row>
      <xdr:rowOff>0</xdr:rowOff>
    </xdr:from>
    <xdr:to>
      <xdr:col>29</xdr:col>
      <xdr:colOff>0</xdr:colOff>
      <xdr:row>79</xdr:row>
      <xdr:rowOff>0</xdr:rowOff>
    </xdr:to>
    <xdr:sp macro="" textlink="">
      <xdr:nvSpPr>
        <xdr:cNvPr id="15" name="Line 10">
          <a:extLst>
            <a:ext uri="{FF2B5EF4-FFF2-40B4-BE49-F238E27FC236}">
              <a16:creationId xmlns:a16="http://schemas.microsoft.com/office/drawing/2014/main" id="{00000000-0008-0000-1A00-00000F000000}"/>
            </a:ext>
          </a:extLst>
        </xdr:cNvPr>
        <xdr:cNvSpPr>
          <a:spLocks noChangeShapeType="1"/>
        </xdr:cNvSpPr>
      </xdr:nvSpPr>
      <xdr:spPr bwMode="auto">
        <a:xfrm>
          <a:off x="18707100" y="14649450"/>
          <a:ext cx="0" cy="0"/>
        </a:xfrm>
        <a:prstGeom prst="line">
          <a:avLst/>
        </a:prstGeom>
        <a:noFill/>
        <a:ln w="9525">
          <a:solidFill>
            <a:srgbClr val="000000"/>
          </a:solidFill>
          <a:prstDash val="sysDot"/>
          <a:round/>
          <a:headEnd/>
          <a:tailEnd/>
        </a:ln>
      </xdr:spPr>
    </xdr:sp>
    <xdr:clientData/>
  </xdr:twoCellAnchor>
  <xdr:twoCellAnchor>
    <xdr:from>
      <xdr:col>29</xdr:col>
      <xdr:colOff>0</xdr:colOff>
      <xdr:row>81</xdr:row>
      <xdr:rowOff>0</xdr:rowOff>
    </xdr:from>
    <xdr:to>
      <xdr:col>29</xdr:col>
      <xdr:colOff>0</xdr:colOff>
      <xdr:row>81</xdr:row>
      <xdr:rowOff>0</xdr:rowOff>
    </xdr:to>
    <xdr:sp macro="" textlink="">
      <xdr:nvSpPr>
        <xdr:cNvPr id="16" name="Line 11">
          <a:extLst>
            <a:ext uri="{FF2B5EF4-FFF2-40B4-BE49-F238E27FC236}">
              <a16:creationId xmlns:a16="http://schemas.microsoft.com/office/drawing/2014/main" id="{00000000-0008-0000-1A00-000010000000}"/>
            </a:ext>
          </a:extLst>
        </xdr:cNvPr>
        <xdr:cNvSpPr>
          <a:spLocks noChangeShapeType="1"/>
        </xdr:cNvSpPr>
      </xdr:nvSpPr>
      <xdr:spPr bwMode="auto">
        <a:xfrm>
          <a:off x="18707100" y="14935200"/>
          <a:ext cx="0" cy="0"/>
        </a:xfrm>
        <a:prstGeom prst="line">
          <a:avLst/>
        </a:prstGeom>
        <a:noFill/>
        <a:ln w="9525">
          <a:solidFill>
            <a:srgbClr val="000000"/>
          </a:solidFill>
          <a:prstDash val="sysDot"/>
          <a:round/>
          <a:headEnd/>
          <a:tailEnd/>
        </a:ln>
      </xdr:spPr>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38100</xdr:colOff>
      <xdr:row>37</xdr:row>
      <xdr:rowOff>0</xdr:rowOff>
    </xdr:from>
    <xdr:to>
      <xdr:col>4</xdr:col>
      <xdr:colOff>19050</xdr:colOff>
      <xdr:row>37</xdr:row>
      <xdr:rowOff>0</xdr:rowOff>
    </xdr:to>
    <xdr:sp macro="" textlink="">
      <xdr:nvSpPr>
        <xdr:cNvPr id="2" name="Line 1">
          <a:extLst>
            <a:ext uri="{FF2B5EF4-FFF2-40B4-BE49-F238E27FC236}">
              <a16:creationId xmlns:a16="http://schemas.microsoft.com/office/drawing/2014/main" id="{00000000-0008-0000-1B00-000002000000}"/>
            </a:ext>
          </a:extLst>
        </xdr:cNvPr>
        <xdr:cNvSpPr>
          <a:spLocks noChangeShapeType="1"/>
        </xdr:cNvSpPr>
      </xdr:nvSpPr>
      <xdr:spPr bwMode="auto">
        <a:xfrm>
          <a:off x="38100" y="6858000"/>
          <a:ext cx="3724275" cy="0"/>
        </a:xfrm>
        <a:prstGeom prst="line">
          <a:avLst/>
        </a:prstGeom>
        <a:noFill/>
        <a:ln w="9525">
          <a:solidFill>
            <a:srgbClr val="000000"/>
          </a:solidFill>
          <a:prstDash val="sysDot"/>
          <a:round/>
          <a:headEnd/>
          <a:tailEnd/>
        </a:ln>
      </xdr:spPr>
    </xdr:sp>
    <xdr:clientData/>
  </xdr:twoCellAnchor>
  <xdr:twoCellAnchor>
    <xdr:from>
      <xdr:col>0</xdr:col>
      <xdr:colOff>85725</xdr:colOff>
      <xdr:row>43</xdr:row>
      <xdr:rowOff>142875</xdr:rowOff>
    </xdr:from>
    <xdr:to>
      <xdr:col>1</xdr:col>
      <xdr:colOff>1485900</xdr:colOff>
      <xdr:row>44</xdr:row>
      <xdr:rowOff>0</xdr:rowOff>
    </xdr:to>
    <xdr:sp macro="" textlink="">
      <xdr:nvSpPr>
        <xdr:cNvPr id="3" name="Line 3">
          <a:extLst>
            <a:ext uri="{FF2B5EF4-FFF2-40B4-BE49-F238E27FC236}">
              <a16:creationId xmlns:a16="http://schemas.microsoft.com/office/drawing/2014/main" id="{00000000-0008-0000-1B00-000003000000}"/>
            </a:ext>
          </a:extLst>
        </xdr:cNvPr>
        <xdr:cNvSpPr>
          <a:spLocks noChangeShapeType="1"/>
        </xdr:cNvSpPr>
      </xdr:nvSpPr>
      <xdr:spPr bwMode="auto">
        <a:xfrm>
          <a:off x="85725" y="7858125"/>
          <a:ext cx="1676400" cy="0"/>
        </a:xfrm>
        <a:prstGeom prst="line">
          <a:avLst/>
        </a:prstGeom>
        <a:noFill/>
        <a:ln w="9525">
          <a:solidFill>
            <a:srgbClr val="000000"/>
          </a:solidFill>
          <a:prstDash val="sysDot"/>
          <a:round/>
          <a:headEnd/>
          <a:tailEnd/>
        </a:ln>
      </xdr:spPr>
    </xdr:sp>
    <xdr:clientData/>
  </xdr:twoCellAnchor>
  <xdr:twoCellAnchor>
    <xdr:from>
      <xdr:col>2</xdr:col>
      <xdr:colOff>304800</xdr:colOff>
      <xdr:row>43</xdr:row>
      <xdr:rowOff>104775</xdr:rowOff>
    </xdr:from>
    <xdr:to>
      <xdr:col>4</xdr:col>
      <xdr:colOff>495300</xdr:colOff>
      <xdr:row>43</xdr:row>
      <xdr:rowOff>104775</xdr:rowOff>
    </xdr:to>
    <xdr:sp macro="" textlink="">
      <xdr:nvSpPr>
        <xdr:cNvPr id="4" name="Line 4">
          <a:extLst>
            <a:ext uri="{FF2B5EF4-FFF2-40B4-BE49-F238E27FC236}">
              <a16:creationId xmlns:a16="http://schemas.microsoft.com/office/drawing/2014/main" id="{00000000-0008-0000-1B00-000004000000}"/>
            </a:ext>
          </a:extLst>
        </xdr:cNvPr>
        <xdr:cNvSpPr>
          <a:spLocks noChangeShapeType="1"/>
        </xdr:cNvSpPr>
      </xdr:nvSpPr>
      <xdr:spPr bwMode="auto">
        <a:xfrm>
          <a:off x="2428875" y="7820025"/>
          <a:ext cx="1809750" cy="0"/>
        </a:xfrm>
        <a:prstGeom prst="line">
          <a:avLst/>
        </a:prstGeom>
        <a:noFill/>
        <a:ln w="9525">
          <a:solidFill>
            <a:srgbClr val="000000"/>
          </a:solidFill>
          <a:prstDash val="sysDot"/>
          <a:round/>
          <a:headEnd/>
          <a:tailEnd/>
        </a:ln>
      </xdr:spPr>
    </xdr:sp>
    <xdr:clientData/>
  </xdr:twoCellAnchor>
  <xdr:twoCellAnchor>
    <xdr:from>
      <xdr:col>0</xdr:col>
      <xdr:colOff>38100</xdr:colOff>
      <xdr:row>40</xdr:row>
      <xdr:rowOff>0</xdr:rowOff>
    </xdr:from>
    <xdr:to>
      <xdr:col>4</xdr:col>
      <xdr:colOff>19050</xdr:colOff>
      <xdr:row>40</xdr:row>
      <xdr:rowOff>0</xdr:rowOff>
    </xdr:to>
    <xdr:sp macro="" textlink="">
      <xdr:nvSpPr>
        <xdr:cNvPr id="5" name="Line 13">
          <a:extLst>
            <a:ext uri="{FF2B5EF4-FFF2-40B4-BE49-F238E27FC236}">
              <a16:creationId xmlns:a16="http://schemas.microsoft.com/office/drawing/2014/main" id="{00000000-0008-0000-1B00-000005000000}"/>
            </a:ext>
          </a:extLst>
        </xdr:cNvPr>
        <xdr:cNvSpPr>
          <a:spLocks noChangeShapeType="1"/>
        </xdr:cNvSpPr>
      </xdr:nvSpPr>
      <xdr:spPr bwMode="auto">
        <a:xfrm>
          <a:off x="38100" y="7286625"/>
          <a:ext cx="3724275" cy="0"/>
        </a:xfrm>
        <a:prstGeom prst="line">
          <a:avLst/>
        </a:prstGeom>
        <a:noFill/>
        <a:ln w="9525">
          <a:solidFill>
            <a:srgbClr val="000000"/>
          </a:solidFill>
          <a:prstDash val="sysDot"/>
          <a:round/>
          <a:headEnd/>
          <a:tailEnd/>
        </a:ln>
      </xdr:spPr>
    </xdr:sp>
    <xdr:clientData/>
  </xdr:twoCellAnchor>
  <xdr:twoCellAnchor>
    <xdr:from>
      <xdr:col>29</xdr:col>
      <xdr:colOff>0</xdr:colOff>
      <xdr:row>36</xdr:row>
      <xdr:rowOff>0</xdr:rowOff>
    </xdr:from>
    <xdr:to>
      <xdr:col>29</xdr:col>
      <xdr:colOff>0</xdr:colOff>
      <xdr:row>36</xdr:row>
      <xdr:rowOff>0</xdr:rowOff>
    </xdr:to>
    <xdr:sp macro="" textlink="">
      <xdr:nvSpPr>
        <xdr:cNvPr id="6" name="Line 17">
          <a:extLst>
            <a:ext uri="{FF2B5EF4-FFF2-40B4-BE49-F238E27FC236}">
              <a16:creationId xmlns:a16="http://schemas.microsoft.com/office/drawing/2014/main" id="{00000000-0008-0000-1B00-000006000000}"/>
            </a:ext>
          </a:extLst>
        </xdr:cNvPr>
        <xdr:cNvSpPr>
          <a:spLocks noChangeShapeType="1"/>
        </xdr:cNvSpPr>
      </xdr:nvSpPr>
      <xdr:spPr bwMode="auto">
        <a:xfrm>
          <a:off x="19364325" y="6715125"/>
          <a:ext cx="0" cy="0"/>
        </a:xfrm>
        <a:prstGeom prst="line">
          <a:avLst/>
        </a:prstGeom>
        <a:noFill/>
        <a:ln w="9525">
          <a:solidFill>
            <a:srgbClr val="000000"/>
          </a:solidFill>
          <a:prstDash val="sysDot"/>
          <a:round/>
          <a:headEnd/>
          <a:tailEnd/>
        </a:ln>
      </xdr:spPr>
    </xdr:sp>
    <xdr:clientData/>
  </xdr:twoCellAnchor>
  <xdr:twoCellAnchor>
    <xdr:from>
      <xdr:col>29</xdr:col>
      <xdr:colOff>0</xdr:colOff>
      <xdr:row>38</xdr:row>
      <xdr:rowOff>0</xdr:rowOff>
    </xdr:from>
    <xdr:to>
      <xdr:col>29</xdr:col>
      <xdr:colOff>9525</xdr:colOff>
      <xdr:row>38</xdr:row>
      <xdr:rowOff>0</xdr:rowOff>
    </xdr:to>
    <xdr:sp macro="" textlink="">
      <xdr:nvSpPr>
        <xdr:cNvPr id="7" name="Line 19">
          <a:extLst>
            <a:ext uri="{FF2B5EF4-FFF2-40B4-BE49-F238E27FC236}">
              <a16:creationId xmlns:a16="http://schemas.microsoft.com/office/drawing/2014/main" id="{00000000-0008-0000-1B00-000007000000}"/>
            </a:ext>
          </a:extLst>
        </xdr:cNvPr>
        <xdr:cNvSpPr>
          <a:spLocks noChangeShapeType="1"/>
        </xdr:cNvSpPr>
      </xdr:nvSpPr>
      <xdr:spPr bwMode="auto">
        <a:xfrm>
          <a:off x="19364325" y="7000875"/>
          <a:ext cx="9525" cy="0"/>
        </a:xfrm>
        <a:prstGeom prst="line">
          <a:avLst/>
        </a:prstGeom>
        <a:noFill/>
        <a:ln w="9525">
          <a:solidFill>
            <a:srgbClr val="000000"/>
          </a:solidFill>
          <a:prstDash val="sysDot"/>
          <a:round/>
          <a:headEnd/>
          <a:tailEnd/>
        </a:ln>
      </xdr:spPr>
    </xdr:sp>
    <xdr:clientData/>
  </xdr:twoCellAnchor>
  <xdr:twoCellAnchor>
    <xdr:from>
      <xdr:col>29</xdr:col>
      <xdr:colOff>0</xdr:colOff>
      <xdr:row>44</xdr:row>
      <xdr:rowOff>0</xdr:rowOff>
    </xdr:from>
    <xdr:to>
      <xdr:col>29</xdr:col>
      <xdr:colOff>0</xdr:colOff>
      <xdr:row>44</xdr:row>
      <xdr:rowOff>0</xdr:rowOff>
    </xdr:to>
    <xdr:sp macro="" textlink="">
      <xdr:nvSpPr>
        <xdr:cNvPr id="8" name="Line 20">
          <a:extLst>
            <a:ext uri="{FF2B5EF4-FFF2-40B4-BE49-F238E27FC236}">
              <a16:creationId xmlns:a16="http://schemas.microsoft.com/office/drawing/2014/main" id="{00000000-0008-0000-1B00-000008000000}"/>
            </a:ext>
          </a:extLst>
        </xdr:cNvPr>
        <xdr:cNvSpPr>
          <a:spLocks noChangeShapeType="1"/>
        </xdr:cNvSpPr>
      </xdr:nvSpPr>
      <xdr:spPr bwMode="auto">
        <a:xfrm>
          <a:off x="19364325" y="7858125"/>
          <a:ext cx="0" cy="0"/>
        </a:xfrm>
        <a:prstGeom prst="line">
          <a:avLst/>
        </a:prstGeom>
        <a:noFill/>
        <a:ln w="9525">
          <a:solidFill>
            <a:srgbClr val="000000"/>
          </a:solidFill>
          <a:prstDash val="sysDot"/>
          <a:round/>
          <a:headEnd/>
          <a:tailEnd/>
        </a:ln>
      </xdr:spPr>
    </xdr:sp>
    <xdr:clientData/>
  </xdr:twoCellAnchor>
  <xdr:twoCellAnchor>
    <xdr:from>
      <xdr:col>29</xdr:col>
      <xdr:colOff>0</xdr:colOff>
      <xdr:row>45</xdr:row>
      <xdr:rowOff>0</xdr:rowOff>
    </xdr:from>
    <xdr:to>
      <xdr:col>29</xdr:col>
      <xdr:colOff>0</xdr:colOff>
      <xdr:row>45</xdr:row>
      <xdr:rowOff>0</xdr:rowOff>
    </xdr:to>
    <xdr:sp macro="" textlink="">
      <xdr:nvSpPr>
        <xdr:cNvPr id="9" name="Line 22">
          <a:extLst>
            <a:ext uri="{FF2B5EF4-FFF2-40B4-BE49-F238E27FC236}">
              <a16:creationId xmlns:a16="http://schemas.microsoft.com/office/drawing/2014/main" id="{00000000-0008-0000-1B00-000009000000}"/>
            </a:ext>
          </a:extLst>
        </xdr:cNvPr>
        <xdr:cNvSpPr>
          <a:spLocks noChangeShapeType="1"/>
        </xdr:cNvSpPr>
      </xdr:nvSpPr>
      <xdr:spPr bwMode="auto">
        <a:xfrm>
          <a:off x="19364325" y="8001000"/>
          <a:ext cx="0" cy="0"/>
        </a:xfrm>
        <a:prstGeom prst="line">
          <a:avLst/>
        </a:prstGeom>
        <a:noFill/>
        <a:ln w="9525">
          <a:solidFill>
            <a:srgbClr val="000000"/>
          </a:solidFill>
          <a:prstDash val="sysDot"/>
          <a:round/>
          <a:headEnd/>
          <a:tailEnd/>
        </a:ln>
      </xdr:spPr>
    </xdr:sp>
    <xdr:clientData/>
  </xdr:twoCellAnchor>
  <xdr:twoCellAnchor>
    <xdr:from>
      <xdr:col>29</xdr:col>
      <xdr:colOff>0</xdr:colOff>
      <xdr:row>47</xdr:row>
      <xdr:rowOff>0</xdr:rowOff>
    </xdr:from>
    <xdr:to>
      <xdr:col>29</xdr:col>
      <xdr:colOff>0</xdr:colOff>
      <xdr:row>47</xdr:row>
      <xdr:rowOff>0</xdr:rowOff>
    </xdr:to>
    <xdr:sp macro="" textlink="">
      <xdr:nvSpPr>
        <xdr:cNvPr id="10" name="Line 23">
          <a:extLst>
            <a:ext uri="{FF2B5EF4-FFF2-40B4-BE49-F238E27FC236}">
              <a16:creationId xmlns:a16="http://schemas.microsoft.com/office/drawing/2014/main" id="{00000000-0008-0000-1B00-00000A000000}"/>
            </a:ext>
          </a:extLst>
        </xdr:cNvPr>
        <xdr:cNvSpPr>
          <a:spLocks noChangeShapeType="1"/>
        </xdr:cNvSpPr>
      </xdr:nvSpPr>
      <xdr:spPr bwMode="auto">
        <a:xfrm>
          <a:off x="19364325" y="8286750"/>
          <a:ext cx="0" cy="0"/>
        </a:xfrm>
        <a:prstGeom prst="line">
          <a:avLst/>
        </a:prstGeom>
        <a:noFill/>
        <a:ln w="9525">
          <a:solidFill>
            <a:srgbClr val="000000"/>
          </a:solidFill>
          <a:prstDash val="sysDot"/>
          <a:round/>
          <a:headEnd/>
          <a:tailEnd/>
        </a:ln>
      </xdr:spPr>
    </xdr:sp>
    <xdr:clientData/>
  </xdr:twoCellAnchor>
  <xdr:twoCellAnchor>
    <xdr:from>
      <xdr:col>0</xdr:col>
      <xdr:colOff>38100</xdr:colOff>
      <xdr:row>31</xdr:row>
      <xdr:rowOff>0</xdr:rowOff>
    </xdr:from>
    <xdr:to>
      <xdr:col>4</xdr:col>
      <xdr:colOff>19050</xdr:colOff>
      <xdr:row>31</xdr:row>
      <xdr:rowOff>0</xdr:rowOff>
    </xdr:to>
    <xdr:sp macro="" textlink="">
      <xdr:nvSpPr>
        <xdr:cNvPr id="11" name="Line 1">
          <a:extLst>
            <a:ext uri="{FF2B5EF4-FFF2-40B4-BE49-F238E27FC236}">
              <a16:creationId xmlns:a16="http://schemas.microsoft.com/office/drawing/2014/main" id="{00000000-0008-0000-1B00-00000B000000}"/>
            </a:ext>
          </a:extLst>
        </xdr:cNvPr>
        <xdr:cNvSpPr>
          <a:spLocks noChangeShapeType="1"/>
        </xdr:cNvSpPr>
      </xdr:nvSpPr>
      <xdr:spPr bwMode="auto">
        <a:xfrm>
          <a:off x="38100" y="6000750"/>
          <a:ext cx="3724275" cy="0"/>
        </a:xfrm>
        <a:prstGeom prst="line">
          <a:avLst/>
        </a:prstGeom>
        <a:noFill/>
        <a:ln w="9525">
          <a:solidFill>
            <a:srgbClr val="000000"/>
          </a:solidFill>
          <a:prstDash val="sysDot"/>
          <a:round/>
          <a:headEnd/>
          <a:tailEnd/>
        </a:ln>
      </xdr:spPr>
    </xdr:sp>
    <xdr:clientData/>
  </xdr:twoCellAnchor>
  <xdr:twoCellAnchor>
    <xdr:from>
      <xdr:col>0</xdr:col>
      <xdr:colOff>85725</xdr:colOff>
      <xdr:row>37</xdr:row>
      <xdr:rowOff>142875</xdr:rowOff>
    </xdr:from>
    <xdr:to>
      <xdr:col>1</xdr:col>
      <xdr:colOff>1485900</xdr:colOff>
      <xdr:row>38</xdr:row>
      <xdr:rowOff>0</xdr:rowOff>
    </xdr:to>
    <xdr:sp macro="" textlink="">
      <xdr:nvSpPr>
        <xdr:cNvPr id="12" name="Line 3">
          <a:extLst>
            <a:ext uri="{FF2B5EF4-FFF2-40B4-BE49-F238E27FC236}">
              <a16:creationId xmlns:a16="http://schemas.microsoft.com/office/drawing/2014/main" id="{00000000-0008-0000-1B00-00000C000000}"/>
            </a:ext>
          </a:extLst>
        </xdr:cNvPr>
        <xdr:cNvSpPr>
          <a:spLocks noChangeShapeType="1"/>
        </xdr:cNvSpPr>
      </xdr:nvSpPr>
      <xdr:spPr bwMode="auto">
        <a:xfrm>
          <a:off x="85725" y="7000875"/>
          <a:ext cx="1676400" cy="0"/>
        </a:xfrm>
        <a:prstGeom prst="line">
          <a:avLst/>
        </a:prstGeom>
        <a:noFill/>
        <a:ln w="9525">
          <a:solidFill>
            <a:srgbClr val="000000"/>
          </a:solidFill>
          <a:prstDash val="sysDot"/>
          <a:round/>
          <a:headEnd/>
          <a:tailEnd/>
        </a:ln>
      </xdr:spPr>
    </xdr:sp>
    <xdr:clientData/>
  </xdr:twoCellAnchor>
  <xdr:twoCellAnchor>
    <xdr:from>
      <xdr:col>2</xdr:col>
      <xdr:colOff>304800</xdr:colOff>
      <xdr:row>37</xdr:row>
      <xdr:rowOff>104775</xdr:rowOff>
    </xdr:from>
    <xdr:to>
      <xdr:col>4</xdr:col>
      <xdr:colOff>495300</xdr:colOff>
      <xdr:row>37</xdr:row>
      <xdr:rowOff>104775</xdr:rowOff>
    </xdr:to>
    <xdr:sp macro="" textlink="">
      <xdr:nvSpPr>
        <xdr:cNvPr id="13" name="Line 4">
          <a:extLst>
            <a:ext uri="{FF2B5EF4-FFF2-40B4-BE49-F238E27FC236}">
              <a16:creationId xmlns:a16="http://schemas.microsoft.com/office/drawing/2014/main" id="{00000000-0008-0000-1B00-00000D000000}"/>
            </a:ext>
          </a:extLst>
        </xdr:cNvPr>
        <xdr:cNvSpPr>
          <a:spLocks noChangeShapeType="1"/>
        </xdr:cNvSpPr>
      </xdr:nvSpPr>
      <xdr:spPr bwMode="auto">
        <a:xfrm>
          <a:off x="2428875" y="6962775"/>
          <a:ext cx="1809750" cy="0"/>
        </a:xfrm>
        <a:prstGeom prst="line">
          <a:avLst/>
        </a:prstGeom>
        <a:noFill/>
        <a:ln w="9525">
          <a:solidFill>
            <a:srgbClr val="000000"/>
          </a:solidFill>
          <a:prstDash val="sysDot"/>
          <a:round/>
          <a:headEnd/>
          <a:tailEnd/>
        </a:ln>
      </xdr:spPr>
    </xdr:sp>
    <xdr:clientData/>
  </xdr:twoCellAnchor>
  <xdr:twoCellAnchor>
    <xdr:from>
      <xdr:col>0</xdr:col>
      <xdr:colOff>38100</xdr:colOff>
      <xdr:row>34</xdr:row>
      <xdr:rowOff>0</xdr:rowOff>
    </xdr:from>
    <xdr:to>
      <xdr:col>4</xdr:col>
      <xdr:colOff>19050</xdr:colOff>
      <xdr:row>34</xdr:row>
      <xdr:rowOff>0</xdr:rowOff>
    </xdr:to>
    <xdr:sp macro="" textlink="">
      <xdr:nvSpPr>
        <xdr:cNvPr id="14" name="Line 13">
          <a:extLst>
            <a:ext uri="{FF2B5EF4-FFF2-40B4-BE49-F238E27FC236}">
              <a16:creationId xmlns:a16="http://schemas.microsoft.com/office/drawing/2014/main" id="{00000000-0008-0000-1B00-00000E000000}"/>
            </a:ext>
          </a:extLst>
        </xdr:cNvPr>
        <xdr:cNvSpPr>
          <a:spLocks noChangeShapeType="1"/>
        </xdr:cNvSpPr>
      </xdr:nvSpPr>
      <xdr:spPr bwMode="auto">
        <a:xfrm>
          <a:off x="38100" y="6429375"/>
          <a:ext cx="3724275" cy="0"/>
        </a:xfrm>
        <a:prstGeom prst="line">
          <a:avLst/>
        </a:prstGeom>
        <a:noFill/>
        <a:ln w="9525">
          <a:solidFill>
            <a:srgbClr val="000000"/>
          </a:solidFill>
          <a:prstDash val="sysDot"/>
          <a:round/>
          <a:headEnd/>
          <a:tailEnd/>
        </a:ln>
      </xdr:spPr>
    </xdr:sp>
    <xdr:clientData/>
  </xdr:twoCellAnchor>
  <xdr:twoCellAnchor>
    <xdr:from>
      <xdr:col>29</xdr:col>
      <xdr:colOff>0</xdr:colOff>
      <xdr:row>30</xdr:row>
      <xdr:rowOff>0</xdr:rowOff>
    </xdr:from>
    <xdr:to>
      <xdr:col>29</xdr:col>
      <xdr:colOff>0</xdr:colOff>
      <xdr:row>30</xdr:row>
      <xdr:rowOff>0</xdr:rowOff>
    </xdr:to>
    <xdr:sp macro="" textlink="">
      <xdr:nvSpPr>
        <xdr:cNvPr id="15" name="Line 17">
          <a:extLst>
            <a:ext uri="{FF2B5EF4-FFF2-40B4-BE49-F238E27FC236}">
              <a16:creationId xmlns:a16="http://schemas.microsoft.com/office/drawing/2014/main" id="{00000000-0008-0000-1B00-00000F000000}"/>
            </a:ext>
          </a:extLst>
        </xdr:cNvPr>
        <xdr:cNvSpPr>
          <a:spLocks noChangeShapeType="1"/>
        </xdr:cNvSpPr>
      </xdr:nvSpPr>
      <xdr:spPr bwMode="auto">
        <a:xfrm>
          <a:off x="19364325" y="5857875"/>
          <a:ext cx="0" cy="0"/>
        </a:xfrm>
        <a:prstGeom prst="line">
          <a:avLst/>
        </a:prstGeom>
        <a:noFill/>
        <a:ln w="9525">
          <a:solidFill>
            <a:srgbClr val="000000"/>
          </a:solidFill>
          <a:prstDash val="sysDot"/>
          <a:round/>
          <a:headEnd/>
          <a:tailEnd/>
        </a:ln>
      </xdr:spPr>
    </xdr:sp>
    <xdr:clientData/>
  </xdr:twoCellAnchor>
  <xdr:twoCellAnchor>
    <xdr:from>
      <xdr:col>29</xdr:col>
      <xdr:colOff>0</xdr:colOff>
      <xdr:row>32</xdr:row>
      <xdr:rowOff>0</xdr:rowOff>
    </xdr:from>
    <xdr:to>
      <xdr:col>29</xdr:col>
      <xdr:colOff>9525</xdr:colOff>
      <xdr:row>32</xdr:row>
      <xdr:rowOff>0</xdr:rowOff>
    </xdr:to>
    <xdr:sp macro="" textlink="">
      <xdr:nvSpPr>
        <xdr:cNvPr id="16" name="Line 19">
          <a:extLst>
            <a:ext uri="{FF2B5EF4-FFF2-40B4-BE49-F238E27FC236}">
              <a16:creationId xmlns:a16="http://schemas.microsoft.com/office/drawing/2014/main" id="{00000000-0008-0000-1B00-000010000000}"/>
            </a:ext>
          </a:extLst>
        </xdr:cNvPr>
        <xdr:cNvSpPr>
          <a:spLocks noChangeShapeType="1"/>
        </xdr:cNvSpPr>
      </xdr:nvSpPr>
      <xdr:spPr bwMode="auto">
        <a:xfrm>
          <a:off x="19364325" y="6143625"/>
          <a:ext cx="9525" cy="0"/>
        </a:xfrm>
        <a:prstGeom prst="line">
          <a:avLst/>
        </a:prstGeom>
        <a:noFill/>
        <a:ln w="9525">
          <a:solidFill>
            <a:srgbClr val="000000"/>
          </a:solidFill>
          <a:prstDash val="sysDot"/>
          <a:round/>
          <a:headEnd/>
          <a:tailEnd/>
        </a:ln>
      </xdr:spPr>
    </xdr:sp>
    <xdr:clientData/>
  </xdr:twoCellAnchor>
  <xdr:twoCellAnchor>
    <xdr:from>
      <xdr:col>29</xdr:col>
      <xdr:colOff>0</xdr:colOff>
      <xdr:row>38</xdr:row>
      <xdr:rowOff>0</xdr:rowOff>
    </xdr:from>
    <xdr:to>
      <xdr:col>29</xdr:col>
      <xdr:colOff>0</xdr:colOff>
      <xdr:row>38</xdr:row>
      <xdr:rowOff>0</xdr:rowOff>
    </xdr:to>
    <xdr:sp macro="" textlink="">
      <xdr:nvSpPr>
        <xdr:cNvPr id="17" name="Line 20">
          <a:extLst>
            <a:ext uri="{FF2B5EF4-FFF2-40B4-BE49-F238E27FC236}">
              <a16:creationId xmlns:a16="http://schemas.microsoft.com/office/drawing/2014/main" id="{00000000-0008-0000-1B00-000011000000}"/>
            </a:ext>
          </a:extLst>
        </xdr:cNvPr>
        <xdr:cNvSpPr>
          <a:spLocks noChangeShapeType="1"/>
        </xdr:cNvSpPr>
      </xdr:nvSpPr>
      <xdr:spPr bwMode="auto">
        <a:xfrm>
          <a:off x="19364325" y="7000875"/>
          <a:ext cx="0" cy="0"/>
        </a:xfrm>
        <a:prstGeom prst="line">
          <a:avLst/>
        </a:prstGeom>
        <a:noFill/>
        <a:ln w="9525">
          <a:solidFill>
            <a:srgbClr val="000000"/>
          </a:solidFill>
          <a:prstDash val="sysDot"/>
          <a:round/>
          <a:headEnd/>
          <a:tailEnd/>
        </a:ln>
      </xdr:spPr>
    </xdr:sp>
    <xdr:clientData/>
  </xdr:twoCellAnchor>
  <xdr:twoCellAnchor>
    <xdr:from>
      <xdr:col>29</xdr:col>
      <xdr:colOff>0</xdr:colOff>
      <xdr:row>39</xdr:row>
      <xdr:rowOff>0</xdr:rowOff>
    </xdr:from>
    <xdr:to>
      <xdr:col>29</xdr:col>
      <xdr:colOff>0</xdr:colOff>
      <xdr:row>39</xdr:row>
      <xdr:rowOff>0</xdr:rowOff>
    </xdr:to>
    <xdr:sp macro="" textlink="">
      <xdr:nvSpPr>
        <xdr:cNvPr id="18" name="Line 22">
          <a:extLst>
            <a:ext uri="{FF2B5EF4-FFF2-40B4-BE49-F238E27FC236}">
              <a16:creationId xmlns:a16="http://schemas.microsoft.com/office/drawing/2014/main" id="{00000000-0008-0000-1B00-000012000000}"/>
            </a:ext>
          </a:extLst>
        </xdr:cNvPr>
        <xdr:cNvSpPr>
          <a:spLocks noChangeShapeType="1"/>
        </xdr:cNvSpPr>
      </xdr:nvSpPr>
      <xdr:spPr bwMode="auto">
        <a:xfrm>
          <a:off x="19364325" y="7143750"/>
          <a:ext cx="0" cy="0"/>
        </a:xfrm>
        <a:prstGeom prst="line">
          <a:avLst/>
        </a:prstGeom>
        <a:noFill/>
        <a:ln w="9525">
          <a:solidFill>
            <a:srgbClr val="000000"/>
          </a:solidFill>
          <a:prstDash val="sysDot"/>
          <a:round/>
          <a:headEnd/>
          <a:tailEnd/>
        </a:ln>
      </xdr:spPr>
    </xdr:sp>
    <xdr:clientData/>
  </xdr:twoCellAnchor>
  <xdr:twoCellAnchor>
    <xdr:from>
      <xdr:col>29</xdr:col>
      <xdr:colOff>0</xdr:colOff>
      <xdr:row>41</xdr:row>
      <xdr:rowOff>0</xdr:rowOff>
    </xdr:from>
    <xdr:to>
      <xdr:col>29</xdr:col>
      <xdr:colOff>0</xdr:colOff>
      <xdr:row>41</xdr:row>
      <xdr:rowOff>0</xdr:rowOff>
    </xdr:to>
    <xdr:sp macro="" textlink="">
      <xdr:nvSpPr>
        <xdr:cNvPr id="19" name="Line 23">
          <a:extLst>
            <a:ext uri="{FF2B5EF4-FFF2-40B4-BE49-F238E27FC236}">
              <a16:creationId xmlns:a16="http://schemas.microsoft.com/office/drawing/2014/main" id="{00000000-0008-0000-1B00-000013000000}"/>
            </a:ext>
          </a:extLst>
        </xdr:cNvPr>
        <xdr:cNvSpPr>
          <a:spLocks noChangeShapeType="1"/>
        </xdr:cNvSpPr>
      </xdr:nvSpPr>
      <xdr:spPr bwMode="auto">
        <a:xfrm>
          <a:off x="19364325" y="7429500"/>
          <a:ext cx="0" cy="0"/>
        </a:xfrm>
        <a:prstGeom prst="line">
          <a:avLst/>
        </a:prstGeom>
        <a:noFill/>
        <a:ln w="9525">
          <a:solidFill>
            <a:srgbClr val="000000"/>
          </a:solidFill>
          <a:prstDash val="sysDot"/>
          <a:round/>
          <a:headEnd/>
          <a:tailEnd/>
        </a:ln>
      </xdr:spPr>
    </xdr:sp>
    <xdr:clientData/>
  </xdr:twoCellAnchor>
  <xdr:twoCellAnchor>
    <xdr:from>
      <xdr:col>29</xdr:col>
      <xdr:colOff>0</xdr:colOff>
      <xdr:row>26</xdr:row>
      <xdr:rowOff>0</xdr:rowOff>
    </xdr:from>
    <xdr:to>
      <xdr:col>29</xdr:col>
      <xdr:colOff>0</xdr:colOff>
      <xdr:row>26</xdr:row>
      <xdr:rowOff>0</xdr:rowOff>
    </xdr:to>
    <xdr:sp macro="" textlink="">
      <xdr:nvSpPr>
        <xdr:cNvPr id="20" name="Line 17">
          <a:extLst>
            <a:ext uri="{FF2B5EF4-FFF2-40B4-BE49-F238E27FC236}">
              <a16:creationId xmlns:a16="http://schemas.microsoft.com/office/drawing/2014/main" id="{00000000-0008-0000-1B00-000014000000}"/>
            </a:ext>
          </a:extLst>
        </xdr:cNvPr>
        <xdr:cNvSpPr>
          <a:spLocks noChangeShapeType="1"/>
        </xdr:cNvSpPr>
      </xdr:nvSpPr>
      <xdr:spPr bwMode="auto">
        <a:xfrm>
          <a:off x="19364325" y="5267325"/>
          <a:ext cx="0" cy="0"/>
        </a:xfrm>
        <a:prstGeom prst="line">
          <a:avLst/>
        </a:prstGeom>
        <a:noFill/>
        <a:ln w="9525">
          <a:solidFill>
            <a:srgbClr val="000000"/>
          </a:solidFill>
          <a:prstDash val="sysDot"/>
          <a:round/>
          <a:headEnd/>
          <a:tailEnd/>
        </a:ln>
      </xdr:spPr>
    </xdr:sp>
    <xdr:clientData/>
  </xdr:twoCellAnchor>
  <xdr:twoCellAnchor>
    <xdr:from>
      <xdr:col>29</xdr:col>
      <xdr:colOff>0</xdr:colOff>
      <xdr:row>28</xdr:row>
      <xdr:rowOff>0</xdr:rowOff>
    </xdr:from>
    <xdr:to>
      <xdr:col>29</xdr:col>
      <xdr:colOff>9525</xdr:colOff>
      <xdr:row>28</xdr:row>
      <xdr:rowOff>0</xdr:rowOff>
    </xdr:to>
    <xdr:sp macro="" textlink="">
      <xdr:nvSpPr>
        <xdr:cNvPr id="21" name="Line 19">
          <a:extLst>
            <a:ext uri="{FF2B5EF4-FFF2-40B4-BE49-F238E27FC236}">
              <a16:creationId xmlns:a16="http://schemas.microsoft.com/office/drawing/2014/main" id="{00000000-0008-0000-1B00-000015000000}"/>
            </a:ext>
          </a:extLst>
        </xdr:cNvPr>
        <xdr:cNvSpPr>
          <a:spLocks noChangeShapeType="1"/>
        </xdr:cNvSpPr>
      </xdr:nvSpPr>
      <xdr:spPr bwMode="auto">
        <a:xfrm>
          <a:off x="19364325" y="5572125"/>
          <a:ext cx="9525" cy="0"/>
        </a:xfrm>
        <a:prstGeom prst="line">
          <a:avLst/>
        </a:prstGeom>
        <a:noFill/>
        <a:ln w="9525">
          <a:solidFill>
            <a:srgbClr val="000000"/>
          </a:solidFill>
          <a:prstDash val="sysDot"/>
          <a:round/>
          <a:headEnd/>
          <a:tailEnd/>
        </a:ln>
      </xdr:spPr>
    </xdr:sp>
    <xdr:clientData/>
  </xdr:twoCellAnchor>
  <xdr:twoCellAnchor>
    <xdr:from>
      <xdr:col>29</xdr:col>
      <xdr:colOff>0</xdr:colOff>
      <xdr:row>34</xdr:row>
      <xdr:rowOff>0</xdr:rowOff>
    </xdr:from>
    <xdr:to>
      <xdr:col>29</xdr:col>
      <xdr:colOff>0</xdr:colOff>
      <xdr:row>34</xdr:row>
      <xdr:rowOff>0</xdr:rowOff>
    </xdr:to>
    <xdr:sp macro="" textlink="">
      <xdr:nvSpPr>
        <xdr:cNvPr id="22" name="Line 20">
          <a:extLst>
            <a:ext uri="{FF2B5EF4-FFF2-40B4-BE49-F238E27FC236}">
              <a16:creationId xmlns:a16="http://schemas.microsoft.com/office/drawing/2014/main" id="{00000000-0008-0000-1B00-000016000000}"/>
            </a:ext>
          </a:extLst>
        </xdr:cNvPr>
        <xdr:cNvSpPr>
          <a:spLocks noChangeShapeType="1"/>
        </xdr:cNvSpPr>
      </xdr:nvSpPr>
      <xdr:spPr bwMode="auto">
        <a:xfrm>
          <a:off x="19364325" y="6429375"/>
          <a:ext cx="0" cy="0"/>
        </a:xfrm>
        <a:prstGeom prst="line">
          <a:avLst/>
        </a:prstGeom>
        <a:noFill/>
        <a:ln w="9525">
          <a:solidFill>
            <a:srgbClr val="000000"/>
          </a:solidFill>
          <a:prstDash val="sysDot"/>
          <a:round/>
          <a:headEnd/>
          <a:tailEnd/>
        </a:ln>
      </xdr:spPr>
    </xdr:sp>
    <xdr:clientData/>
  </xdr:twoCellAnchor>
  <xdr:twoCellAnchor>
    <xdr:from>
      <xdr:col>29</xdr:col>
      <xdr:colOff>0</xdr:colOff>
      <xdr:row>35</xdr:row>
      <xdr:rowOff>0</xdr:rowOff>
    </xdr:from>
    <xdr:to>
      <xdr:col>29</xdr:col>
      <xdr:colOff>0</xdr:colOff>
      <xdr:row>35</xdr:row>
      <xdr:rowOff>0</xdr:rowOff>
    </xdr:to>
    <xdr:sp macro="" textlink="">
      <xdr:nvSpPr>
        <xdr:cNvPr id="23" name="Line 22">
          <a:extLst>
            <a:ext uri="{FF2B5EF4-FFF2-40B4-BE49-F238E27FC236}">
              <a16:creationId xmlns:a16="http://schemas.microsoft.com/office/drawing/2014/main" id="{00000000-0008-0000-1B00-000017000000}"/>
            </a:ext>
          </a:extLst>
        </xdr:cNvPr>
        <xdr:cNvSpPr>
          <a:spLocks noChangeShapeType="1"/>
        </xdr:cNvSpPr>
      </xdr:nvSpPr>
      <xdr:spPr bwMode="auto">
        <a:xfrm>
          <a:off x="19364325" y="6572250"/>
          <a:ext cx="0" cy="0"/>
        </a:xfrm>
        <a:prstGeom prst="line">
          <a:avLst/>
        </a:prstGeom>
        <a:noFill/>
        <a:ln w="9525">
          <a:solidFill>
            <a:srgbClr val="000000"/>
          </a:solidFill>
          <a:prstDash val="sysDot"/>
          <a:round/>
          <a:headEnd/>
          <a:tailEnd/>
        </a:ln>
      </xdr:spPr>
    </xdr:sp>
    <xdr:clientData/>
  </xdr:twoCellAnchor>
  <xdr:twoCellAnchor>
    <xdr:from>
      <xdr:col>29</xdr:col>
      <xdr:colOff>0</xdr:colOff>
      <xdr:row>37</xdr:row>
      <xdr:rowOff>0</xdr:rowOff>
    </xdr:from>
    <xdr:to>
      <xdr:col>29</xdr:col>
      <xdr:colOff>0</xdr:colOff>
      <xdr:row>37</xdr:row>
      <xdr:rowOff>0</xdr:rowOff>
    </xdr:to>
    <xdr:sp macro="" textlink="">
      <xdr:nvSpPr>
        <xdr:cNvPr id="24" name="Line 23">
          <a:extLst>
            <a:ext uri="{FF2B5EF4-FFF2-40B4-BE49-F238E27FC236}">
              <a16:creationId xmlns:a16="http://schemas.microsoft.com/office/drawing/2014/main" id="{00000000-0008-0000-1B00-000018000000}"/>
            </a:ext>
          </a:extLst>
        </xdr:cNvPr>
        <xdr:cNvSpPr>
          <a:spLocks noChangeShapeType="1"/>
        </xdr:cNvSpPr>
      </xdr:nvSpPr>
      <xdr:spPr bwMode="auto">
        <a:xfrm>
          <a:off x="19364325" y="6858000"/>
          <a:ext cx="0" cy="0"/>
        </a:xfrm>
        <a:prstGeom prst="line">
          <a:avLst/>
        </a:prstGeom>
        <a:noFill/>
        <a:ln w="9525">
          <a:solidFill>
            <a:srgbClr val="000000"/>
          </a:solidFill>
          <a:prstDash val="sysDot"/>
          <a:round/>
          <a:headEnd/>
          <a:tailEnd/>
        </a:ln>
      </xdr:spPr>
    </xdr:sp>
    <xdr:clientData/>
  </xdr:twoCellAnchor>
</xdr:wsDr>
</file>

<file path=xl/drawings/drawing30.xml><?xml version="1.0" encoding="utf-8"?>
<xdr:wsDr xmlns:xdr="http://schemas.openxmlformats.org/drawingml/2006/spreadsheetDrawing" xmlns:a="http://schemas.openxmlformats.org/drawingml/2006/main">
  <xdr:twoCellAnchor>
    <xdr:from>
      <xdr:col>32</xdr:col>
      <xdr:colOff>0</xdr:colOff>
      <xdr:row>62</xdr:row>
      <xdr:rowOff>0</xdr:rowOff>
    </xdr:from>
    <xdr:to>
      <xdr:col>32</xdr:col>
      <xdr:colOff>0</xdr:colOff>
      <xdr:row>62</xdr:row>
      <xdr:rowOff>0</xdr:rowOff>
    </xdr:to>
    <xdr:sp macro="" textlink="">
      <xdr:nvSpPr>
        <xdr:cNvPr id="1866626" name="Line 17">
          <a:extLst>
            <a:ext uri="{FF2B5EF4-FFF2-40B4-BE49-F238E27FC236}">
              <a16:creationId xmlns:a16="http://schemas.microsoft.com/office/drawing/2014/main" id="{00000000-0008-0000-1C00-0000827B1C00}"/>
            </a:ext>
          </a:extLst>
        </xdr:cNvPr>
        <xdr:cNvSpPr>
          <a:spLocks noChangeShapeType="1"/>
        </xdr:cNvSpPr>
      </xdr:nvSpPr>
      <xdr:spPr bwMode="auto">
        <a:xfrm>
          <a:off x="17811750" y="11077575"/>
          <a:ext cx="0" cy="0"/>
        </a:xfrm>
        <a:prstGeom prst="line">
          <a:avLst/>
        </a:prstGeom>
        <a:noFill/>
        <a:ln w="9525">
          <a:solidFill>
            <a:srgbClr val="000000"/>
          </a:solidFill>
          <a:prstDash val="sysDot"/>
          <a:round/>
          <a:headEnd/>
          <a:tailEnd/>
        </a:ln>
      </xdr:spPr>
    </xdr:sp>
    <xdr:clientData/>
  </xdr:twoCellAnchor>
  <xdr:twoCellAnchor>
    <xdr:from>
      <xdr:col>32</xdr:col>
      <xdr:colOff>0</xdr:colOff>
      <xdr:row>64</xdr:row>
      <xdr:rowOff>0</xdr:rowOff>
    </xdr:from>
    <xdr:to>
      <xdr:col>32</xdr:col>
      <xdr:colOff>9525</xdr:colOff>
      <xdr:row>64</xdr:row>
      <xdr:rowOff>0</xdr:rowOff>
    </xdr:to>
    <xdr:sp macro="" textlink="">
      <xdr:nvSpPr>
        <xdr:cNvPr id="1866627" name="Line 19">
          <a:extLst>
            <a:ext uri="{FF2B5EF4-FFF2-40B4-BE49-F238E27FC236}">
              <a16:creationId xmlns:a16="http://schemas.microsoft.com/office/drawing/2014/main" id="{00000000-0008-0000-1C00-0000837B1C00}"/>
            </a:ext>
          </a:extLst>
        </xdr:cNvPr>
        <xdr:cNvSpPr>
          <a:spLocks noChangeShapeType="1"/>
        </xdr:cNvSpPr>
      </xdr:nvSpPr>
      <xdr:spPr bwMode="auto">
        <a:xfrm>
          <a:off x="17811750" y="11363325"/>
          <a:ext cx="9525" cy="0"/>
        </a:xfrm>
        <a:prstGeom prst="line">
          <a:avLst/>
        </a:prstGeom>
        <a:noFill/>
        <a:ln w="9525">
          <a:solidFill>
            <a:srgbClr val="000000"/>
          </a:solidFill>
          <a:prstDash val="sysDot"/>
          <a:round/>
          <a:headEnd/>
          <a:tailEnd/>
        </a:ln>
      </xdr:spPr>
    </xdr:sp>
    <xdr:clientData/>
  </xdr:twoCellAnchor>
  <xdr:twoCellAnchor>
    <xdr:from>
      <xdr:col>32</xdr:col>
      <xdr:colOff>0</xdr:colOff>
      <xdr:row>70</xdr:row>
      <xdr:rowOff>0</xdr:rowOff>
    </xdr:from>
    <xdr:to>
      <xdr:col>32</xdr:col>
      <xdr:colOff>0</xdr:colOff>
      <xdr:row>70</xdr:row>
      <xdr:rowOff>0</xdr:rowOff>
    </xdr:to>
    <xdr:sp macro="" textlink="">
      <xdr:nvSpPr>
        <xdr:cNvPr id="1866628" name="Line 20">
          <a:extLst>
            <a:ext uri="{FF2B5EF4-FFF2-40B4-BE49-F238E27FC236}">
              <a16:creationId xmlns:a16="http://schemas.microsoft.com/office/drawing/2014/main" id="{00000000-0008-0000-1C00-0000847B1C00}"/>
            </a:ext>
          </a:extLst>
        </xdr:cNvPr>
        <xdr:cNvSpPr>
          <a:spLocks noChangeShapeType="1"/>
        </xdr:cNvSpPr>
      </xdr:nvSpPr>
      <xdr:spPr bwMode="auto">
        <a:xfrm>
          <a:off x="17811750" y="12230100"/>
          <a:ext cx="0" cy="0"/>
        </a:xfrm>
        <a:prstGeom prst="line">
          <a:avLst/>
        </a:prstGeom>
        <a:noFill/>
        <a:ln w="9525">
          <a:solidFill>
            <a:srgbClr val="000000"/>
          </a:solidFill>
          <a:prstDash val="sysDot"/>
          <a:round/>
          <a:headEnd/>
          <a:tailEnd/>
        </a:ln>
      </xdr:spPr>
    </xdr:sp>
    <xdr:clientData/>
  </xdr:twoCellAnchor>
  <xdr:twoCellAnchor>
    <xdr:from>
      <xdr:col>32</xdr:col>
      <xdr:colOff>0</xdr:colOff>
      <xdr:row>71</xdr:row>
      <xdr:rowOff>0</xdr:rowOff>
    </xdr:from>
    <xdr:to>
      <xdr:col>32</xdr:col>
      <xdr:colOff>0</xdr:colOff>
      <xdr:row>71</xdr:row>
      <xdr:rowOff>0</xdr:rowOff>
    </xdr:to>
    <xdr:sp macro="" textlink="">
      <xdr:nvSpPr>
        <xdr:cNvPr id="1866629" name="Line 22">
          <a:extLst>
            <a:ext uri="{FF2B5EF4-FFF2-40B4-BE49-F238E27FC236}">
              <a16:creationId xmlns:a16="http://schemas.microsoft.com/office/drawing/2014/main" id="{00000000-0008-0000-1C00-0000857B1C00}"/>
            </a:ext>
          </a:extLst>
        </xdr:cNvPr>
        <xdr:cNvSpPr>
          <a:spLocks noChangeShapeType="1"/>
        </xdr:cNvSpPr>
      </xdr:nvSpPr>
      <xdr:spPr bwMode="auto">
        <a:xfrm>
          <a:off x="17811750" y="12372975"/>
          <a:ext cx="0" cy="0"/>
        </a:xfrm>
        <a:prstGeom prst="line">
          <a:avLst/>
        </a:prstGeom>
        <a:noFill/>
        <a:ln w="9525">
          <a:solidFill>
            <a:srgbClr val="000000"/>
          </a:solidFill>
          <a:prstDash val="sysDot"/>
          <a:round/>
          <a:headEnd/>
          <a:tailEnd/>
        </a:ln>
      </xdr:spPr>
    </xdr:sp>
    <xdr:clientData/>
  </xdr:twoCellAnchor>
  <xdr:twoCellAnchor>
    <xdr:from>
      <xdr:col>32</xdr:col>
      <xdr:colOff>0</xdr:colOff>
      <xdr:row>73</xdr:row>
      <xdr:rowOff>0</xdr:rowOff>
    </xdr:from>
    <xdr:to>
      <xdr:col>32</xdr:col>
      <xdr:colOff>0</xdr:colOff>
      <xdr:row>73</xdr:row>
      <xdr:rowOff>0</xdr:rowOff>
    </xdr:to>
    <xdr:sp macro="" textlink="">
      <xdr:nvSpPr>
        <xdr:cNvPr id="1866630" name="Line 23">
          <a:extLst>
            <a:ext uri="{FF2B5EF4-FFF2-40B4-BE49-F238E27FC236}">
              <a16:creationId xmlns:a16="http://schemas.microsoft.com/office/drawing/2014/main" id="{00000000-0008-0000-1C00-0000867B1C00}"/>
            </a:ext>
          </a:extLst>
        </xdr:cNvPr>
        <xdr:cNvSpPr>
          <a:spLocks noChangeShapeType="1"/>
        </xdr:cNvSpPr>
      </xdr:nvSpPr>
      <xdr:spPr bwMode="auto">
        <a:xfrm>
          <a:off x="17811750" y="12658725"/>
          <a:ext cx="0" cy="0"/>
        </a:xfrm>
        <a:prstGeom prst="line">
          <a:avLst/>
        </a:prstGeom>
        <a:noFill/>
        <a:ln w="9525">
          <a:solidFill>
            <a:srgbClr val="000000"/>
          </a:solidFill>
          <a:prstDash val="sysDot"/>
          <a:round/>
          <a:headEnd/>
          <a:tailEnd/>
        </a:ln>
      </xdr:spPr>
    </xdr:sp>
    <xdr:clientData/>
  </xdr:twoCellAnchor>
  <xdr:twoCellAnchor>
    <xdr:from>
      <xdr:col>0</xdr:col>
      <xdr:colOff>38100</xdr:colOff>
      <xdr:row>57</xdr:row>
      <xdr:rowOff>0</xdr:rowOff>
    </xdr:from>
    <xdr:to>
      <xdr:col>4</xdr:col>
      <xdr:colOff>19050</xdr:colOff>
      <xdr:row>57</xdr:row>
      <xdr:rowOff>0</xdr:rowOff>
    </xdr:to>
    <xdr:sp macro="" textlink="">
      <xdr:nvSpPr>
        <xdr:cNvPr id="11" name="Line 1">
          <a:extLst>
            <a:ext uri="{FF2B5EF4-FFF2-40B4-BE49-F238E27FC236}">
              <a16:creationId xmlns:a16="http://schemas.microsoft.com/office/drawing/2014/main" id="{00000000-0008-0000-1C00-00000B000000}"/>
            </a:ext>
          </a:extLst>
        </xdr:cNvPr>
        <xdr:cNvSpPr>
          <a:spLocks noChangeShapeType="1"/>
        </xdr:cNvSpPr>
      </xdr:nvSpPr>
      <xdr:spPr bwMode="auto">
        <a:xfrm>
          <a:off x="38100" y="10515600"/>
          <a:ext cx="3781425" cy="0"/>
        </a:xfrm>
        <a:prstGeom prst="line">
          <a:avLst/>
        </a:prstGeom>
        <a:noFill/>
        <a:ln w="9525">
          <a:solidFill>
            <a:srgbClr val="000000"/>
          </a:solidFill>
          <a:prstDash val="sysDot"/>
          <a:round/>
          <a:headEnd/>
          <a:tailEnd/>
        </a:ln>
      </xdr:spPr>
    </xdr:sp>
    <xdr:clientData/>
  </xdr:twoCellAnchor>
  <xdr:twoCellAnchor>
    <xdr:from>
      <xdr:col>0</xdr:col>
      <xdr:colOff>38100</xdr:colOff>
      <xdr:row>60</xdr:row>
      <xdr:rowOff>0</xdr:rowOff>
    </xdr:from>
    <xdr:to>
      <xdr:col>4</xdr:col>
      <xdr:colOff>19050</xdr:colOff>
      <xdr:row>60</xdr:row>
      <xdr:rowOff>0</xdr:rowOff>
    </xdr:to>
    <xdr:sp macro="" textlink="">
      <xdr:nvSpPr>
        <xdr:cNvPr id="14" name="Line 13">
          <a:extLst>
            <a:ext uri="{FF2B5EF4-FFF2-40B4-BE49-F238E27FC236}">
              <a16:creationId xmlns:a16="http://schemas.microsoft.com/office/drawing/2014/main" id="{00000000-0008-0000-1C00-00000E000000}"/>
            </a:ext>
          </a:extLst>
        </xdr:cNvPr>
        <xdr:cNvSpPr>
          <a:spLocks noChangeShapeType="1"/>
        </xdr:cNvSpPr>
      </xdr:nvSpPr>
      <xdr:spPr bwMode="auto">
        <a:xfrm>
          <a:off x="38100" y="10944225"/>
          <a:ext cx="3781425" cy="0"/>
        </a:xfrm>
        <a:prstGeom prst="line">
          <a:avLst/>
        </a:prstGeom>
        <a:noFill/>
        <a:ln w="9525">
          <a:solidFill>
            <a:srgbClr val="000000"/>
          </a:solidFill>
          <a:prstDash val="sysDot"/>
          <a:round/>
          <a:headEnd/>
          <a:tailEnd/>
        </a:ln>
      </xdr:spPr>
    </xdr:sp>
    <xdr:clientData/>
  </xdr:twoCellAnchor>
  <xdr:twoCellAnchor>
    <xdr:from>
      <xdr:col>32</xdr:col>
      <xdr:colOff>0</xdr:colOff>
      <xdr:row>56</xdr:row>
      <xdr:rowOff>0</xdr:rowOff>
    </xdr:from>
    <xdr:to>
      <xdr:col>32</xdr:col>
      <xdr:colOff>0</xdr:colOff>
      <xdr:row>56</xdr:row>
      <xdr:rowOff>0</xdr:rowOff>
    </xdr:to>
    <xdr:sp macro="" textlink="">
      <xdr:nvSpPr>
        <xdr:cNvPr id="15" name="Line 17">
          <a:extLst>
            <a:ext uri="{FF2B5EF4-FFF2-40B4-BE49-F238E27FC236}">
              <a16:creationId xmlns:a16="http://schemas.microsoft.com/office/drawing/2014/main" id="{00000000-0008-0000-1C00-00000F000000}"/>
            </a:ext>
          </a:extLst>
        </xdr:cNvPr>
        <xdr:cNvSpPr>
          <a:spLocks noChangeShapeType="1"/>
        </xdr:cNvSpPr>
      </xdr:nvSpPr>
      <xdr:spPr bwMode="auto">
        <a:xfrm>
          <a:off x="17497425" y="10372725"/>
          <a:ext cx="0" cy="0"/>
        </a:xfrm>
        <a:prstGeom prst="line">
          <a:avLst/>
        </a:prstGeom>
        <a:noFill/>
        <a:ln w="9525">
          <a:solidFill>
            <a:srgbClr val="000000"/>
          </a:solidFill>
          <a:prstDash val="sysDot"/>
          <a:round/>
          <a:headEnd/>
          <a:tailEnd/>
        </a:ln>
      </xdr:spPr>
    </xdr:sp>
    <xdr:clientData/>
  </xdr:twoCellAnchor>
  <xdr:twoCellAnchor>
    <xdr:from>
      <xdr:col>32</xdr:col>
      <xdr:colOff>0</xdr:colOff>
      <xdr:row>58</xdr:row>
      <xdr:rowOff>0</xdr:rowOff>
    </xdr:from>
    <xdr:to>
      <xdr:col>32</xdr:col>
      <xdr:colOff>9525</xdr:colOff>
      <xdr:row>58</xdr:row>
      <xdr:rowOff>0</xdr:rowOff>
    </xdr:to>
    <xdr:sp macro="" textlink="">
      <xdr:nvSpPr>
        <xdr:cNvPr id="16" name="Line 19">
          <a:extLst>
            <a:ext uri="{FF2B5EF4-FFF2-40B4-BE49-F238E27FC236}">
              <a16:creationId xmlns:a16="http://schemas.microsoft.com/office/drawing/2014/main" id="{00000000-0008-0000-1C00-000010000000}"/>
            </a:ext>
          </a:extLst>
        </xdr:cNvPr>
        <xdr:cNvSpPr>
          <a:spLocks noChangeShapeType="1"/>
        </xdr:cNvSpPr>
      </xdr:nvSpPr>
      <xdr:spPr bwMode="auto">
        <a:xfrm>
          <a:off x="17497425" y="10658475"/>
          <a:ext cx="9525" cy="0"/>
        </a:xfrm>
        <a:prstGeom prst="line">
          <a:avLst/>
        </a:prstGeom>
        <a:noFill/>
        <a:ln w="9525">
          <a:solidFill>
            <a:srgbClr val="000000"/>
          </a:solidFill>
          <a:prstDash val="sysDot"/>
          <a:round/>
          <a:headEnd/>
          <a:tailEnd/>
        </a:ln>
      </xdr:spPr>
    </xdr:sp>
    <xdr:clientData/>
  </xdr:twoCellAnchor>
  <xdr:twoCellAnchor>
    <xdr:from>
      <xdr:col>32</xdr:col>
      <xdr:colOff>0</xdr:colOff>
      <xdr:row>64</xdr:row>
      <xdr:rowOff>0</xdr:rowOff>
    </xdr:from>
    <xdr:to>
      <xdr:col>32</xdr:col>
      <xdr:colOff>0</xdr:colOff>
      <xdr:row>64</xdr:row>
      <xdr:rowOff>0</xdr:rowOff>
    </xdr:to>
    <xdr:sp macro="" textlink="">
      <xdr:nvSpPr>
        <xdr:cNvPr id="17" name="Line 20">
          <a:extLst>
            <a:ext uri="{FF2B5EF4-FFF2-40B4-BE49-F238E27FC236}">
              <a16:creationId xmlns:a16="http://schemas.microsoft.com/office/drawing/2014/main" id="{00000000-0008-0000-1C00-000011000000}"/>
            </a:ext>
          </a:extLst>
        </xdr:cNvPr>
        <xdr:cNvSpPr>
          <a:spLocks noChangeShapeType="1"/>
        </xdr:cNvSpPr>
      </xdr:nvSpPr>
      <xdr:spPr bwMode="auto">
        <a:xfrm>
          <a:off x="17497425" y="11525250"/>
          <a:ext cx="0" cy="0"/>
        </a:xfrm>
        <a:prstGeom prst="line">
          <a:avLst/>
        </a:prstGeom>
        <a:noFill/>
        <a:ln w="9525">
          <a:solidFill>
            <a:srgbClr val="000000"/>
          </a:solidFill>
          <a:prstDash val="sysDot"/>
          <a:round/>
          <a:headEnd/>
          <a:tailEnd/>
        </a:ln>
      </xdr:spPr>
    </xdr:sp>
    <xdr:clientData/>
  </xdr:twoCellAnchor>
  <xdr:twoCellAnchor>
    <xdr:from>
      <xdr:col>32</xdr:col>
      <xdr:colOff>0</xdr:colOff>
      <xdr:row>65</xdr:row>
      <xdr:rowOff>0</xdr:rowOff>
    </xdr:from>
    <xdr:to>
      <xdr:col>32</xdr:col>
      <xdr:colOff>0</xdr:colOff>
      <xdr:row>65</xdr:row>
      <xdr:rowOff>0</xdr:rowOff>
    </xdr:to>
    <xdr:sp macro="" textlink="">
      <xdr:nvSpPr>
        <xdr:cNvPr id="18" name="Line 22">
          <a:extLst>
            <a:ext uri="{FF2B5EF4-FFF2-40B4-BE49-F238E27FC236}">
              <a16:creationId xmlns:a16="http://schemas.microsoft.com/office/drawing/2014/main" id="{00000000-0008-0000-1C00-000012000000}"/>
            </a:ext>
          </a:extLst>
        </xdr:cNvPr>
        <xdr:cNvSpPr>
          <a:spLocks noChangeShapeType="1"/>
        </xdr:cNvSpPr>
      </xdr:nvSpPr>
      <xdr:spPr bwMode="auto">
        <a:xfrm>
          <a:off x="17497425" y="11668125"/>
          <a:ext cx="0" cy="0"/>
        </a:xfrm>
        <a:prstGeom prst="line">
          <a:avLst/>
        </a:prstGeom>
        <a:noFill/>
        <a:ln w="9525">
          <a:solidFill>
            <a:srgbClr val="000000"/>
          </a:solidFill>
          <a:prstDash val="sysDot"/>
          <a:round/>
          <a:headEnd/>
          <a:tailEnd/>
        </a:ln>
      </xdr:spPr>
    </xdr:sp>
    <xdr:clientData/>
  </xdr:twoCellAnchor>
  <xdr:twoCellAnchor>
    <xdr:from>
      <xdr:col>32</xdr:col>
      <xdr:colOff>0</xdr:colOff>
      <xdr:row>67</xdr:row>
      <xdr:rowOff>0</xdr:rowOff>
    </xdr:from>
    <xdr:to>
      <xdr:col>32</xdr:col>
      <xdr:colOff>0</xdr:colOff>
      <xdr:row>67</xdr:row>
      <xdr:rowOff>0</xdr:rowOff>
    </xdr:to>
    <xdr:sp macro="" textlink="">
      <xdr:nvSpPr>
        <xdr:cNvPr id="19" name="Line 23">
          <a:extLst>
            <a:ext uri="{FF2B5EF4-FFF2-40B4-BE49-F238E27FC236}">
              <a16:creationId xmlns:a16="http://schemas.microsoft.com/office/drawing/2014/main" id="{00000000-0008-0000-1C00-000013000000}"/>
            </a:ext>
          </a:extLst>
        </xdr:cNvPr>
        <xdr:cNvSpPr>
          <a:spLocks noChangeShapeType="1"/>
        </xdr:cNvSpPr>
      </xdr:nvSpPr>
      <xdr:spPr bwMode="auto">
        <a:xfrm>
          <a:off x="17497425" y="11953875"/>
          <a:ext cx="0" cy="0"/>
        </a:xfrm>
        <a:prstGeom prst="line">
          <a:avLst/>
        </a:prstGeom>
        <a:noFill/>
        <a:ln w="9525">
          <a:solidFill>
            <a:srgbClr val="000000"/>
          </a:solidFill>
          <a:prstDash val="sysDot"/>
          <a:round/>
          <a:headEnd/>
          <a:tailEnd/>
        </a:ln>
      </xdr:spPr>
    </xdr:sp>
    <xdr:clientData/>
  </xdr:twoCellAnchor>
  <xdr:twoCellAnchor>
    <xdr:from>
      <xdr:col>32</xdr:col>
      <xdr:colOff>0</xdr:colOff>
      <xdr:row>52</xdr:row>
      <xdr:rowOff>0</xdr:rowOff>
    </xdr:from>
    <xdr:to>
      <xdr:col>32</xdr:col>
      <xdr:colOff>0</xdr:colOff>
      <xdr:row>52</xdr:row>
      <xdr:rowOff>0</xdr:rowOff>
    </xdr:to>
    <xdr:sp macro="" textlink="">
      <xdr:nvSpPr>
        <xdr:cNvPr id="20" name="Line 17">
          <a:extLst>
            <a:ext uri="{FF2B5EF4-FFF2-40B4-BE49-F238E27FC236}">
              <a16:creationId xmlns:a16="http://schemas.microsoft.com/office/drawing/2014/main" id="{00000000-0008-0000-1C00-000014000000}"/>
            </a:ext>
          </a:extLst>
        </xdr:cNvPr>
        <xdr:cNvSpPr>
          <a:spLocks noChangeShapeType="1"/>
        </xdr:cNvSpPr>
      </xdr:nvSpPr>
      <xdr:spPr bwMode="auto">
        <a:xfrm>
          <a:off x="19126200" y="11420475"/>
          <a:ext cx="0" cy="0"/>
        </a:xfrm>
        <a:prstGeom prst="line">
          <a:avLst/>
        </a:prstGeom>
        <a:noFill/>
        <a:ln w="9525">
          <a:solidFill>
            <a:srgbClr val="000000"/>
          </a:solidFill>
          <a:prstDash val="sysDot"/>
          <a:round/>
          <a:headEnd/>
          <a:tailEnd/>
        </a:ln>
      </xdr:spPr>
    </xdr:sp>
    <xdr:clientData/>
  </xdr:twoCellAnchor>
  <xdr:twoCellAnchor>
    <xdr:from>
      <xdr:col>32</xdr:col>
      <xdr:colOff>0</xdr:colOff>
      <xdr:row>54</xdr:row>
      <xdr:rowOff>0</xdr:rowOff>
    </xdr:from>
    <xdr:to>
      <xdr:col>32</xdr:col>
      <xdr:colOff>9525</xdr:colOff>
      <xdr:row>54</xdr:row>
      <xdr:rowOff>0</xdr:rowOff>
    </xdr:to>
    <xdr:sp macro="" textlink="">
      <xdr:nvSpPr>
        <xdr:cNvPr id="21" name="Line 19">
          <a:extLst>
            <a:ext uri="{FF2B5EF4-FFF2-40B4-BE49-F238E27FC236}">
              <a16:creationId xmlns:a16="http://schemas.microsoft.com/office/drawing/2014/main" id="{00000000-0008-0000-1C00-000015000000}"/>
            </a:ext>
          </a:extLst>
        </xdr:cNvPr>
        <xdr:cNvSpPr>
          <a:spLocks noChangeShapeType="1"/>
        </xdr:cNvSpPr>
      </xdr:nvSpPr>
      <xdr:spPr bwMode="auto">
        <a:xfrm>
          <a:off x="19126200" y="11725275"/>
          <a:ext cx="9525" cy="0"/>
        </a:xfrm>
        <a:prstGeom prst="line">
          <a:avLst/>
        </a:prstGeom>
        <a:noFill/>
        <a:ln w="9525">
          <a:solidFill>
            <a:srgbClr val="000000"/>
          </a:solidFill>
          <a:prstDash val="sysDot"/>
          <a:round/>
          <a:headEnd/>
          <a:tailEnd/>
        </a:ln>
      </xdr:spPr>
    </xdr:sp>
    <xdr:clientData/>
  </xdr:twoCellAnchor>
  <xdr:twoCellAnchor>
    <xdr:from>
      <xdr:col>32</xdr:col>
      <xdr:colOff>0</xdr:colOff>
      <xdr:row>60</xdr:row>
      <xdr:rowOff>0</xdr:rowOff>
    </xdr:from>
    <xdr:to>
      <xdr:col>32</xdr:col>
      <xdr:colOff>0</xdr:colOff>
      <xdr:row>60</xdr:row>
      <xdr:rowOff>0</xdr:rowOff>
    </xdr:to>
    <xdr:sp macro="" textlink="">
      <xdr:nvSpPr>
        <xdr:cNvPr id="22" name="Line 20">
          <a:extLst>
            <a:ext uri="{FF2B5EF4-FFF2-40B4-BE49-F238E27FC236}">
              <a16:creationId xmlns:a16="http://schemas.microsoft.com/office/drawing/2014/main" id="{00000000-0008-0000-1C00-000016000000}"/>
            </a:ext>
          </a:extLst>
        </xdr:cNvPr>
        <xdr:cNvSpPr>
          <a:spLocks noChangeShapeType="1"/>
        </xdr:cNvSpPr>
      </xdr:nvSpPr>
      <xdr:spPr bwMode="auto">
        <a:xfrm>
          <a:off x="19126200" y="12582525"/>
          <a:ext cx="0" cy="0"/>
        </a:xfrm>
        <a:prstGeom prst="line">
          <a:avLst/>
        </a:prstGeom>
        <a:noFill/>
        <a:ln w="9525">
          <a:solidFill>
            <a:srgbClr val="000000"/>
          </a:solidFill>
          <a:prstDash val="sysDot"/>
          <a:round/>
          <a:headEnd/>
          <a:tailEnd/>
        </a:ln>
      </xdr:spPr>
    </xdr:sp>
    <xdr:clientData/>
  </xdr:twoCellAnchor>
  <xdr:twoCellAnchor>
    <xdr:from>
      <xdr:col>32</xdr:col>
      <xdr:colOff>0</xdr:colOff>
      <xdr:row>61</xdr:row>
      <xdr:rowOff>0</xdr:rowOff>
    </xdr:from>
    <xdr:to>
      <xdr:col>32</xdr:col>
      <xdr:colOff>0</xdr:colOff>
      <xdr:row>61</xdr:row>
      <xdr:rowOff>0</xdr:rowOff>
    </xdr:to>
    <xdr:sp macro="" textlink="">
      <xdr:nvSpPr>
        <xdr:cNvPr id="23" name="Line 22">
          <a:extLst>
            <a:ext uri="{FF2B5EF4-FFF2-40B4-BE49-F238E27FC236}">
              <a16:creationId xmlns:a16="http://schemas.microsoft.com/office/drawing/2014/main" id="{00000000-0008-0000-1C00-000017000000}"/>
            </a:ext>
          </a:extLst>
        </xdr:cNvPr>
        <xdr:cNvSpPr>
          <a:spLocks noChangeShapeType="1"/>
        </xdr:cNvSpPr>
      </xdr:nvSpPr>
      <xdr:spPr bwMode="auto">
        <a:xfrm>
          <a:off x="19126200" y="12725400"/>
          <a:ext cx="0" cy="0"/>
        </a:xfrm>
        <a:prstGeom prst="line">
          <a:avLst/>
        </a:prstGeom>
        <a:noFill/>
        <a:ln w="9525">
          <a:solidFill>
            <a:srgbClr val="000000"/>
          </a:solidFill>
          <a:prstDash val="sysDot"/>
          <a:round/>
          <a:headEnd/>
          <a:tailEnd/>
        </a:ln>
      </xdr:spPr>
    </xdr:sp>
    <xdr:clientData/>
  </xdr:twoCellAnchor>
  <xdr:twoCellAnchor>
    <xdr:from>
      <xdr:col>32</xdr:col>
      <xdr:colOff>0</xdr:colOff>
      <xdr:row>63</xdr:row>
      <xdr:rowOff>0</xdr:rowOff>
    </xdr:from>
    <xdr:to>
      <xdr:col>32</xdr:col>
      <xdr:colOff>0</xdr:colOff>
      <xdr:row>63</xdr:row>
      <xdr:rowOff>0</xdr:rowOff>
    </xdr:to>
    <xdr:sp macro="" textlink="">
      <xdr:nvSpPr>
        <xdr:cNvPr id="24" name="Line 23">
          <a:extLst>
            <a:ext uri="{FF2B5EF4-FFF2-40B4-BE49-F238E27FC236}">
              <a16:creationId xmlns:a16="http://schemas.microsoft.com/office/drawing/2014/main" id="{00000000-0008-0000-1C00-000018000000}"/>
            </a:ext>
          </a:extLst>
        </xdr:cNvPr>
        <xdr:cNvSpPr>
          <a:spLocks noChangeShapeType="1"/>
        </xdr:cNvSpPr>
      </xdr:nvSpPr>
      <xdr:spPr bwMode="auto">
        <a:xfrm>
          <a:off x="19126200" y="13011150"/>
          <a:ext cx="0" cy="0"/>
        </a:xfrm>
        <a:prstGeom prst="line">
          <a:avLst/>
        </a:prstGeom>
        <a:noFill/>
        <a:ln w="9525">
          <a:solidFill>
            <a:srgbClr val="000000"/>
          </a:solidFill>
          <a:prstDash val="sysDot"/>
          <a:round/>
          <a:headEnd/>
          <a:tailEnd/>
        </a:ln>
      </xdr:spPr>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38100</xdr:colOff>
      <xdr:row>75</xdr:row>
      <xdr:rowOff>0</xdr:rowOff>
    </xdr:from>
    <xdr:to>
      <xdr:col>4</xdr:col>
      <xdr:colOff>19050</xdr:colOff>
      <xdr:row>75</xdr:row>
      <xdr:rowOff>0</xdr:rowOff>
    </xdr:to>
    <xdr:sp macro="" textlink="">
      <xdr:nvSpPr>
        <xdr:cNvPr id="2" name="Line 1">
          <a:extLst>
            <a:ext uri="{FF2B5EF4-FFF2-40B4-BE49-F238E27FC236}">
              <a16:creationId xmlns:a16="http://schemas.microsoft.com/office/drawing/2014/main" id="{68638FBB-1F76-4649-A331-39BED776EE01}"/>
            </a:ext>
          </a:extLst>
        </xdr:cNvPr>
        <xdr:cNvSpPr>
          <a:spLocks noChangeShapeType="1"/>
        </xdr:cNvSpPr>
      </xdr:nvSpPr>
      <xdr:spPr bwMode="auto">
        <a:xfrm>
          <a:off x="38100" y="15335250"/>
          <a:ext cx="3514725" cy="0"/>
        </a:xfrm>
        <a:prstGeom prst="line">
          <a:avLst/>
        </a:prstGeom>
        <a:noFill/>
        <a:ln w="9525">
          <a:solidFill>
            <a:srgbClr val="000000"/>
          </a:solidFill>
          <a:prstDash val="sysDot"/>
          <a:round/>
          <a:headEnd/>
          <a:tailEnd/>
        </a:ln>
      </xdr:spPr>
    </xdr:sp>
    <xdr:clientData/>
  </xdr:twoCellAnchor>
  <xdr:twoCellAnchor>
    <xdr:from>
      <xdr:col>30</xdr:col>
      <xdr:colOff>0</xdr:colOff>
      <xdr:row>71</xdr:row>
      <xdr:rowOff>0</xdr:rowOff>
    </xdr:from>
    <xdr:to>
      <xdr:col>30</xdr:col>
      <xdr:colOff>0</xdr:colOff>
      <xdr:row>71</xdr:row>
      <xdr:rowOff>0</xdr:rowOff>
    </xdr:to>
    <xdr:sp macro="" textlink="">
      <xdr:nvSpPr>
        <xdr:cNvPr id="3" name="Line 5">
          <a:extLst>
            <a:ext uri="{FF2B5EF4-FFF2-40B4-BE49-F238E27FC236}">
              <a16:creationId xmlns:a16="http://schemas.microsoft.com/office/drawing/2014/main" id="{A0D81D73-716A-4F61-A9D0-51878842C620}"/>
            </a:ext>
          </a:extLst>
        </xdr:cNvPr>
        <xdr:cNvSpPr>
          <a:spLocks noChangeShapeType="1"/>
        </xdr:cNvSpPr>
      </xdr:nvSpPr>
      <xdr:spPr bwMode="auto">
        <a:xfrm>
          <a:off x="20497800" y="14763750"/>
          <a:ext cx="0" cy="0"/>
        </a:xfrm>
        <a:prstGeom prst="line">
          <a:avLst/>
        </a:prstGeom>
        <a:noFill/>
        <a:ln w="9525">
          <a:solidFill>
            <a:srgbClr val="000000"/>
          </a:solidFill>
          <a:prstDash val="sysDot"/>
          <a:round/>
          <a:headEnd/>
          <a:tailEnd/>
        </a:ln>
      </xdr:spPr>
    </xdr:sp>
    <xdr:clientData/>
  </xdr:twoCellAnchor>
  <xdr:twoCellAnchor>
    <xdr:from>
      <xdr:col>30</xdr:col>
      <xdr:colOff>0</xdr:colOff>
      <xdr:row>73</xdr:row>
      <xdr:rowOff>0</xdr:rowOff>
    </xdr:from>
    <xdr:to>
      <xdr:col>30</xdr:col>
      <xdr:colOff>9525</xdr:colOff>
      <xdr:row>73</xdr:row>
      <xdr:rowOff>0</xdr:rowOff>
    </xdr:to>
    <xdr:sp macro="" textlink="">
      <xdr:nvSpPr>
        <xdr:cNvPr id="4" name="Line 7">
          <a:extLst>
            <a:ext uri="{FF2B5EF4-FFF2-40B4-BE49-F238E27FC236}">
              <a16:creationId xmlns:a16="http://schemas.microsoft.com/office/drawing/2014/main" id="{B0C8F3FD-6EBC-4C8A-8C36-3F0427002654}"/>
            </a:ext>
          </a:extLst>
        </xdr:cNvPr>
        <xdr:cNvSpPr>
          <a:spLocks noChangeShapeType="1"/>
        </xdr:cNvSpPr>
      </xdr:nvSpPr>
      <xdr:spPr bwMode="auto">
        <a:xfrm>
          <a:off x="20497800" y="15049500"/>
          <a:ext cx="9525" cy="0"/>
        </a:xfrm>
        <a:prstGeom prst="line">
          <a:avLst/>
        </a:prstGeom>
        <a:noFill/>
        <a:ln w="9525">
          <a:solidFill>
            <a:srgbClr val="000000"/>
          </a:solidFill>
          <a:prstDash val="sysDot"/>
          <a:round/>
          <a:headEnd/>
          <a:tailEnd/>
        </a:ln>
      </xdr:spPr>
    </xdr:sp>
    <xdr:clientData/>
  </xdr:twoCellAnchor>
  <xdr:twoCellAnchor>
    <xdr:from>
      <xdr:col>30</xdr:col>
      <xdr:colOff>0</xdr:colOff>
      <xdr:row>79</xdr:row>
      <xdr:rowOff>0</xdr:rowOff>
    </xdr:from>
    <xdr:to>
      <xdr:col>30</xdr:col>
      <xdr:colOff>0</xdr:colOff>
      <xdr:row>79</xdr:row>
      <xdr:rowOff>0</xdr:rowOff>
    </xdr:to>
    <xdr:sp macro="" textlink="">
      <xdr:nvSpPr>
        <xdr:cNvPr id="5" name="Line 8">
          <a:extLst>
            <a:ext uri="{FF2B5EF4-FFF2-40B4-BE49-F238E27FC236}">
              <a16:creationId xmlns:a16="http://schemas.microsoft.com/office/drawing/2014/main" id="{5BD42C2D-1B2C-416E-BD9A-A09B47354A99}"/>
            </a:ext>
          </a:extLst>
        </xdr:cNvPr>
        <xdr:cNvSpPr>
          <a:spLocks noChangeShapeType="1"/>
        </xdr:cNvSpPr>
      </xdr:nvSpPr>
      <xdr:spPr bwMode="auto">
        <a:xfrm>
          <a:off x="20497800" y="15906750"/>
          <a:ext cx="0" cy="0"/>
        </a:xfrm>
        <a:prstGeom prst="line">
          <a:avLst/>
        </a:prstGeom>
        <a:noFill/>
        <a:ln w="9525">
          <a:solidFill>
            <a:srgbClr val="000000"/>
          </a:solidFill>
          <a:prstDash val="sysDot"/>
          <a:round/>
          <a:headEnd/>
          <a:tailEnd/>
        </a:ln>
      </xdr:spPr>
    </xdr:sp>
    <xdr:clientData/>
  </xdr:twoCellAnchor>
  <xdr:twoCellAnchor>
    <xdr:from>
      <xdr:col>30</xdr:col>
      <xdr:colOff>0</xdr:colOff>
      <xdr:row>80</xdr:row>
      <xdr:rowOff>0</xdr:rowOff>
    </xdr:from>
    <xdr:to>
      <xdr:col>30</xdr:col>
      <xdr:colOff>0</xdr:colOff>
      <xdr:row>80</xdr:row>
      <xdr:rowOff>0</xdr:rowOff>
    </xdr:to>
    <xdr:sp macro="" textlink="">
      <xdr:nvSpPr>
        <xdr:cNvPr id="6" name="Line 10">
          <a:extLst>
            <a:ext uri="{FF2B5EF4-FFF2-40B4-BE49-F238E27FC236}">
              <a16:creationId xmlns:a16="http://schemas.microsoft.com/office/drawing/2014/main" id="{9A154E38-34D1-4115-A423-9F5F973CC565}"/>
            </a:ext>
          </a:extLst>
        </xdr:cNvPr>
        <xdr:cNvSpPr>
          <a:spLocks noChangeShapeType="1"/>
        </xdr:cNvSpPr>
      </xdr:nvSpPr>
      <xdr:spPr bwMode="auto">
        <a:xfrm>
          <a:off x="20497800" y="16049625"/>
          <a:ext cx="0" cy="0"/>
        </a:xfrm>
        <a:prstGeom prst="line">
          <a:avLst/>
        </a:prstGeom>
        <a:noFill/>
        <a:ln w="9525">
          <a:solidFill>
            <a:srgbClr val="000000"/>
          </a:solidFill>
          <a:prstDash val="sysDot"/>
          <a:round/>
          <a:headEnd/>
          <a:tailEnd/>
        </a:ln>
      </xdr:spPr>
    </xdr:sp>
    <xdr:clientData/>
  </xdr:twoCellAnchor>
  <xdr:twoCellAnchor>
    <xdr:from>
      <xdr:col>30</xdr:col>
      <xdr:colOff>0</xdr:colOff>
      <xdr:row>82</xdr:row>
      <xdr:rowOff>0</xdr:rowOff>
    </xdr:from>
    <xdr:to>
      <xdr:col>30</xdr:col>
      <xdr:colOff>0</xdr:colOff>
      <xdr:row>82</xdr:row>
      <xdr:rowOff>0</xdr:rowOff>
    </xdr:to>
    <xdr:sp macro="" textlink="">
      <xdr:nvSpPr>
        <xdr:cNvPr id="7" name="Line 11">
          <a:extLst>
            <a:ext uri="{FF2B5EF4-FFF2-40B4-BE49-F238E27FC236}">
              <a16:creationId xmlns:a16="http://schemas.microsoft.com/office/drawing/2014/main" id="{0B7F2229-A399-4AC7-8802-65487AFE1FD3}"/>
            </a:ext>
          </a:extLst>
        </xdr:cNvPr>
        <xdr:cNvSpPr>
          <a:spLocks noChangeShapeType="1"/>
        </xdr:cNvSpPr>
      </xdr:nvSpPr>
      <xdr:spPr bwMode="auto">
        <a:xfrm>
          <a:off x="20497800" y="16335375"/>
          <a:ext cx="0" cy="0"/>
        </a:xfrm>
        <a:prstGeom prst="line">
          <a:avLst/>
        </a:prstGeom>
        <a:noFill/>
        <a:ln w="9525">
          <a:solidFill>
            <a:srgbClr val="000000"/>
          </a:solidFill>
          <a:prstDash val="sysDot"/>
          <a:round/>
          <a:headEnd/>
          <a:tailEnd/>
        </a:ln>
      </xdr:spPr>
    </xdr:sp>
    <xdr:clientData/>
  </xdr:twoCellAnchor>
  <xdr:twoCellAnchor>
    <xdr:from>
      <xdr:col>0</xdr:col>
      <xdr:colOff>38100</xdr:colOff>
      <xdr:row>71</xdr:row>
      <xdr:rowOff>0</xdr:rowOff>
    </xdr:from>
    <xdr:to>
      <xdr:col>4</xdr:col>
      <xdr:colOff>19050</xdr:colOff>
      <xdr:row>71</xdr:row>
      <xdr:rowOff>0</xdr:rowOff>
    </xdr:to>
    <xdr:sp macro="" textlink="">
      <xdr:nvSpPr>
        <xdr:cNvPr id="8" name="Line 1">
          <a:extLst>
            <a:ext uri="{FF2B5EF4-FFF2-40B4-BE49-F238E27FC236}">
              <a16:creationId xmlns:a16="http://schemas.microsoft.com/office/drawing/2014/main" id="{1E67C2C9-3120-40DC-AEA2-FDE25852B127}"/>
            </a:ext>
          </a:extLst>
        </xdr:cNvPr>
        <xdr:cNvSpPr>
          <a:spLocks noChangeShapeType="1"/>
        </xdr:cNvSpPr>
      </xdr:nvSpPr>
      <xdr:spPr bwMode="auto">
        <a:xfrm>
          <a:off x="38100" y="14763750"/>
          <a:ext cx="3514725" cy="0"/>
        </a:xfrm>
        <a:prstGeom prst="line">
          <a:avLst/>
        </a:prstGeom>
        <a:noFill/>
        <a:ln w="9525">
          <a:solidFill>
            <a:srgbClr val="000000"/>
          </a:solidFill>
          <a:prstDash val="sysDot"/>
          <a:round/>
          <a:headEnd/>
          <a:tailEnd/>
        </a:ln>
      </xdr:spPr>
    </xdr:sp>
    <xdr:clientData/>
  </xdr:twoCellAnchor>
  <xdr:twoCellAnchor>
    <xdr:from>
      <xdr:col>30</xdr:col>
      <xdr:colOff>0</xdr:colOff>
      <xdr:row>67</xdr:row>
      <xdr:rowOff>0</xdr:rowOff>
    </xdr:from>
    <xdr:to>
      <xdr:col>30</xdr:col>
      <xdr:colOff>0</xdr:colOff>
      <xdr:row>67</xdr:row>
      <xdr:rowOff>0</xdr:rowOff>
    </xdr:to>
    <xdr:sp macro="" textlink="">
      <xdr:nvSpPr>
        <xdr:cNvPr id="9" name="Line 5">
          <a:extLst>
            <a:ext uri="{FF2B5EF4-FFF2-40B4-BE49-F238E27FC236}">
              <a16:creationId xmlns:a16="http://schemas.microsoft.com/office/drawing/2014/main" id="{7FBC1C57-FEF3-4893-BC90-E7C0AD0B518C}"/>
            </a:ext>
          </a:extLst>
        </xdr:cNvPr>
        <xdr:cNvSpPr>
          <a:spLocks noChangeShapeType="1"/>
        </xdr:cNvSpPr>
      </xdr:nvSpPr>
      <xdr:spPr bwMode="auto">
        <a:xfrm>
          <a:off x="20497800" y="14192250"/>
          <a:ext cx="0" cy="0"/>
        </a:xfrm>
        <a:prstGeom prst="line">
          <a:avLst/>
        </a:prstGeom>
        <a:noFill/>
        <a:ln w="9525">
          <a:solidFill>
            <a:srgbClr val="000000"/>
          </a:solidFill>
          <a:prstDash val="sysDot"/>
          <a:round/>
          <a:headEnd/>
          <a:tailEnd/>
        </a:ln>
      </xdr:spPr>
    </xdr:sp>
    <xdr:clientData/>
  </xdr:twoCellAnchor>
  <xdr:twoCellAnchor>
    <xdr:from>
      <xdr:col>0</xdr:col>
      <xdr:colOff>0</xdr:colOff>
      <xdr:row>65</xdr:row>
      <xdr:rowOff>137583</xdr:rowOff>
    </xdr:from>
    <xdr:to>
      <xdr:col>3</xdr:col>
      <xdr:colOff>487892</xdr:colOff>
      <xdr:row>65</xdr:row>
      <xdr:rowOff>137583</xdr:rowOff>
    </xdr:to>
    <xdr:sp macro="" textlink="">
      <xdr:nvSpPr>
        <xdr:cNvPr id="10" name="Line 6">
          <a:extLst>
            <a:ext uri="{FF2B5EF4-FFF2-40B4-BE49-F238E27FC236}">
              <a16:creationId xmlns:a16="http://schemas.microsoft.com/office/drawing/2014/main" id="{2755678C-3EA8-4AD4-B16A-E86A07B327A2}"/>
            </a:ext>
          </a:extLst>
        </xdr:cNvPr>
        <xdr:cNvSpPr>
          <a:spLocks noChangeShapeType="1"/>
        </xdr:cNvSpPr>
      </xdr:nvSpPr>
      <xdr:spPr bwMode="auto">
        <a:xfrm>
          <a:off x="0" y="14044083"/>
          <a:ext cx="2850092" cy="0"/>
        </a:xfrm>
        <a:prstGeom prst="line">
          <a:avLst/>
        </a:prstGeom>
        <a:noFill/>
        <a:ln w="9525">
          <a:solidFill>
            <a:srgbClr val="000000"/>
          </a:solidFill>
          <a:prstDash val="sysDot"/>
          <a:round/>
          <a:headEnd/>
          <a:tailEnd/>
        </a:ln>
      </xdr:spPr>
    </xdr:sp>
    <xdr:clientData/>
  </xdr:twoCellAnchor>
  <xdr:twoCellAnchor>
    <xdr:from>
      <xdr:col>30</xdr:col>
      <xdr:colOff>0</xdr:colOff>
      <xdr:row>69</xdr:row>
      <xdr:rowOff>0</xdr:rowOff>
    </xdr:from>
    <xdr:to>
      <xdr:col>30</xdr:col>
      <xdr:colOff>9525</xdr:colOff>
      <xdr:row>69</xdr:row>
      <xdr:rowOff>0</xdr:rowOff>
    </xdr:to>
    <xdr:sp macro="" textlink="">
      <xdr:nvSpPr>
        <xdr:cNvPr id="11" name="Line 7">
          <a:extLst>
            <a:ext uri="{FF2B5EF4-FFF2-40B4-BE49-F238E27FC236}">
              <a16:creationId xmlns:a16="http://schemas.microsoft.com/office/drawing/2014/main" id="{0FE01012-BDF9-4D8C-824B-A60EBA04C550}"/>
            </a:ext>
          </a:extLst>
        </xdr:cNvPr>
        <xdr:cNvSpPr>
          <a:spLocks noChangeShapeType="1"/>
        </xdr:cNvSpPr>
      </xdr:nvSpPr>
      <xdr:spPr bwMode="auto">
        <a:xfrm>
          <a:off x="20497800" y="14478000"/>
          <a:ext cx="9525" cy="0"/>
        </a:xfrm>
        <a:prstGeom prst="line">
          <a:avLst/>
        </a:prstGeom>
        <a:noFill/>
        <a:ln w="9525">
          <a:solidFill>
            <a:srgbClr val="000000"/>
          </a:solidFill>
          <a:prstDash val="sysDot"/>
          <a:round/>
          <a:headEnd/>
          <a:tailEnd/>
        </a:ln>
      </xdr:spPr>
    </xdr:sp>
    <xdr:clientData/>
  </xdr:twoCellAnchor>
  <xdr:twoCellAnchor>
    <xdr:from>
      <xdr:col>30</xdr:col>
      <xdr:colOff>0</xdr:colOff>
      <xdr:row>75</xdr:row>
      <xdr:rowOff>0</xdr:rowOff>
    </xdr:from>
    <xdr:to>
      <xdr:col>30</xdr:col>
      <xdr:colOff>0</xdr:colOff>
      <xdr:row>75</xdr:row>
      <xdr:rowOff>0</xdr:rowOff>
    </xdr:to>
    <xdr:sp macro="" textlink="">
      <xdr:nvSpPr>
        <xdr:cNvPr id="12" name="Line 8">
          <a:extLst>
            <a:ext uri="{FF2B5EF4-FFF2-40B4-BE49-F238E27FC236}">
              <a16:creationId xmlns:a16="http://schemas.microsoft.com/office/drawing/2014/main" id="{83967E2D-B3AB-4B39-8862-E9C68B3F0546}"/>
            </a:ext>
          </a:extLst>
        </xdr:cNvPr>
        <xdr:cNvSpPr>
          <a:spLocks noChangeShapeType="1"/>
        </xdr:cNvSpPr>
      </xdr:nvSpPr>
      <xdr:spPr bwMode="auto">
        <a:xfrm>
          <a:off x="20497800" y="15335250"/>
          <a:ext cx="0" cy="0"/>
        </a:xfrm>
        <a:prstGeom prst="line">
          <a:avLst/>
        </a:prstGeom>
        <a:noFill/>
        <a:ln w="9525">
          <a:solidFill>
            <a:srgbClr val="000000"/>
          </a:solidFill>
          <a:prstDash val="sysDot"/>
          <a:round/>
          <a:headEnd/>
          <a:tailEnd/>
        </a:ln>
      </xdr:spPr>
    </xdr:sp>
    <xdr:clientData/>
  </xdr:twoCellAnchor>
  <xdr:twoCellAnchor>
    <xdr:from>
      <xdr:col>30</xdr:col>
      <xdr:colOff>0</xdr:colOff>
      <xdr:row>76</xdr:row>
      <xdr:rowOff>0</xdr:rowOff>
    </xdr:from>
    <xdr:to>
      <xdr:col>30</xdr:col>
      <xdr:colOff>0</xdr:colOff>
      <xdr:row>76</xdr:row>
      <xdr:rowOff>0</xdr:rowOff>
    </xdr:to>
    <xdr:sp macro="" textlink="">
      <xdr:nvSpPr>
        <xdr:cNvPr id="13" name="Line 10">
          <a:extLst>
            <a:ext uri="{FF2B5EF4-FFF2-40B4-BE49-F238E27FC236}">
              <a16:creationId xmlns:a16="http://schemas.microsoft.com/office/drawing/2014/main" id="{86904F85-2088-477D-8686-567E20861C54}"/>
            </a:ext>
          </a:extLst>
        </xdr:cNvPr>
        <xdr:cNvSpPr>
          <a:spLocks noChangeShapeType="1"/>
        </xdr:cNvSpPr>
      </xdr:nvSpPr>
      <xdr:spPr bwMode="auto">
        <a:xfrm>
          <a:off x="20497800" y="15478125"/>
          <a:ext cx="0" cy="0"/>
        </a:xfrm>
        <a:prstGeom prst="line">
          <a:avLst/>
        </a:prstGeom>
        <a:noFill/>
        <a:ln w="9525">
          <a:solidFill>
            <a:srgbClr val="000000"/>
          </a:solidFill>
          <a:prstDash val="sysDot"/>
          <a:round/>
          <a:headEnd/>
          <a:tailEnd/>
        </a:ln>
      </xdr:spPr>
    </xdr:sp>
    <xdr:clientData/>
  </xdr:twoCellAnchor>
  <xdr:twoCellAnchor>
    <xdr:from>
      <xdr:col>30</xdr:col>
      <xdr:colOff>0</xdr:colOff>
      <xdr:row>78</xdr:row>
      <xdr:rowOff>0</xdr:rowOff>
    </xdr:from>
    <xdr:to>
      <xdr:col>30</xdr:col>
      <xdr:colOff>0</xdr:colOff>
      <xdr:row>78</xdr:row>
      <xdr:rowOff>0</xdr:rowOff>
    </xdr:to>
    <xdr:sp macro="" textlink="">
      <xdr:nvSpPr>
        <xdr:cNvPr id="14" name="Line 11">
          <a:extLst>
            <a:ext uri="{FF2B5EF4-FFF2-40B4-BE49-F238E27FC236}">
              <a16:creationId xmlns:a16="http://schemas.microsoft.com/office/drawing/2014/main" id="{61D91356-3A2F-483B-9284-CCD0268AFFD9}"/>
            </a:ext>
          </a:extLst>
        </xdr:cNvPr>
        <xdr:cNvSpPr>
          <a:spLocks noChangeShapeType="1"/>
        </xdr:cNvSpPr>
      </xdr:nvSpPr>
      <xdr:spPr bwMode="auto">
        <a:xfrm>
          <a:off x="20497800" y="15763875"/>
          <a:ext cx="0" cy="0"/>
        </a:xfrm>
        <a:prstGeom prst="line">
          <a:avLst/>
        </a:prstGeom>
        <a:noFill/>
        <a:ln w="9525">
          <a:solidFill>
            <a:srgbClr val="000000"/>
          </a:solidFill>
          <a:prstDash val="sysDot"/>
          <a:round/>
          <a:headEnd/>
          <a:tailEnd/>
        </a:ln>
      </xdr:spPr>
    </xdr:sp>
    <xdr:clientData/>
  </xdr:twoCellAnchor>
  <xdr:twoCellAnchor>
    <xdr:from>
      <xdr:col>1</xdr:col>
      <xdr:colOff>90436</xdr:colOff>
      <xdr:row>63</xdr:row>
      <xdr:rowOff>146538</xdr:rowOff>
    </xdr:from>
    <xdr:to>
      <xdr:col>5</xdr:col>
      <xdr:colOff>71386</xdr:colOff>
      <xdr:row>63</xdr:row>
      <xdr:rowOff>146538</xdr:rowOff>
    </xdr:to>
    <xdr:sp macro="" textlink="">
      <xdr:nvSpPr>
        <xdr:cNvPr id="15" name="Line 1">
          <a:extLst>
            <a:ext uri="{FF2B5EF4-FFF2-40B4-BE49-F238E27FC236}">
              <a16:creationId xmlns:a16="http://schemas.microsoft.com/office/drawing/2014/main" id="{F681C262-C233-45C6-BFDA-B5084D3D1F51}"/>
            </a:ext>
          </a:extLst>
        </xdr:cNvPr>
        <xdr:cNvSpPr>
          <a:spLocks noChangeShapeType="1"/>
        </xdr:cNvSpPr>
      </xdr:nvSpPr>
      <xdr:spPr bwMode="auto">
        <a:xfrm>
          <a:off x="366661" y="13748238"/>
          <a:ext cx="3886200" cy="0"/>
        </a:xfrm>
        <a:prstGeom prst="line">
          <a:avLst/>
        </a:prstGeom>
        <a:noFill/>
        <a:ln w="9525">
          <a:solidFill>
            <a:srgbClr val="000000"/>
          </a:solidFill>
          <a:prstDash val="sysDot"/>
          <a:round/>
          <a:headEnd/>
          <a:tailEnd/>
        </a:ln>
      </xdr:spPr>
    </xdr:sp>
    <xdr:clientData/>
  </xdr:twoCellAnchor>
  <xdr:twoCellAnchor>
    <xdr:from>
      <xdr:col>29</xdr:col>
      <xdr:colOff>0</xdr:colOff>
      <xdr:row>60</xdr:row>
      <xdr:rowOff>0</xdr:rowOff>
    </xdr:from>
    <xdr:to>
      <xdr:col>29</xdr:col>
      <xdr:colOff>0</xdr:colOff>
      <xdr:row>60</xdr:row>
      <xdr:rowOff>0</xdr:rowOff>
    </xdr:to>
    <xdr:sp macro="" textlink="">
      <xdr:nvSpPr>
        <xdr:cNvPr id="16" name="Line 5">
          <a:extLst>
            <a:ext uri="{FF2B5EF4-FFF2-40B4-BE49-F238E27FC236}">
              <a16:creationId xmlns:a16="http://schemas.microsoft.com/office/drawing/2014/main" id="{5FA7A6E5-A161-4FBB-84E1-5D83DE8C959F}"/>
            </a:ext>
          </a:extLst>
        </xdr:cNvPr>
        <xdr:cNvSpPr>
          <a:spLocks noChangeShapeType="1"/>
        </xdr:cNvSpPr>
      </xdr:nvSpPr>
      <xdr:spPr bwMode="auto">
        <a:xfrm>
          <a:off x="19897725" y="13277850"/>
          <a:ext cx="0" cy="0"/>
        </a:xfrm>
        <a:prstGeom prst="line">
          <a:avLst/>
        </a:prstGeom>
        <a:noFill/>
        <a:ln w="9525">
          <a:solidFill>
            <a:srgbClr val="000000"/>
          </a:solidFill>
          <a:prstDash val="sysDot"/>
          <a:round/>
          <a:headEnd/>
          <a:tailEnd/>
        </a:ln>
      </xdr:spPr>
    </xdr:sp>
    <xdr:clientData/>
  </xdr:twoCellAnchor>
  <xdr:twoCellAnchor>
    <xdr:from>
      <xdr:col>29</xdr:col>
      <xdr:colOff>0</xdr:colOff>
      <xdr:row>62</xdr:row>
      <xdr:rowOff>0</xdr:rowOff>
    </xdr:from>
    <xdr:to>
      <xdr:col>29</xdr:col>
      <xdr:colOff>9525</xdr:colOff>
      <xdr:row>62</xdr:row>
      <xdr:rowOff>0</xdr:rowOff>
    </xdr:to>
    <xdr:sp macro="" textlink="">
      <xdr:nvSpPr>
        <xdr:cNvPr id="17" name="Line 7">
          <a:extLst>
            <a:ext uri="{FF2B5EF4-FFF2-40B4-BE49-F238E27FC236}">
              <a16:creationId xmlns:a16="http://schemas.microsoft.com/office/drawing/2014/main" id="{3E3C3A96-D287-4EC0-AA3A-240EF8B6AB65}"/>
            </a:ext>
          </a:extLst>
        </xdr:cNvPr>
        <xdr:cNvSpPr>
          <a:spLocks noChangeShapeType="1"/>
        </xdr:cNvSpPr>
      </xdr:nvSpPr>
      <xdr:spPr bwMode="auto">
        <a:xfrm>
          <a:off x="19897725" y="13439775"/>
          <a:ext cx="9525" cy="0"/>
        </a:xfrm>
        <a:prstGeom prst="line">
          <a:avLst/>
        </a:prstGeom>
        <a:noFill/>
        <a:ln w="9525">
          <a:solidFill>
            <a:srgbClr val="000000"/>
          </a:solidFill>
          <a:prstDash val="sysDot"/>
          <a:round/>
          <a:headEnd/>
          <a:tailEnd/>
        </a:ln>
      </xdr:spPr>
    </xdr:sp>
    <xdr:clientData/>
  </xdr:twoCellAnchor>
  <xdr:twoCellAnchor>
    <xdr:from>
      <xdr:col>29</xdr:col>
      <xdr:colOff>0</xdr:colOff>
      <xdr:row>68</xdr:row>
      <xdr:rowOff>0</xdr:rowOff>
    </xdr:from>
    <xdr:to>
      <xdr:col>29</xdr:col>
      <xdr:colOff>0</xdr:colOff>
      <xdr:row>68</xdr:row>
      <xdr:rowOff>0</xdr:rowOff>
    </xdr:to>
    <xdr:sp macro="" textlink="">
      <xdr:nvSpPr>
        <xdr:cNvPr id="18" name="Line 8">
          <a:extLst>
            <a:ext uri="{FF2B5EF4-FFF2-40B4-BE49-F238E27FC236}">
              <a16:creationId xmlns:a16="http://schemas.microsoft.com/office/drawing/2014/main" id="{4B4690EE-3E4F-4BC1-AA47-26ED2142F920}"/>
            </a:ext>
          </a:extLst>
        </xdr:cNvPr>
        <xdr:cNvSpPr>
          <a:spLocks noChangeShapeType="1"/>
        </xdr:cNvSpPr>
      </xdr:nvSpPr>
      <xdr:spPr bwMode="auto">
        <a:xfrm>
          <a:off x="19897725" y="14335125"/>
          <a:ext cx="0" cy="0"/>
        </a:xfrm>
        <a:prstGeom prst="line">
          <a:avLst/>
        </a:prstGeom>
        <a:noFill/>
        <a:ln w="9525">
          <a:solidFill>
            <a:srgbClr val="000000"/>
          </a:solidFill>
          <a:prstDash val="sysDot"/>
          <a:round/>
          <a:headEnd/>
          <a:tailEnd/>
        </a:ln>
      </xdr:spPr>
    </xdr:sp>
    <xdr:clientData/>
  </xdr:twoCellAnchor>
  <xdr:twoCellAnchor>
    <xdr:from>
      <xdr:col>29</xdr:col>
      <xdr:colOff>0</xdr:colOff>
      <xdr:row>69</xdr:row>
      <xdr:rowOff>0</xdr:rowOff>
    </xdr:from>
    <xdr:to>
      <xdr:col>29</xdr:col>
      <xdr:colOff>0</xdr:colOff>
      <xdr:row>69</xdr:row>
      <xdr:rowOff>0</xdr:rowOff>
    </xdr:to>
    <xdr:sp macro="" textlink="">
      <xdr:nvSpPr>
        <xdr:cNvPr id="19" name="Line 10">
          <a:extLst>
            <a:ext uri="{FF2B5EF4-FFF2-40B4-BE49-F238E27FC236}">
              <a16:creationId xmlns:a16="http://schemas.microsoft.com/office/drawing/2014/main" id="{2C434F9B-03AF-4FED-BFB1-B14295641363}"/>
            </a:ext>
          </a:extLst>
        </xdr:cNvPr>
        <xdr:cNvSpPr>
          <a:spLocks noChangeShapeType="1"/>
        </xdr:cNvSpPr>
      </xdr:nvSpPr>
      <xdr:spPr bwMode="auto">
        <a:xfrm>
          <a:off x="19897725" y="14478000"/>
          <a:ext cx="0" cy="0"/>
        </a:xfrm>
        <a:prstGeom prst="line">
          <a:avLst/>
        </a:prstGeom>
        <a:noFill/>
        <a:ln w="9525">
          <a:solidFill>
            <a:srgbClr val="000000"/>
          </a:solidFill>
          <a:prstDash val="sysDot"/>
          <a:round/>
          <a:headEnd/>
          <a:tailEnd/>
        </a:ln>
      </xdr:spPr>
    </xdr:sp>
    <xdr:clientData/>
  </xdr:twoCellAnchor>
  <xdr:twoCellAnchor>
    <xdr:from>
      <xdr:col>29</xdr:col>
      <xdr:colOff>0</xdr:colOff>
      <xdr:row>71</xdr:row>
      <xdr:rowOff>0</xdr:rowOff>
    </xdr:from>
    <xdr:to>
      <xdr:col>29</xdr:col>
      <xdr:colOff>0</xdr:colOff>
      <xdr:row>71</xdr:row>
      <xdr:rowOff>0</xdr:rowOff>
    </xdr:to>
    <xdr:sp macro="" textlink="">
      <xdr:nvSpPr>
        <xdr:cNvPr id="20" name="Line 11">
          <a:extLst>
            <a:ext uri="{FF2B5EF4-FFF2-40B4-BE49-F238E27FC236}">
              <a16:creationId xmlns:a16="http://schemas.microsoft.com/office/drawing/2014/main" id="{E8D0719E-529A-4862-BAF9-FA0D85F651B2}"/>
            </a:ext>
          </a:extLst>
        </xdr:cNvPr>
        <xdr:cNvSpPr>
          <a:spLocks noChangeShapeType="1"/>
        </xdr:cNvSpPr>
      </xdr:nvSpPr>
      <xdr:spPr bwMode="auto">
        <a:xfrm>
          <a:off x="19897725" y="14763750"/>
          <a:ext cx="0" cy="0"/>
        </a:xfrm>
        <a:prstGeom prst="line">
          <a:avLst/>
        </a:prstGeom>
        <a:noFill/>
        <a:ln w="9525">
          <a:solidFill>
            <a:srgbClr val="000000"/>
          </a:solidFill>
          <a:prstDash val="sysDot"/>
          <a:round/>
          <a:headEnd/>
          <a:tailEnd/>
        </a:ln>
      </xdr:spPr>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38100</xdr:colOff>
      <xdr:row>60</xdr:row>
      <xdr:rowOff>0</xdr:rowOff>
    </xdr:from>
    <xdr:to>
      <xdr:col>4</xdr:col>
      <xdr:colOff>19050</xdr:colOff>
      <xdr:row>60</xdr:row>
      <xdr:rowOff>0</xdr:rowOff>
    </xdr:to>
    <xdr:sp macro="" textlink="">
      <xdr:nvSpPr>
        <xdr:cNvPr id="2" name="Line 1">
          <a:extLst>
            <a:ext uri="{FF2B5EF4-FFF2-40B4-BE49-F238E27FC236}">
              <a16:creationId xmlns:a16="http://schemas.microsoft.com/office/drawing/2014/main" id="{4C85564F-AA43-4E10-8603-623CB03883B5}"/>
            </a:ext>
          </a:extLst>
        </xdr:cNvPr>
        <xdr:cNvSpPr>
          <a:spLocks noChangeShapeType="1"/>
        </xdr:cNvSpPr>
      </xdr:nvSpPr>
      <xdr:spPr bwMode="auto">
        <a:xfrm>
          <a:off x="38100" y="14287500"/>
          <a:ext cx="3514725" cy="0"/>
        </a:xfrm>
        <a:prstGeom prst="line">
          <a:avLst/>
        </a:prstGeom>
        <a:noFill/>
        <a:ln w="9525">
          <a:solidFill>
            <a:srgbClr val="000000"/>
          </a:solidFill>
          <a:prstDash val="sysDot"/>
          <a:round/>
          <a:headEnd/>
          <a:tailEnd/>
        </a:ln>
      </xdr:spPr>
    </xdr:sp>
    <xdr:clientData/>
  </xdr:twoCellAnchor>
  <xdr:twoCellAnchor>
    <xdr:from>
      <xdr:col>30</xdr:col>
      <xdr:colOff>0</xdr:colOff>
      <xdr:row>56</xdr:row>
      <xdr:rowOff>0</xdr:rowOff>
    </xdr:from>
    <xdr:to>
      <xdr:col>30</xdr:col>
      <xdr:colOff>0</xdr:colOff>
      <xdr:row>56</xdr:row>
      <xdr:rowOff>0</xdr:rowOff>
    </xdr:to>
    <xdr:sp macro="" textlink="">
      <xdr:nvSpPr>
        <xdr:cNvPr id="3" name="Line 5">
          <a:extLst>
            <a:ext uri="{FF2B5EF4-FFF2-40B4-BE49-F238E27FC236}">
              <a16:creationId xmlns:a16="http://schemas.microsoft.com/office/drawing/2014/main" id="{2C0CDABD-62A6-4B15-8C38-76D081C2E315}"/>
            </a:ext>
          </a:extLst>
        </xdr:cNvPr>
        <xdr:cNvSpPr>
          <a:spLocks noChangeShapeType="1"/>
        </xdr:cNvSpPr>
      </xdr:nvSpPr>
      <xdr:spPr bwMode="auto">
        <a:xfrm>
          <a:off x="18516600" y="13716000"/>
          <a:ext cx="0" cy="0"/>
        </a:xfrm>
        <a:prstGeom prst="line">
          <a:avLst/>
        </a:prstGeom>
        <a:noFill/>
        <a:ln w="9525">
          <a:solidFill>
            <a:srgbClr val="000000"/>
          </a:solidFill>
          <a:prstDash val="sysDot"/>
          <a:round/>
          <a:headEnd/>
          <a:tailEnd/>
        </a:ln>
      </xdr:spPr>
    </xdr:sp>
    <xdr:clientData/>
  </xdr:twoCellAnchor>
  <xdr:twoCellAnchor>
    <xdr:from>
      <xdr:col>30</xdr:col>
      <xdr:colOff>0</xdr:colOff>
      <xdr:row>58</xdr:row>
      <xdr:rowOff>0</xdr:rowOff>
    </xdr:from>
    <xdr:to>
      <xdr:col>30</xdr:col>
      <xdr:colOff>9525</xdr:colOff>
      <xdr:row>58</xdr:row>
      <xdr:rowOff>0</xdr:rowOff>
    </xdr:to>
    <xdr:sp macro="" textlink="">
      <xdr:nvSpPr>
        <xdr:cNvPr id="4" name="Line 7">
          <a:extLst>
            <a:ext uri="{FF2B5EF4-FFF2-40B4-BE49-F238E27FC236}">
              <a16:creationId xmlns:a16="http://schemas.microsoft.com/office/drawing/2014/main" id="{8AA70AB1-B178-4DA2-BC19-6F78C1809537}"/>
            </a:ext>
          </a:extLst>
        </xdr:cNvPr>
        <xdr:cNvSpPr>
          <a:spLocks noChangeShapeType="1"/>
        </xdr:cNvSpPr>
      </xdr:nvSpPr>
      <xdr:spPr bwMode="auto">
        <a:xfrm>
          <a:off x="18516600" y="14001750"/>
          <a:ext cx="9525" cy="0"/>
        </a:xfrm>
        <a:prstGeom prst="line">
          <a:avLst/>
        </a:prstGeom>
        <a:noFill/>
        <a:ln w="9525">
          <a:solidFill>
            <a:srgbClr val="000000"/>
          </a:solidFill>
          <a:prstDash val="sysDot"/>
          <a:round/>
          <a:headEnd/>
          <a:tailEnd/>
        </a:ln>
      </xdr:spPr>
    </xdr:sp>
    <xdr:clientData/>
  </xdr:twoCellAnchor>
  <xdr:twoCellAnchor>
    <xdr:from>
      <xdr:col>30</xdr:col>
      <xdr:colOff>0</xdr:colOff>
      <xdr:row>64</xdr:row>
      <xdr:rowOff>0</xdr:rowOff>
    </xdr:from>
    <xdr:to>
      <xdr:col>30</xdr:col>
      <xdr:colOff>0</xdr:colOff>
      <xdr:row>64</xdr:row>
      <xdr:rowOff>0</xdr:rowOff>
    </xdr:to>
    <xdr:sp macro="" textlink="">
      <xdr:nvSpPr>
        <xdr:cNvPr id="5" name="Line 8">
          <a:extLst>
            <a:ext uri="{FF2B5EF4-FFF2-40B4-BE49-F238E27FC236}">
              <a16:creationId xmlns:a16="http://schemas.microsoft.com/office/drawing/2014/main" id="{007C73DD-72BD-4E4C-A652-723B38023718}"/>
            </a:ext>
          </a:extLst>
        </xdr:cNvPr>
        <xdr:cNvSpPr>
          <a:spLocks noChangeShapeType="1"/>
        </xdr:cNvSpPr>
      </xdr:nvSpPr>
      <xdr:spPr bwMode="auto">
        <a:xfrm>
          <a:off x="18516600" y="14859000"/>
          <a:ext cx="0" cy="0"/>
        </a:xfrm>
        <a:prstGeom prst="line">
          <a:avLst/>
        </a:prstGeom>
        <a:noFill/>
        <a:ln w="9525">
          <a:solidFill>
            <a:srgbClr val="000000"/>
          </a:solidFill>
          <a:prstDash val="sysDot"/>
          <a:round/>
          <a:headEnd/>
          <a:tailEnd/>
        </a:ln>
      </xdr:spPr>
    </xdr:sp>
    <xdr:clientData/>
  </xdr:twoCellAnchor>
  <xdr:twoCellAnchor>
    <xdr:from>
      <xdr:col>30</xdr:col>
      <xdr:colOff>0</xdr:colOff>
      <xdr:row>65</xdr:row>
      <xdr:rowOff>0</xdr:rowOff>
    </xdr:from>
    <xdr:to>
      <xdr:col>30</xdr:col>
      <xdr:colOff>0</xdr:colOff>
      <xdr:row>65</xdr:row>
      <xdr:rowOff>0</xdr:rowOff>
    </xdr:to>
    <xdr:sp macro="" textlink="">
      <xdr:nvSpPr>
        <xdr:cNvPr id="6" name="Line 10">
          <a:extLst>
            <a:ext uri="{FF2B5EF4-FFF2-40B4-BE49-F238E27FC236}">
              <a16:creationId xmlns:a16="http://schemas.microsoft.com/office/drawing/2014/main" id="{BC8DD5CA-D019-4B72-8EA8-20ED5C08A16A}"/>
            </a:ext>
          </a:extLst>
        </xdr:cNvPr>
        <xdr:cNvSpPr>
          <a:spLocks noChangeShapeType="1"/>
        </xdr:cNvSpPr>
      </xdr:nvSpPr>
      <xdr:spPr bwMode="auto">
        <a:xfrm>
          <a:off x="18516600" y="15001875"/>
          <a:ext cx="0" cy="0"/>
        </a:xfrm>
        <a:prstGeom prst="line">
          <a:avLst/>
        </a:prstGeom>
        <a:noFill/>
        <a:ln w="9525">
          <a:solidFill>
            <a:srgbClr val="000000"/>
          </a:solidFill>
          <a:prstDash val="sysDot"/>
          <a:round/>
          <a:headEnd/>
          <a:tailEnd/>
        </a:ln>
      </xdr:spPr>
    </xdr:sp>
    <xdr:clientData/>
  </xdr:twoCellAnchor>
  <xdr:twoCellAnchor>
    <xdr:from>
      <xdr:col>30</xdr:col>
      <xdr:colOff>0</xdr:colOff>
      <xdr:row>67</xdr:row>
      <xdr:rowOff>0</xdr:rowOff>
    </xdr:from>
    <xdr:to>
      <xdr:col>30</xdr:col>
      <xdr:colOff>0</xdr:colOff>
      <xdr:row>67</xdr:row>
      <xdr:rowOff>0</xdr:rowOff>
    </xdr:to>
    <xdr:sp macro="" textlink="">
      <xdr:nvSpPr>
        <xdr:cNvPr id="7" name="Line 11">
          <a:extLst>
            <a:ext uri="{FF2B5EF4-FFF2-40B4-BE49-F238E27FC236}">
              <a16:creationId xmlns:a16="http://schemas.microsoft.com/office/drawing/2014/main" id="{3364D94F-0A3C-4E5F-BEFB-F19CAF198111}"/>
            </a:ext>
          </a:extLst>
        </xdr:cNvPr>
        <xdr:cNvSpPr>
          <a:spLocks noChangeShapeType="1"/>
        </xdr:cNvSpPr>
      </xdr:nvSpPr>
      <xdr:spPr bwMode="auto">
        <a:xfrm>
          <a:off x="18516600" y="15287625"/>
          <a:ext cx="0" cy="0"/>
        </a:xfrm>
        <a:prstGeom prst="line">
          <a:avLst/>
        </a:prstGeom>
        <a:noFill/>
        <a:ln w="9525">
          <a:solidFill>
            <a:srgbClr val="000000"/>
          </a:solidFill>
          <a:prstDash val="sysDot"/>
          <a:round/>
          <a:headEnd/>
          <a:tailEnd/>
        </a:ln>
      </xdr:spPr>
    </xdr:sp>
    <xdr:clientData/>
  </xdr:twoCellAnchor>
  <xdr:twoCellAnchor>
    <xdr:from>
      <xdr:col>0</xdr:col>
      <xdr:colOff>38100</xdr:colOff>
      <xdr:row>56</xdr:row>
      <xdr:rowOff>0</xdr:rowOff>
    </xdr:from>
    <xdr:to>
      <xdr:col>4</xdr:col>
      <xdr:colOff>19050</xdr:colOff>
      <xdr:row>56</xdr:row>
      <xdr:rowOff>0</xdr:rowOff>
    </xdr:to>
    <xdr:sp macro="" textlink="">
      <xdr:nvSpPr>
        <xdr:cNvPr id="8" name="Line 1">
          <a:extLst>
            <a:ext uri="{FF2B5EF4-FFF2-40B4-BE49-F238E27FC236}">
              <a16:creationId xmlns:a16="http://schemas.microsoft.com/office/drawing/2014/main" id="{3F61193E-6465-4C34-8931-AFF2B7780C91}"/>
            </a:ext>
          </a:extLst>
        </xdr:cNvPr>
        <xdr:cNvSpPr>
          <a:spLocks noChangeShapeType="1"/>
        </xdr:cNvSpPr>
      </xdr:nvSpPr>
      <xdr:spPr bwMode="auto">
        <a:xfrm>
          <a:off x="38100" y="13716000"/>
          <a:ext cx="3514725" cy="0"/>
        </a:xfrm>
        <a:prstGeom prst="line">
          <a:avLst/>
        </a:prstGeom>
        <a:noFill/>
        <a:ln w="9525">
          <a:solidFill>
            <a:srgbClr val="000000"/>
          </a:solidFill>
          <a:prstDash val="sysDot"/>
          <a:round/>
          <a:headEnd/>
          <a:tailEnd/>
        </a:ln>
      </xdr:spPr>
    </xdr:sp>
    <xdr:clientData/>
  </xdr:twoCellAnchor>
  <xdr:twoCellAnchor>
    <xdr:from>
      <xdr:col>30</xdr:col>
      <xdr:colOff>0</xdr:colOff>
      <xdr:row>52</xdr:row>
      <xdr:rowOff>0</xdr:rowOff>
    </xdr:from>
    <xdr:to>
      <xdr:col>30</xdr:col>
      <xdr:colOff>0</xdr:colOff>
      <xdr:row>52</xdr:row>
      <xdr:rowOff>0</xdr:rowOff>
    </xdr:to>
    <xdr:sp macro="" textlink="">
      <xdr:nvSpPr>
        <xdr:cNvPr id="9" name="Line 5">
          <a:extLst>
            <a:ext uri="{FF2B5EF4-FFF2-40B4-BE49-F238E27FC236}">
              <a16:creationId xmlns:a16="http://schemas.microsoft.com/office/drawing/2014/main" id="{8155706D-7C7F-439E-82DE-1D2F595045A0}"/>
            </a:ext>
          </a:extLst>
        </xdr:cNvPr>
        <xdr:cNvSpPr>
          <a:spLocks noChangeShapeType="1"/>
        </xdr:cNvSpPr>
      </xdr:nvSpPr>
      <xdr:spPr bwMode="auto">
        <a:xfrm>
          <a:off x="18516600" y="13144500"/>
          <a:ext cx="0" cy="0"/>
        </a:xfrm>
        <a:prstGeom prst="line">
          <a:avLst/>
        </a:prstGeom>
        <a:noFill/>
        <a:ln w="9525">
          <a:solidFill>
            <a:srgbClr val="000000"/>
          </a:solidFill>
          <a:prstDash val="sysDot"/>
          <a:round/>
          <a:headEnd/>
          <a:tailEnd/>
        </a:ln>
      </xdr:spPr>
    </xdr:sp>
    <xdr:clientData/>
  </xdr:twoCellAnchor>
  <xdr:twoCellAnchor>
    <xdr:from>
      <xdr:col>0</xdr:col>
      <xdr:colOff>0</xdr:colOff>
      <xdr:row>50</xdr:row>
      <xdr:rowOff>137583</xdr:rowOff>
    </xdr:from>
    <xdr:to>
      <xdr:col>3</xdr:col>
      <xdr:colOff>487892</xdr:colOff>
      <xdr:row>50</xdr:row>
      <xdr:rowOff>137583</xdr:rowOff>
    </xdr:to>
    <xdr:sp macro="" textlink="">
      <xdr:nvSpPr>
        <xdr:cNvPr id="10" name="Line 6">
          <a:extLst>
            <a:ext uri="{FF2B5EF4-FFF2-40B4-BE49-F238E27FC236}">
              <a16:creationId xmlns:a16="http://schemas.microsoft.com/office/drawing/2014/main" id="{E54E1466-79D2-4F4A-AEF6-F96C0462FFEA}"/>
            </a:ext>
          </a:extLst>
        </xdr:cNvPr>
        <xdr:cNvSpPr>
          <a:spLocks noChangeShapeType="1"/>
        </xdr:cNvSpPr>
      </xdr:nvSpPr>
      <xdr:spPr bwMode="auto">
        <a:xfrm>
          <a:off x="0" y="12996333"/>
          <a:ext cx="2850092" cy="0"/>
        </a:xfrm>
        <a:prstGeom prst="line">
          <a:avLst/>
        </a:prstGeom>
        <a:noFill/>
        <a:ln w="9525">
          <a:solidFill>
            <a:srgbClr val="000000"/>
          </a:solidFill>
          <a:prstDash val="sysDot"/>
          <a:round/>
          <a:headEnd/>
          <a:tailEnd/>
        </a:ln>
      </xdr:spPr>
    </xdr:sp>
    <xdr:clientData/>
  </xdr:twoCellAnchor>
  <xdr:twoCellAnchor>
    <xdr:from>
      <xdr:col>30</xdr:col>
      <xdr:colOff>0</xdr:colOff>
      <xdr:row>54</xdr:row>
      <xdr:rowOff>0</xdr:rowOff>
    </xdr:from>
    <xdr:to>
      <xdr:col>30</xdr:col>
      <xdr:colOff>9525</xdr:colOff>
      <xdr:row>54</xdr:row>
      <xdr:rowOff>0</xdr:rowOff>
    </xdr:to>
    <xdr:sp macro="" textlink="">
      <xdr:nvSpPr>
        <xdr:cNvPr id="11" name="Line 7">
          <a:extLst>
            <a:ext uri="{FF2B5EF4-FFF2-40B4-BE49-F238E27FC236}">
              <a16:creationId xmlns:a16="http://schemas.microsoft.com/office/drawing/2014/main" id="{7F7DD44E-6205-4060-B7FD-E4B57EB2378B}"/>
            </a:ext>
          </a:extLst>
        </xdr:cNvPr>
        <xdr:cNvSpPr>
          <a:spLocks noChangeShapeType="1"/>
        </xdr:cNvSpPr>
      </xdr:nvSpPr>
      <xdr:spPr bwMode="auto">
        <a:xfrm>
          <a:off x="18516600" y="13430250"/>
          <a:ext cx="9525" cy="0"/>
        </a:xfrm>
        <a:prstGeom prst="line">
          <a:avLst/>
        </a:prstGeom>
        <a:noFill/>
        <a:ln w="9525">
          <a:solidFill>
            <a:srgbClr val="000000"/>
          </a:solidFill>
          <a:prstDash val="sysDot"/>
          <a:round/>
          <a:headEnd/>
          <a:tailEnd/>
        </a:ln>
      </xdr:spPr>
    </xdr:sp>
    <xdr:clientData/>
  </xdr:twoCellAnchor>
  <xdr:twoCellAnchor>
    <xdr:from>
      <xdr:col>30</xdr:col>
      <xdr:colOff>0</xdr:colOff>
      <xdr:row>60</xdr:row>
      <xdr:rowOff>0</xdr:rowOff>
    </xdr:from>
    <xdr:to>
      <xdr:col>30</xdr:col>
      <xdr:colOff>0</xdr:colOff>
      <xdr:row>60</xdr:row>
      <xdr:rowOff>0</xdr:rowOff>
    </xdr:to>
    <xdr:sp macro="" textlink="">
      <xdr:nvSpPr>
        <xdr:cNvPr id="12" name="Line 8">
          <a:extLst>
            <a:ext uri="{FF2B5EF4-FFF2-40B4-BE49-F238E27FC236}">
              <a16:creationId xmlns:a16="http://schemas.microsoft.com/office/drawing/2014/main" id="{6FECECC2-4712-4516-921C-8CB2421D9453}"/>
            </a:ext>
          </a:extLst>
        </xdr:cNvPr>
        <xdr:cNvSpPr>
          <a:spLocks noChangeShapeType="1"/>
        </xdr:cNvSpPr>
      </xdr:nvSpPr>
      <xdr:spPr bwMode="auto">
        <a:xfrm>
          <a:off x="18516600" y="14287500"/>
          <a:ext cx="0" cy="0"/>
        </a:xfrm>
        <a:prstGeom prst="line">
          <a:avLst/>
        </a:prstGeom>
        <a:noFill/>
        <a:ln w="9525">
          <a:solidFill>
            <a:srgbClr val="000000"/>
          </a:solidFill>
          <a:prstDash val="sysDot"/>
          <a:round/>
          <a:headEnd/>
          <a:tailEnd/>
        </a:ln>
      </xdr:spPr>
    </xdr:sp>
    <xdr:clientData/>
  </xdr:twoCellAnchor>
  <xdr:twoCellAnchor>
    <xdr:from>
      <xdr:col>30</xdr:col>
      <xdr:colOff>0</xdr:colOff>
      <xdr:row>61</xdr:row>
      <xdr:rowOff>0</xdr:rowOff>
    </xdr:from>
    <xdr:to>
      <xdr:col>30</xdr:col>
      <xdr:colOff>0</xdr:colOff>
      <xdr:row>61</xdr:row>
      <xdr:rowOff>0</xdr:rowOff>
    </xdr:to>
    <xdr:sp macro="" textlink="">
      <xdr:nvSpPr>
        <xdr:cNvPr id="13" name="Line 10">
          <a:extLst>
            <a:ext uri="{FF2B5EF4-FFF2-40B4-BE49-F238E27FC236}">
              <a16:creationId xmlns:a16="http://schemas.microsoft.com/office/drawing/2014/main" id="{A35390A5-0DA7-489C-A8DF-084AACAB272F}"/>
            </a:ext>
          </a:extLst>
        </xdr:cNvPr>
        <xdr:cNvSpPr>
          <a:spLocks noChangeShapeType="1"/>
        </xdr:cNvSpPr>
      </xdr:nvSpPr>
      <xdr:spPr bwMode="auto">
        <a:xfrm>
          <a:off x="18516600" y="14430375"/>
          <a:ext cx="0" cy="0"/>
        </a:xfrm>
        <a:prstGeom prst="line">
          <a:avLst/>
        </a:prstGeom>
        <a:noFill/>
        <a:ln w="9525">
          <a:solidFill>
            <a:srgbClr val="000000"/>
          </a:solidFill>
          <a:prstDash val="sysDot"/>
          <a:round/>
          <a:headEnd/>
          <a:tailEnd/>
        </a:ln>
      </xdr:spPr>
    </xdr:sp>
    <xdr:clientData/>
  </xdr:twoCellAnchor>
  <xdr:twoCellAnchor>
    <xdr:from>
      <xdr:col>30</xdr:col>
      <xdr:colOff>0</xdr:colOff>
      <xdr:row>63</xdr:row>
      <xdr:rowOff>0</xdr:rowOff>
    </xdr:from>
    <xdr:to>
      <xdr:col>30</xdr:col>
      <xdr:colOff>0</xdr:colOff>
      <xdr:row>63</xdr:row>
      <xdr:rowOff>0</xdr:rowOff>
    </xdr:to>
    <xdr:sp macro="" textlink="">
      <xdr:nvSpPr>
        <xdr:cNvPr id="14" name="Line 11">
          <a:extLst>
            <a:ext uri="{FF2B5EF4-FFF2-40B4-BE49-F238E27FC236}">
              <a16:creationId xmlns:a16="http://schemas.microsoft.com/office/drawing/2014/main" id="{4943DC7C-4994-469F-8DBB-4C850AC8163D}"/>
            </a:ext>
          </a:extLst>
        </xdr:cNvPr>
        <xdr:cNvSpPr>
          <a:spLocks noChangeShapeType="1"/>
        </xdr:cNvSpPr>
      </xdr:nvSpPr>
      <xdr:spPr bwMode="auto">
        <a:xfrm>
          <a:off x="18516600" y="14716125"/>
          <a:ext cx="0" cy="0"/>
        </a:xfrm>
        <a:prstGeom prst="line">
          <a:avLst/>
        </a:prstGeom>
        <a:noFill/>
        <a:ln w="9525">
          <a:solidFill>
            <a:srgbClr val="000000"/>
          </a:solidFill>
          <a:prstDash val="sysDot"/>
          <a:round/>
          <a:headEnd/>
          <a:tailEnd/>
        </a:ln>
      </xdr:spPr>
    </xdr:sp>
    <xdr:clientData/>
  </xdr:twoCellAnchor>
  <xdr:twoCellAnchor>
    <xdr:from>
      <xdr:col>1</xdr:col>
      <xdr:colOff>90436</xdr:colOff>
      <xdr:row>48</xdr:row>
      <xdr:rowOff>146538</xdr:rowOff>
    </xdr:from>
    <xdr:to>
      <xdr:col>5</xdr:col>
      <xdr:colOff>71386</xdr:colOff>
      <xdr:row>48</xdr:row>
      <xdr:rowOff>146538</xdr:rowOff>
    </xdr:to>
    <xdr:sp macro="" textlink="">
      <xdr:nvSpPr>
        <xdr:cNvPr id="15" name="Line 1">
          <a:extLst>
            <a:ext uri="{FF2B5EF4-FFF2-40B4-BE49-F238E27FC236}">
              <a16:creationId xmlns:a16="http://schemas.microsoft.com/office/drawing/2014/main" id="{738953AE-E1E0-416B-840A-4D0BB3534C33}"/>
            </a:ext>
          </a:extLst>
        </xdr:cNvPr>
        <xdr:cNvSpPr>
          <a:spLocks noChangeShapeType="1"/>
        </xdr:cNvSpPr>
      </xdr:nvSpPr>
      <xdr:spPr bwMode="auto">
        <a:xfrm>
          <a:off x="366661" y="12700488"/>
          <a:ext cx="3886200" cy="0"/>
        </a:xfrm>
        <a:prstGeom prst="line">
          <a:avLst/>
        </a:prstGeom>
        <a:noFill/>
        <a:ln w="9525">
          <a:solidFill>
            <a:srgbClr val="000000"/>
          </a:solidFill>
          <a:prstDash val="sysDot"/>
          <a:round/>
          <a:headEnd/>
          <a:tailEnd/>
        </a:ln>
      </xdr:spPr>
    </xdr:sp>
    <xdr:clientData/>
  </xdr:twoCellAnchor>
  <xdr:twoCellAnchor>
    <xdr:from>
      <xdr:col>29</xdr:col>
      <xdr:colOff>0</xdr:colOff>
      <xdr:row>45</xdr:row>
      <xdr:rowOff>0</xdr:rowOff>
    </xdr:from>
    <xdr:to>
      <xdr:col>29</xdr:col>
      <xdr:colOff>0</xdr:colOff>
      <xdr:row>45</xdr:row>
      <xdr:rowOff>0</xdr:rowOff>
    </xdr:to>
    <xdr:sp macro="" textlink="">
      <xdr:nvSpPr>
        <xdr:cNvPr id="16" name="Line 5">
          <a:extLst>
            <a:ext uri="{FF2B5EF4-FFF2-40B4-BE49-F238E27FC236}">
              <a16:creationId xmlns:a16="http://schemas.microsoft.com/office/drawing/2014/main" id="{23DAE024-0C44-4A86-A037-97607841D3AC}"/>
            </a:ext>
          </a:extLst>
        </xdr:cNvPr>
        <xdr:cNvSpPr>
          <a:spLocks noChangeShapeType="1"/>
        </xdr:cNvSpPr>
      </xdr:nvSpPr>
      <xdr:spPr bwMode="auto">
        <a:xfrm>
          <a:off x="17916525" y="12230100"/>
          <a:ext cx="0" cy="0"/>
        </a:xfrm>
        <a:prstGeom prst="line">
          <a:avLst/>
        </a:prstGeom>
        <a:noFill/>
        <a:ln w="9525">
          <a:solidFill>
            <a:srgbClr val="000000"/>
          </a:solidFill>
          <a:prstDash val="sysDot"/>
          <a:round/>
          <a:headEnd/>
          <a:tailEnd/>
        </a:ln>
      </xdr:spPr>
    </xdr:sp>
    <xdr:clientData/>
  </xdr:twoCellAnchor>
  <xdr:twoCellAnchor>
    <xdr:from>
      <xdr:col>29</xdr:col>
      <xdr:colOff>0</xdr:colOff>
      <xdr:row>47</xdr:row>
      <xdr:rowOff>0</xdr:rowOff>
    </xdr:from>
    <xdr:to>
      <xdr:col>29</xdr:col>
      <xdr:colOff>9525</xdr:colOff>
      <xdr:row>47</xdr:row>
      <xdr:rowOff>0</xdr:rowOff>
    </xdr:to>
    <xdr:sp macro="" textlink="">
      <xdr:nvSpPr>
        <xdr:cNvPr id="17" name="Line 7">
          <a:extLst>
            <a:ext uri="{FF2B5EF4-FFF2-40B4-BE49-F238E27FC236}">
              <a16:creationId xmlns:a16="http://schemas.microsoft.com/office/drawing/2014/main" id="{681CF762-A5E8-4101-B53A-9AAF91103C69}"/>
            </a:ext>
          </a:extLst>
        </xdr:cNvPr>
        <xdr:cNvSpPr>
          <a:spLocks noChangeShapeType="1"/>
        </xdr:cNvSpPr>
      </xdr:nvSpPr>
      <xdr:spPr bwMode="auto">
        <a:xfrm>
          <a:off x="17916525" y="12392025"/>
          <a:ext cx="9525" cy="0"/>
        </a:xfrm>
        <a:prstGeom prst="line">
          <a:avLst/>
        </a:prstGeom>
        <a:noFill/>
        <a:ln w="9525">
          <a:solidFill>
            <a:srgbClr val="000000"/>
          </a:solidFill>
          <a:prstDash val="sysDot"/>
          <a:round/>
          <a:headEnd/>
          <a:tailEnd/>
        </a:ln>
      </xdr:spPr>
    </xdr:sp>
    <xdr:clientData/>
  </xdr:twoCellAnchor>
  <xdr:twoCellAnchor>
    <xdr:from>
      <xdr:col>29</xdr:col>
      <xdr:colOff>0</xdr:colOff>
      <xdr:row>53</xdr:row>
      <xdr:rowOff>0</xdr:rowOff>
    </xdr:from>
    <xdr:to>
      <xdr:col>29</xdr:col>
      <xdr:colOff>0</xdr:colOff>
      <xdr:row>53</xdr:row>
      <xdr:rowOff>0</xdr:rowOff>
    </xdr:to>
    <xdr:sp macro="" textlink="">
      <xdr:nvSpPr>
        <xdr:cNvPr id="18" name="Line 8">
          <a:extLst>
            <a:ext uri="{FF2B5EF4-FFF2-40B4-BE49-F238E27FC236}">
              <a16:creationId xmlns:a16="http://schemas.microsoft.com/office/drawing/2014/main" id="{8B087A8B-AEB8-48F2-9FF9-A5A1C47D5201}"/>
            </a:ext>
          </a:extLst>
        </xdr:cNvPr>
        <xdr:cNvSpPr>
          <a:spLocks noChangeShapeType="1"/>
        </xdr:cNvSpPr>
      </xdr:nvSpPr>
      <xdr:spPr bwMode="auto">
        <a:xfrm>
          <a:off x="17916525" y="13287375"/>
          <a:ext cx="0" cy="0"/>
        </a:xfrm>
        <a:prstGeom prst="line">
          <a:avLst/>
        </a:prstGeom>
        <a:noFill/>
        <a:ln w="9525">
          <a:solidFill>
            <a:srgbClr val="000000"/>
          </a:solidFill>
          <a:prstDash val="sysDot"/>
          <a:round/>
          <a:headEnd/>
          <a:tailEnd/>
        </a:ln>
      </xdr:spPr>
    </xdr:sp>
    <xdr:clientData/>
  </xdr:twoCellAnchor>
  <xdr:twoCellAnchor>
    <xdr:from>
      <xdr:col>29</xdr:col>
      <xdr:colOff>0</xdr:colOff>
      <xdr:row>54</xdr:row>
      <xdr:rowOff>0</xdr:rowOff>
    </xdr:from>
    <xdr:to>
      <xdr:col>29</xdr:col>
      <xdr:colOff>0</xdr:colOff>
      <xdr:row>54</xdr:row>
      <xdr:rowOff>0</xdr:rowOff>
    </xdr:to>
    <xdr:sp macro="" textlink="">
      <xdr:nvSpPr>
        <xdr:cNvPr id="19" name="Line 10">
          <a:extLst>
            <a:ext uri="{FF2B5EF4-FFF2-40B4-BE49-F238E27FC236}">
              <a16:creationId xmlns:a16="http://schemas.microsoft.com/office/drawing/2014/main" id="{C9CEF6ED-355B-439A-88FC-6447CA66DCDF}"/>
            </a:ext>
          </a:extLst>
        </xdr:cNvPr>
        <xdr:cNvSpPr>
          <a:spLocks noChangeShapeType="1"/>
        </xdr:cNvSpPr>
      </xdr:nvSpPr>
      <xdr:spPr bwMode="auto">
        <a:xfrm>
          <a:off x="17916525" y="13430250"/>
          <a:ext cx="0" cy="0"/>
        </a:xfrm>
        <a:prstGeom prst="line">
          <a:avLst/>
        </a:prstGeom>
        <a:noFill/>
        <a:ln w="9525">
          <a:solidFill>
            <a:srgbClr val="000000"/>
          </a:solidFill>
          <a:prstDash val="sysDot"/>
          <a:round/>
          <a:headEnd/>
          <a:tailEnd/>
        </a:ln>
      </xdr:spPr>
    </xdr:sp>
    <xdr:clientData/>
  </xdr:twoCellAnchor>
  <xdr:twoCellAnchor>
    <xdr:from>
      <xdr:col>29</xdr:col>
      <xdr:colOff>0</xdr:colOff>
      <xdr:row>56</xdr:row>
      <xdr:rowOff>0</xdr:rowOff>
    </xdr:from>
    <xdr:to>
      <xdr:col>29</xdr:col>
      <xdr:colOff>0</xdr:colOff>
      <xdr:row>56</xdr:row>
      <xdr:rowOff>0</xdr:rowOff>
    </xdr:to>
    <xdr:sp macro="" textlink="">
      <xdr:nvSpPr>
        <xdr:cNvPr id="20" name="Line 11">
          <a:extLst>
            <a:ext uri="{FF2B5EF4-FFF2-40B4-BE49-F238E27FC236}">
              <a16:creationId xmlns:a16="http://schemas.microsoft.com/office/drawing/2014/main" id="{BC9FABF0-B4A6-4611-9A72-F50CEDD9DB40}"/>
            </a:ext>
          </a:extLst>
        </xdr:cNvPr>
        <xdr:cNvSpPr>
          <a:spLocks noChangeShapeType="1"/>
        </xdr:cNvSpPr>
      </xdr:nvSpPr>
      <xdr:spPr bwMode="auto">
        <a:xfrm>
          <a:off x="17916525" y="13716000"/>
          <a:ext cx="0" cy="0"/>
        </a:xfrm>
        <a:prstGeom prst="line">
          <a:avLst/>
        </a:prstGeom>
        <a:noFill/>
        <a:ln w="9525">
          <a:solidFill>
            <a:srgbClr val="000000"/>
          </a:solidFill>
          <a:prstDash val="sysDot"/>
          <a:round/>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Eya\PAYROLL\2025\REG\Payroll-%20sal%20diff%20(aug-sept%202025).xlsx" TargetMode="External"/><Relationship Id="rId1" Type="http://schemas.openxmlformats.org/officeDocument/2006/relationships/externalLinkPath" Target="/Users/Admin/Desktop/Eya/PAYROLL/2025/REG/Payroll-%20sal%20diff%20(aug-sept%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O#1"/>
      <sheetName val="JOmto"/>
      <sheetName val="JO#02"/>
      <sheetName val="JO#LDRRM"/>
      <sheetName val="JO#5%DP"/>
      <sheetName val="JO#20%LDC"/>
      <sheetName val="JO#20%DF"/>
      <sheetName val="JO#MHO"/>
      <sheetName val="JO#SB"/>
      <sheetName val="Casual allow SB"/>
      <sheetName val="Casual allow"/>
      <sheetName val="CasualMHO1-15"/>
      <sheetName val="CasualMTO16-31"/>
      <sheetName val="CasualMHO16-31"/>
      <sheetName val="Casual 1-15 (SB)"/>
      <sheetName val="CasualSb16-31"/>
      <sheetName val="Casual 1-15"/>
      <sheetName val="Casual 16-31"/>
      <sheetName val="Reg1(1-15)"/>
      <sheetName val="Reg.2(1-15)"/>
      <sheetName val="Reg.3(1-15)"/>
      <sheetName val="Reg.4(1-15)"/>
      <sheetName val="SB(1-15)"/>
      <sheetName val="new hired co terminus"/>
      <sheetName val="RECAP"/>
      <sheetName val="tota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2">
          <cell r="F12">
            <v>80012</v>
          </cell>
        </row>
        <row r="14">
          <cell r="G14">
            <v>14308</v>
          </cell>
        </row>
        <row r="18">
          <cell r="G18">
            <v>34177</v>
          </cell>
        </row>
        <row r="24">
          <cell r="G24">
            <v>86091</v>
          </cell>
        </row>
        <row r="30">
          <cell r="G30">
            <v>43608</v>
          </cell>
        </row>
        <row r="31">
          <cell r="G31">
            <v>25520</v>
          </cell>
        </row>
        <row r="36">
          <cell r="G36">
            <v>21922</v>
          </cell>
        </row>
        <row r="37">
          <cell r="G37">
            <v>18563</v>
          </cell>
        </row>
        <row r="40">
          <cell r="G40">
            <v>21748</v>
          </cell>
        </row>
        <row r="41">
          <cell r="G41">
            <v>21748</v>
          </cell>
        </row>
        <row r="42">
          <cell r="G42">
            <v>14189</v>
          </cell>
        </row>
        <row r="43">
          <cell r="G43">
            <v>13675</v>
          </cell>
        </row>
        <row r="44">
          <cell r="G44">
            <v>13675</v>
          </cell>
        </row>
        <row r="45">
          <cell r="G45">
            <v>13575</v>
          </cell>
        </row>
        <row r="48">
          <cell r="G48">
            <v>83457</v>
          </cell>
        </row>
        <row r="49">
          <cell r="G49">
            <v>25520</v>
          </cell>
        </row>
        <row r="50">
          <cell r="G50">
            <v>25762</v>
          </cell>
        </row>
        <row r="52">
          <cell r="G52">
            <v>14414</v>
          </cell>
        </row>
        <row r="54">
          <cell r="G54">
            <v>14308</v>
          </cell>
        </row>
      </sheetData>
      <sheetData sheetId="19">
        <row r="12">
          <cell r="F12">
            <v>89571</v>
          </cell>
          <cell r="G12">
            <v>93016</v>
          </cell>
        </row>
        <row r="14">
          <cell r="G14">
            <v>25520</v>
          </cell>
        </row>
        <row r="15">
          <cell r="G15">
            <v>22810</v>
          </cell>
        </row>
        <row r="17">
          <cell r="G17">
            <v>21748</v>
          </cell>
        </row>
        <row r="19">
          <cell r="G19">
            <v>16113</v>
          </cell>
        </row>
        <row r="20">
          <cell r="G20">
            <v>14521</v>
          </cell>
        </row>
        <row r="21">
          <cell r="G21">
            <v>14308</v>
          </cell>
        </row>
        <row r="22">
          <cell r="G22">
            <v>14308</v>
          </cell>
        </row>
        <row r="23">
          <cell r="G23">
            <v>13474</v>
          </cell>
        </row>
        <row r="24">
          <cell r="G24">
            <v>13474</v>
          </cell>
        </row>
        <row r="25">
          <cell r="G25">
            <v>13474</v>
          </cell>
        </row>
        <row r="29">
          <cell r="G29">
            <v>67385</v>
          </cell>
        </row>
        <row r="31">
          <cell r="G31">
            <v>31470</v>
          </cell>
        </row>
        <row r="33">
          <cell r="G33">
            <v>17735</v>
          </cell>
        </row>
        <row r="37">
          <cell r="G37">
            <v>16113</v>
          </cell>
        </row>
        <row r="39">
          <cell r="G39">
            <v>13575</v>
          </cell>
        </row>
        <row r="40">
          <cell r="G40">
            <v>13575</v>
          </cell>
        </row>
        <row r="44">
          <cell r="G44">
            <v>13474</v>
          </cell>
        </row>
        <row r="47">
          <cell r="G47">
            <v>88811</v>
          </cell>
        </row>
        <row r="48">
          <cell r="G48">
            <v>34513</v>
          </cell>
        </row>
        <row r="51">
          <cell r="G51">
            <v>14521</v>
          </cell>
        </row>
      </sheetData>
      <sheetData sheetId="20">
        <row r="12">
          <cell r="F12">
            <v>109431</v>
          </cell>
        </row>
        <row r="13">
          <cell r="F13">
            <v>50735</v>
          </cell>
        </row>
        <row r="15">
          <cell r="F15">
            <v>40604</v>
          </cell>
        </row>
        <row r="16">
          <cell r="F16">
            <v>40604</v>
          </cell>
        </row>
        <row r="17">
          <cell r="F17">
            <v>40604</v>
          </cell>
        </row>
        <row r="18">
          <cell r="F18">
            <v>40604</v>
          </cell>
        </row>
        <row r="20">
          <cell r="F20">
            <v>34421</v>
          </cell>
        </row>
        <row r="21">
          <cell r="F21">
            <v>30308</v>
          </cell>
        </row>
        <row r="22">
          <cell r="F22">
            <v>30308</v>
          </cell>
        </row>
        <row r="23">
          <cell r="F23">
            <v>30308</v>
          </cell>
        </row>
        <row r="24">
          <cell r="F24">
            <v>30024</v>
          </cell>
        </row>
        <row r="25">
          <cell r="F25">
            <v>30308</v>
          </cell>
        </row>
        <row r="26">
          <cell r="F26">
            <v>22035</v>
          </cell>
        </row>
        <row r="27">
          <cell r="F27">
            <v>21642</v>
          </cell>
        </row>
        <row r="30">
          <cell r="F30">
            <v>17209</v>
          </cell>
        </row>
        <row r="32">
          <cell r="F32">
            <v>16088</v>
          </cell>
        </row>
        <row r="36">
          <cell r="F36">
            <v>13575</v>
          </cell>
        </row>
        <row r="39">
          <cell r="F39">
            <v>13675</v>
          </cell>
        </row>
        <row r="43">
          <cell r="F43">
            <v>19417</v>
          </cell>
        </row>
        <row r="44">
          <cell r="F44">
            <v>18563</v>
          </cell>
        </row>
        <row r="45">
          <cell r="F45">
            <v>18396</v>
          </cell>
        </row>
        <row r="46">
          <cell r="F46">
            <v>16969</v>
          </cell>
        </row>
        <row r="47">
          <cell r="F47">
            <v>16233</v>
          </cell>
        </row>
        <row r="49">
          <cell r="F49">
            <v>14521</v>
          </cell>
        </row>
        <row r="50">
          <cell r="F50">
            <v>14414</v>
          </cell>
        </row>
        <row r="53">
          <cell r="F53">
            <v>13675</v>
          </cell>
        </row>
        <row r="54">
          <cell r="F54">
            <v>13575</v>
          </cell>
        </row>
        <row r="55">
          <cell r="F55">
            <v>13575</v>
          </cell>
        </row>
        <row r="61">
          <cell r="F61">
            <v>34177</v>
          </cell>
        </row>
        <row r="62">
          <cell r="F62">
            <v>25520</v>
          </cell>
        </row>
        <row r="63">
          <cell r="F63">
            <v>18563</v>
          </cell>
        </row>
        <row r="64">
          <cell r="F64">
            <v>16113</v>
          </cell>
        </row>
        <row r="65">
          <cell r="F65">
            <v>13675</v>
          </cell>
        </row>
        <row r="66">
          <cell r="F66">
            <v>13675</v>
          </cell>
        </row>
        <row r="67">
          <cell r="F67">
            <v>13474</v>
          </cell>
        </row>
      </sheetData>
      <sheetData sheetId="21">
        <row r="12">
          <cell r="F12">
            <v>83457</v>
          </cell>
        </row>
        <row r="13">
          <cell r="F13">
            <v>14521</v>
          </cell>
        </row>
        <row r="14">
          <cell r="F14">
            <v>14189</v>
          </cell>
        </row>
        <row r="15">
          <cell r="F15">
            <v>14189</v>
          </cell>
        </row>
        <row r="18">
          <cell r="F18">
            <v>13675</v>
          </cell>
        </row>
        <row r="22">
          <cell r="F22">
            <v>13474</v>
          </cell>
        </row>
        <row r="25">
          <cell r="F25">
            <v>90205</v>
          </cell>
        </row>
        <row r="26">
          <cell r="F26">
            <v>37026</v>
          </cell>
        </row>
        <row r="28">
          <cell r="F28">
            <v>13675</v>
          </cell>
        </row>
        <row r="29">
          <cell r="F29">
            <v>13474</v>
          </cell>
        </row>
        <row r="30">
          <cell r="F30">
            <v>13474</v>
          </cell>
        </row>
        <row r="31">
          <cell r="F31">
            <v>13474</v>
          </cell>
        </row>
        <row r="34">
          <cell r="F34">
            <v>87440</v>
          </cell>
        </row>
        <row r="35">
          <cell r="F35">
            <v>18730</v>
          </cell>
        </row>
        <row r="36">
          <cell r="F36">
            <v>14189</v>
          </cell>
        </row>
        <row r="38">
          <cell r="F38">
            <v>13675</v>
          </cell>
        </row>
        <row r="39">
          <cell r="F39">
            <v>13675</v>
          </cell>
        </row>
        <row r="40">
          <cell r="F40">
            <v>13474</v>
          </cell>
        </row>
        <row r="43">
          <cell r="F43">
            <v>13675</v>
          </cell>
        </row>
        <row r="44">
          <cell r="F44">
            <v>13675</v>
          </cell>
        </row>
        <row r="47">
          <cell r="F47">
            <v>11952</v>
          </cell>
        </row>
        <row r="48">
          <cell r="F48">
            <v>13474</v>
          </cell>
        </row>
        <row r="51">
          <cell r="F51">
            <v>17094</v>
          </cell>
        </row>
        <row r="52">
          <cell r="F52">
            <v>14414</v>
          </cell>
        </row>
        <row r="53">
          <cell r="F53">
            <v>14308</v>
          </cell>
        </row>
        <row r="54">
          <cell r="F54">
            <v>14308</v>
          </cell>
        </row>
        <row r="55">
          <cell r="F55">
            <v>14308</v>
          </cell>
        </row>
        <row r="56">
          <cell r="F56">
            <v>14308</v>
          </cell>
        </row>
        <row r="57">
          <cell r="F57">
            <v>13474</v>
          </cell>
        </row>
        <row r="58">
          <cell r="F58">
            <v>13474</v>
          </cell>
        </row>
        <row r="59">
          <cell r="F59">
            <v>13474</v>
          </cell>
        </row>
        <row r="60">
          <cell r="F60">
            <v>13474</v>
          </cell>
        </row>
      </sheetData>
      <sheetData sheetId="22">
        <row r="12">
          <cell r="F12">
            <v>94968</v>
          </cell>
        </row>
        <row r="20">
          <cell r="F20">
            <v>84763</v>
          </cell>
        </row>
        <row r="21">
          <cell r="F21">
            <v>83457</v>
          </cell>
        </row>
        <row r="22">
          <cell r="F22">
            <v>83457</v>
          </cell>
        </row>
        <row r="23">
          <cell r="F23">
            <v>87440</v>
          </cell>
        </row>
        <row r="24">
          <cell r="F24">
            <v>87440</v>
          </cell>
        </row>
        <row r="25">
          <cell r="F25">
            <v>83457</v>
          </cell>
        </row>
        <row r="26">
          <cell r="F26">
            <v>87440</v>
          </cell>
        </row>
        <row r="27">
          <cell r="F27">
            <v>83457</v>
          </cell>
        </row>
        <row r="28">
          <cell r="F28">
            <v>83457</v>
          </cell>
        </row>
        <row r="29">
          <cell r="F29">
            <v>44057</v>
          </cell>
        </row>
        <row r="30">
          <cell r="F30">
            <v>22097</v>
          </cell>
        </row>
        <row r="31">
          <cell r="F31">
            <v>14308</v>
          </cell>
        </row>
        <row r="32">
          <cell r="F32">
            <v>14308</v>
          </cell>
        </row>
        <row r="33">
          <cell r="F33">
            <v>13575</v>
          </cell>
        </row>
        <row r="34">
          <cell r="F34">
            <v>13474</v>
          </cell>
        </row>
        <row r="37">
          <cell r="F37">
            <v>93016</v>
          </cell>
        </row>
        <row r="38">
          <cell r="F38">
            <v>22097</v>
          </cell>
        </row>
        <row r="39">
          <cell r="F39">
            <v>21748</v>
          </cell>
        </row>
        <row r="40">
          <cell r="F40">
            <v>21748</v>
          </cell>
        </row>
        <row r="41">
          <cell r="F41">
            <v>18231</v>
          </cell>
        </row>
        <row r="42">
          <cell r="F42">
            <v>16233</v>
          </cell>
        </row>
      </sheetData>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4.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5.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6.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3.xml"/><Relationship Id="rId1" Type="http://schemas.openxmlformats.org/officeDocument/2006/relationships/printerSettings" Target="../printerSettings/printerSettings23.bin"/><Relationship Id="rId4"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4.xml"/><Relationship Id="rId1" Type="http://schemas.openxmlformats.org/officeDocument/2006/relationships/printerSettings" Target="../printerSettings/printerSettings24.bin"/><Relationship Id="rId4" Type="http://schemas.openxmlformats.org/officeDocument/2006/relationships/comments" Target="../comments8.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5.xml"/><Relationship Id="rId1" Type="http://schemas.openxmlformats.org/officeDocument/2006/relationships/printerSettings" Target="../printerSettings/printerSettings25.bin"/><Relationship Id="rId4" Type="http://schemas.openxmlformats.org/officeDocument/2006/relationships/comments" Target="../comments9.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6.xml"/><Relationship Id="rId1" Type="http://schemas.openxmlformats.org/officeDocument/2006/relationships/printerSettings" Target="../printerSettings/printerSettings26.bin"/><Relationship Id="rId4" Type="http://schemas.openxmlformats.org/officeDocument/2006/relationships/comments" Target="../comments10.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7.xml"/><Relationship Id="rId1" Type="http://schemas.openxmlformats.org/officeDocument/2006/relationships/printerSettings" Target="../printerSettings/printerSettings27.bin"/><Relationship Id="rId4" Type="http://schemas.openxmlformats.org/officeDocument/2006/relationships/comments" Target="../comments11.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8.xml"/><Relationship Id="rId1" Type="http://schemas.openxmlformats.org/officeDocument/2006/relationships/printerSettings" Target="../printerSettings/printerSettings28.bin"/><Relationship Id="rId4" Type="http://schemas.openxmlformats.org/officeDocument/2006/relationships/comments" Target="../comments12.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0.xml"/><Relationship Id="rId1" Type="http://schemas.openxmlformats.org/officeDocument/2006/relationships/printerSettings" Target="../printerSettings/printerSettings30.bin"/><Relationship Id="rId4" Type="http://schemas.openxmlformats.org/officeDocument/2006/relationships/comments" Target="../comments13.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1.xml"/><Relationship Id="rId1" Type="http://schemas.openxmlformats.org/officeDocument/2006/relationships/printerSettings" Target="../printerSettings/printerSettings31.bin"/><Relationship Id="rId4" Type="http://schemas.openxmlformats.org/officeDocument/2006/relationships/comments" Target="../comments14.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32.xml"/><Relationship Id="rId1" Type="http://schemas.openxmlformats.org/officeDocument/2006/relationships/printerSettings" Target="../printerSettings/printerSettings32.bin"/><Relationship Id="rId4" Type="http://schemas.openxmlformats.org/officeDocument/2006/relationships/comments" Target="../comments15.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9FF33"/>
    <pageSetUpPr fitToPage="1"/>
  </sheetPr>
  <dimension ref="A1:AF56"/>
  <sheetViews>
    <sheetView workbookViewId="0">
      <selection activeCell="D11" sqref="D11:E11"/>
    </sheetView>
  </sheetViews>
  <sheetFormatPr defaultColWidth="9.140625" defaultRowHeight="17.25" customHeight="1" x14ac:dyDescent="0.15"/>
  <cols>
    <col min="1" max="1" width="3" style="163" customWidth="1"/>
    <col min="2" max="2" width="27.85546875" style="164" customWidth="1"/>
    <col min="3" max="3" width="18.28515625" style="116" customWidth="1"/>
    <col min="4" max="4" width="8.5703125" style="116" customWidth="1"/>
    <col min="5" max="5" width="7.42578125" style="116" customWidth="1"/>
    <col min="6" max="6" width="10.85546875" style="116" customWidth="1"/>
    <col min="7" max="7" width="7.140625" style="131" customWidth="1"/>
    <col min="8" max="8" width="16.7109375" style="116" customWidth="1"/>
    <col min="9" max="9" width="9.85546875" style="116" customWidth="1"/>
    <col min="10" max="11" width="6.2851562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33.85546875" style="116" customWidth="1"/>
    <col min="32" max="32" width="16.8554687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21.75" customHeight="1" thickTop="1" x14ac:dyDescent="0.25">
      <c r="A4" s="761" t="s">
        <v>1</v>
      </c>
      <c r="B4" s="763" t="s">
        <v>2</v>
      </c>
      <c r="C4" s="765" t="s">
        <v>3</v>
      </c>
      <c r="D4" s="768" t="s">
        <v>4</v>
      </c>
      <c r="E4" s="768"/>
      <c r="F4" s="769"/>
      <c r="G4" s="294"/>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770"/>
      <c r="G5" s="295"/>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v>
      </c>
      <c r="AE5" s="124"/>
      <c r="AF5" s="124"/>
    </row>
    <row r="6" spans="1:32" s="125" customFormat="1" ht="17.25" customHeight="1" x14ac:dyDescent="0.15">
      <c r="A6" s="762"/>
      <c r="B6" s="764"/>
      <c r="C6" s="766"/>
      <c r="D6" s="762"/>
      <c r="E6" s="762"/>
      <c r="F6" s="779"/>
      <c r="G6" s="291"/>
      <c r="H6" s="772"/>
      <c r="I6" s="777"/>
      <c r="J6" s="785"/>
      <c r="K6" s="785"/>
      <c r="L6" s="785"/>
      <c r="M6" s="781" t="s">
        <v>160</v>
      </c>
      <c r="N6" s="774" t="s">
        <v>37</v>
      </c>
      <c r="O6" s="774" t="s">
        <v>18</v>
      </c>
      <c r="P6" s="786" t="s">
        <v>19</v>
      </c>
      <c r="Q6" s="787"/>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15">
      <c r="A7" s="762"/>
      <c r="B7" s="764"/>
      <c r="C7" s="766"/>
      <c r="D7" s="762"/>
      <c r="E7" s="762"/>
      <c r="F7" s="780"/>
      <c r="G7" s="292"/>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1" t="s">
        <v>205</v>
      </c>
      <c r="G8" s="299" t="s">
        <v>374</v>
      </c>
      <c r="H8" s="132"/>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20"/>
      <c r="G9" s="300" t="s">
        <v>375</v>
      </c>
      <c r="H9" s="132"/>
      <c r="I9" s="134"/>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6.5" customHeight="1" thickTop="1" x14ac:dyDescent="0.2">
      <c r="A11" s="144" t="s">
        <v>38</v>
      </c>
      <c r="B11" s="301">
        <v>1031</v>
      </c>
      <c r="C11" s="47"/>
      <c r="D11" s="804" t="s">
        <v>393</v>
      </c>
      <c r="E11" s="805"/>
      <c r="F11" s="47"/>
      <c r="G11" s="296"/>
      <c r="H11" s="47"/>
      <c r="I11" s="47"/>
      <c r="J11" s="47"/>
      <c r="K11" s="47"/>
      <c r="L11" s="47"/>
      <c r="M11" s="146"/>
      <c r="N11" s="47"/>
      <c r="O11" s="47"/>
      <c r="P11" s="145"/>
      <c r="Q11" s="145"/>
      <c r="R11" s="145"/>
      <c r="S11" s="145"/>
      <c r="T11" s="47"/>
      <c r="U11" s="47"/>
      <c r="V11" s="47"/>
      <c r="W11" s="47"/>
      <c r="X11" s="47"/>
      <c r="Y11" s="47"/>
      <c r="Z11" s="47"/>
      <c r="AA11" s="47"/>
      <c r="AB11" s="145"/>
      <c r="AC11" s="47"/>
      <c r="AD11" s="147" t="s">
        <v>38</v>
      </c>
      <c r="AE11" s="148"/>
      <c r="AF11" s="149"/>
    </row>
    <row r="12" spans="1:32" s="143" customFormat="1" ht="16.5" customHeight="1" thickBot="1" x14ac:dyDescent="0.25">
      <c r="A12" s="144" t="s">
        <v>127</v>
      </c>
      <c r="B12" s="46" t="s">
        <v>309</v>
      </c>
      <c r="C12" s="47" t="s">
        <v>281</v>
      </c>
      <c r="D12" s="167" t="s">
        <v>272</v>
      </c>
      <c r="E12" s="151" t="s">
        <v>175</v>
      </c>
      <c r="F12" s="369">
        <v>344.63</v>
      </c>
      <c r="G12" s="410">
        <v>11</v>
      </c>
      <c r="H12" s="369">
        <f>F12*G12</f>
        <v>3790.93</v>
      </c>
      <c r="I12" s="369"/>
      <c r="J12" s="369"/>
      <c r="K12" s="369"/>
      <c r="L12" s="369"/>
      <c r="M12" s="369"/>
      <c r="N12" s="369"/>
      <c r="O12" s="369"/>
      <c r="P12" s="369"/>
      <c r="Q12" s="369"/>
      <c r="R12" s="369"/>
      <c r="S12" s="369"/>
      <c r="T12" s="369"/>
      <c r="U12" s="369"/>
      <c r="V12" s="369"/>
      <c r="W12" s="369"/>
      <c r="X12" s="369"/>
      <c r="Y12" s="369"/>
      <c r="Z12" s="369"/>
      <c r="AA12" s="369"/>
      <c r="AB12" s="369"/>
      <c r="AC12" s="369">
        <f t="shared" ref="AC12:AC19" si="0">SUM(H12:AB12)</f>
        <v>3790.93</v>
      </c>
      <c r="AD12" s="147" t="s">
        <v>127</v>
      </c>
      <c r="AE12" s="152"/>
      <c r="AF12" s="153"/>
    </row>
    <row r="13" spans="1:32" ht="16.5" customHeight="1" x14ac:dyDescent="0.2">
      <c r="A13" s="144" t="s">
        <v>128</v>
      </c>
      <c r="B13" s="301">
        <v>1041</v>
      </c>
      <c r="C13" s="47"/>
      <c r="D13" s="167"/>
      <c r="E13" s="151"/>
      <c r="F13" s="368"/>
      <c r="G13" s="409"/>
      <c r="H13" s="191"/>
      <c r="I13" s="368"/>
      <c r="J13" s="368"/>
      <c r="K13" s="368"/>
      <c r="L13" s="368"/>
      <c r="M13" s="368"/>
      <c r="N13" s="368"/>
      <c r="O13" s="368"/>
      <c r="P13" s="368"/>
      <c r="Q13" s="368"/>
      <c r="R13" s="368"/>
      <c r="S13" s="368"/>
      <c r="T13" s="368"/>
      <c r="U13" s="368"/>
      <c r="V13" s="368"/>
      <c r="W13" s="368"/>
      <c r="X13" s="368"/>
      <c r="Y13" s="368"/>
      <c r="Z13" s="368"/>
      <c r="AA13" s="368"/>
      <c r="AB13" s="368"/>
      <c r="AC13" s="368"/>
      <c r="AD13" s="147" t="s">
        <v>128</v>
      </c>
      <c r="AE13" s="47"/>
      <c r="AF13" s="154"/>
    </row>
    <row r="14" spans="1:32" ht="16.5" customHeight="1" x14ac:dyDescent="0.2">
      <c r="A14" s="144" t="s">
        <v>129</v>
      </c>
      <c r="B14" s="46" t="s">
        <v>310</v>
      </c>
      <c r="C14" s="47" t="s">
        <v>281</v>
      </c>
      <c r="D14" s="167" t="s">
        <v>272</v>
      </c>
      <c r="E14" s="151" t="s">
        <v>175</v>
      </c>
      <c r="F14" s="47">
        <v>344.63</v>
      </c>
      <c r="G14" s="296">
        <v>11</v>
      </c>
      <c r="H14" s="45">
        <f>F14*G14</f>
        <v>3790.93</v>
      </c>
      <c r="I14" s="45"/>
      <c r="J14" s="45"/>
      <c r="K14" s="45"/>
      <c r="L14" s="45"/>
      <c r="M14" s="45"/>
      <c r="N14" s="45"/>
      <c r="O14" s="45"/>
      <c r="P14" s="45"/>
      <c r="Q14" s="45"/>
      <c r="R14" s="45"/>
      <c r="S14" s="45"/>
      <c r="T14" s="45"/>
      <c r="U14" s="45"/>
      <c r="V14" s="45"/>
      <c r="W14" s="45"/>
      <c r="X14" s="45"/>
      <c r="Y14" s="45"/>
      <c r="Z14" s="45"/>
      <c r="AA14" s="45"/>
      <c r="AB14" s="45"/>
      <c r="AC14" s="45">
        <f t="shared" si="0"/>
        <v>3790.93</v>
      </c>
      <c r="AD14" s="147" t="s">
        <v>129</v>
      </c>
      <c r="AE14" s="47"/>
      <c r="AF14" s="154"/>
    </row>
    <row r="15" spans="1:32" ht="16.5" customHeight="1" x14ac:dyDescent="0.2">
      <c r="A15" s="144" t="s">
        <v>130</v>
      </c>
      <c r="B15" s="46" t="s">
        <v>311</v>
      </c>
      <c r="C15" s="47" t="s">
        <v>281</v>
      </c>
      <c r="D15" s="167" t="s">
        <v>272</v>
      </c>
      <c r="E15" s="151" t="s">
        <v>175</v>
      </c>
      <c r="F15" s="47">
        <v>344.63</v>
      </c>
      <c r="G15" s="296">
        <v>13</v>
      </c>
      <c r="H15" s="45">
        <f>F15*G15</f>
        <v>4480.1899999999996</v>
      </c>
      <c r="I15" s="45"/>
      <c r="J15" s="45"/>
      <c r="K15" s="45"/>
      <c r="L15" s="45"/>
      <c r="M15" s="45"/>
      <c r="N15" s="45"/>
      <c r="O15" s="45"/>
      <c r="P15" s="45"/>
      <c r="Q15" s="45"/>
      <c r="R15" s="45"/>
      <c r="S15" s="45"/>
      <c r="T15" s="45"/>
      <c r="U15" s="45"/>
      <c r="V15" s="45"/>
      <c r="W15" s="45"/>
      <c r="X15" s="45"/>
      <c r="Y15" s="45"/>
      <c r="Z15" s="45"/>
      <c r="AA15" s="45"/>
      <c r="AB15" s="45"/>
      <c r="AC15" s="45">
        <f t="shared" si="0"/>
        <v>4480.1899999999996</v>
      </c>
      <c r="AD15" s="147" t="s">
        <v>130</v>
      </c>
      <c r="AE15" s="47"/>
      <c r="AF15" s="154"/>
    </row>
    <row r="16" spans="1:32" ht="16.5" customHeight="1" thickBot="1" x14ac:dyDescent="0.25">
      <c r="A16" s="144" t="s">
        <v>131</v>
      </c>
      <c r="B16" s="46" t="s">
        <v>385</v>
      </c>
      <c r="C16" s="47" t="s">
        <v>281</v>
      </c>
      <c r="D16" s="167" t="s">
        <v>272</v>
      </c>
      <c r="E16" s="151" t="s">
        <v>175</v>
      </c>
      <c r="F16" s="369">
        <v>344.63</v>
      </c>
      <c r="G16" s="410">
        <v>13</v>
      </c>
      <c r="H16" s="369">
        <f>F16*G16</f>
        <v>4480.1899999999996</v>
      </c>
      <c r="I16" s="369"/>
      <c r="J16" s="369"/>
      <c r="K16" s="369"/>
      <c r="L16" s="369"/>
      <c r="M16" s="369"/>
      <c r="N16" s="369"/>
      <c r="O16" s="369"/>
      <c r="P16" s="369"/>
      <c r="Q16" s="369"/>
      <c r="R16" s="369"/>
      <c r="S16" s="369"/>
      <c r="T16" s="369"/>
      <c r="U16" s="369"/>
      <c r="V16" s="369"/>
      <c r="W16" s="369"/>
      <c r="X16" s="369"/>
      <c r="Y16" s="369"/>
      <c r="Z16" s="369"/>
      <c r="AA16" s="369"/>
      <c r="AB16" s="369"/>
      <c r="AC16" s="369">
        <f t="shared" si="0"/>
        <v>4480.1899999999996</v>
      </c>
      <c r="AD16" s="147" t="s">
        <v>131</v>
      </c>
      <c r="AE16" s="47"/>
      <c r="AF16" s="154"/>
    </row>
    <row r="17" spans="1:32" ht="14.25" customHeight="1" x14ac:dyDescent="0.2">
      <c r="A17" s="144" t="s">
        <v>132</v>
      </c>
      <c r="B17" s="46"/>
      <c r="C17" s="47"/>
      <c r="D17" s="167"/>
      <c r="E17" s="151"/>
      <c r="F17" s="413"/>
      <c r="G17" s="191"/>
      <c r="H17" s="191"/>
      <c r="I17" s="368"/>
      <c r="J17" s="368"/>
      <c r="K17" s="368"/>
      <c r="L17" s="368"/>
      <c r="M17" s="368"/>
      <c r="N17" s="368"/>
      <c r="O17" s="368"/>
      <c r="P17" s="368"/>
      <c r="Q17" s="368"/>
      <c r="R17" s="368"/>
      <c r="S17" s="368"/>
      <c r="T17" s="368"/>
      <c r="U17" s="368"/>
      <c r="V17" s="368"/>
      <c r="W17" s="368"/>
      <c r="X17" s="368"/>
      <c r="Y17" s="368"/>
      <c r="Z17" s="368"/>
      <c r="AA17" s="368"/>
      <c r="AB17" s="368"/>
      <c r="AC17" s="368"/>
      <c r="AD17" s="147" t="s">
        <v>132</v>
      </c>
      <c r="AE17" s="47"/>
      <c r="AF17" s="154"/>
    </row>
    <row r="18" spans="1:32" ht="16.5" customHeight="1" x14ac:dyDescent="0.2">
      <c r="A18" s="144" t="s">
        <v>133</v>
      </c>
      <c r="B18" s="301">
        <v>1061</v>
      </c>
      <c r="C18" s="47"/>
      <c r="D18" s="167"/>
      <c r="E18" s="151"/>
      <c r="F18" s="47"/>
      <c r="G18" s="296"/>
      <c r="H18" s="45"/>
      <c r="I18" s="45"/>
      <c r="J18" s="45"/>
      <c r="K18" s="45"/>
      <c r="L18" s="45"/>
      <c r="M18" s="45"/>
      <c r="N18" s="45"/>
      <c r="O18" s="45"/>
      <c r="P18" s="45"/>
      <c r="Q18" s="45"/>
      <c r="R18" s="45"/>
      <c r="S18" s="45"/>
      <c r="T18" s="45"/>
      <c r="U18" s="45"/>
      <c r="V18" s="45"/>
      <c r="W18" s="45"/>
      <c r="X18" s="45"/>
      <c r="Y18" s="45"/>
      <c r="Z18" s="45"/>
      <c r="AA18" s="45"/>
      <c r="AB18" s="45"/>
      <c r="AC18" s="45"/>
      <c r="AD18" s="147" t="s">
        <v>133</v>
      </c>
      <c r="AE18" s="47"/>
      <c r="AF18" s="154"/>
    </row>
    <row r="19" spans="1:32" ht="16.5" customHeight="1" x14ac:dyDescent="0.2">
      <c r="A19" s="144" t="s">
        <v>65</v>
      </c>
      <c r="B19" s="46" t="s">
        <v>312</v>
      </c>
      <c r="C19" s="47" t="s">
        <v>281</v>
      </c>
      <c r="D19" s="167" t="s">
        <v>272</v>
      </c>
      <c r="E19" s="151" t="s">
        <v>175</v>
      </c>
      <c r="F19" s="47">
        <v>344.63</v>
      </c>
      <c r="G19" s="296">
        <v>12</v>
      </c>
      <c r="H19" s="45">
        <f>F19*G19</f>
        <v>4135.5599999999995</v>
      </c>
      <c r="I19" s="45"/>
      <c r="J19" s="45"/>
      <c r="K19" s="45"/>
      <c r="L19" s="45"/>
      <c r="M19" s="45"/>
      <c r="N19" s="45"/>
      <c r="O19" s="45"/>
      <c r="P19" s="45"/>
      <c r="Q19" s="45"/>
      <c r="R19" s="45"/>
      <c r="S19" s="45"/>
      <c r="T19" s="45"/>
      <c r="U19" s="45"/>
      <c r="V19" s="45"/>
      <c r="W19" s="45"/>
      <c r="X19" s="45"/>
      <c r="Y19" s="45"/>
      <c r="Z19" s="45"/>
      <c r="AA19" s="45"/>
      <c r="AB19" s="45"/>
      <c r="AC19" s="45">
        <f t="shared" si="0"/>
        <v>4135.5599999999995</v>
      </c>
      <c r="AD19" s="147" t="s">
        <v>65</v>
      </c>
      <c r="AE19" s="47"/>
      <c r="AF19" s="154"/>
    </row>
    <row r="20" spans="1:32" ht="16.5" customHeight="1" thickBot="1" x14ac:dyDescent="0.25">
      <c r="A20" s="144" t="s">
        <v>134</v>
      </c>
      <c r="B20" s="46" t="s">
        <v>313</v>
      </c>
      <c r="C20" s="47" t="s">
        <v>281</v>
      </c>
      <c r="D20" s="167" t="s">
        <v>272</v>
      </c>
      <c r="E20" s="151" t="s">
        <v>175</v>
      </c>
      <c r="F20" s="369">
        <v>344.63</v>
      </c>
      <c r="G20" s="410">
        <v>12</v>
      </c>
      <c r="H20" s="369">
        <f>F20*G20</f>
        <v>4135.5599999999995</v>
      </c>
      <c r="I20" s="369"/>
      <c r="J20" s="369"/>
      <c r="K20" s="369"/>
      <c r="L20" s="369"/>
      <c r="M20" s="369"/>
      <c r="N20" s="369"/>
      <c r="O20" s="369"/>
      <c r="P20" s="369"/>
      <c r="Q20" s="369"/>
      <c r="R20" s="369"/>
      <c r="S20" s="369"/>
      <c r="T20" s="369"/>
      <c r="U20" s="369"/>
      <c r="V20" s="369"/>
      <c r="W20" s="369"/>
      <c r="X20" s="369"/>
      <c r="Y20" s="369"/>
      <c r="Z20" s="369"/>
      <c r="AA20" s="369"/>
      <c r="AB20" s="369"/>
      <c r="AC20" s="369">
        <f>SUM(H20:AB20)</f>
        <v>4135.5599999999995</v>
      </c>
      <c r="AD20" s="147" t="s">
        <v>134</v>
      </c>
      <c r="AE20" s="47"/>
      <c r="AF20" s="154"/>
    </row>
    <row r="21" spans="1:32" ht="16.5" customHeight="1" x14ac:dyDescent="0.2">
      <c r="A21" s="144" t="s">
        <v>135</v>
      </c>
      <c r="B21" s="301">
        <v>1081</v>
      </c>
      <c r="C21" s="47"/>
      <c r="D21" s="167"/>
      <c r="E21" s="151"/>
      <c r="F21" s="368"/>
      <c r="G21" s="409"/>
      <c r="H21" s="191"/>
      <c r="I21" s="368"/>
      <c r="J21" s="368"/>
      <c r="K21" s="368"/>
      <c r="L21" s="368"/>
      <c r="M21" s="368"/>
      <c r="N21" s="368"/>
      <c r="O21" s="368"/>
      <c r="P21" s="368"/>
      <c r="Q21" s="368"/>
      <c r="R21" s="368"/>
      <c r="S21" s="368"/>
      <c r="T21" s="368"/>
      <c r="U21" s="368"/>
      <c r="V21" s="368"/>
      <c r="W21" s="368"/>
      <c r="X21" s="368"/>
      <c r="Y21" s="368"/>
      <c r="Z21" s="368"/>
      <c r="AA21" s="368"/>
      <c r="AB21" s="368"/>
      <c r="AC21" s="368"/>
      <c r="AD21" s="147" t="s">
        <v>135</v>
      </c>
      <c r="AE21" s="47"/>
      <c r="AF21" s="154"/>
    </row>
    <row r="22" spans="1:32" ht="16.5" customHeight="1" thickBot="1" x14ac:dyDescent="0.25">
      <c r="A22" s="144" t="s">
        <v>136</v>
      </c>
      <c r="B22" s="46" t="s">
        <v>314</v>
      </c>
      <c r="C22" s="47" t="s">
        <v>281</v>
      </c>
      <c r="D22" s="167" t="s">
        <v>272</v>
      </c>
      <c r="E22" s="151" t="s">
        <v>175</v>
      </c>
      <c r="F22" s="369">
        <v>344.63</v>
      </c>
      <c r="G22" s="410">
        <v>11</v>
      </c>
      <c r="H22" s="369">
        <f>F22*G22</f>
        <v>3790.93</v>
      </c>
      <c r="I22" s="369"/>
      <c r="J22" s="369"/>
      <c r="K22" s="369"/>
      <c r="L22" s="369"/>
      <c r="M22" s="369"/>
      <c r="N22" s="369"/>
      <c r="O22" s="369"/>
      <c r="P22" s="369"/>
      <c r="Q22" s="369"/>
      <c r="R22" s="369"/>
      <c r="S22" s="369"/>
      <c r="T22" s="369"/>
      <c r="U22" s="369"/>
      <c r="V22" s="369"/>
      <c r="W22" s="369"/>
      <c r="X22" s="369"/>
      <c r="Y22" s="369"/>
      <c r="Z22" s="369"/>
      <c r="AA22" s="369"/>
      <c r="AB22" s="369"/>
      <c r="AC22" s="369">
        <f t="shared" ref="AC22:AC32" si="1">SUM(H22:AB22)</f>
        <v>3790.93</v>
      </c>
      <c r="AD22" s="147" t="s">
        <v>136</v>
      </c>
      <c r="AE22" s="47"/>
      <c r="AF22" s="154"/>
    </row>
    <row r="23" spans="1:32" ht="16.5" customHeight="1" x14ac:dyDescent="0.2">
      <c r="A23" s="144" t="s">
        <v>137</v>
      </c>
      <c r="B23" s="301">
        <v>7611</v>
      </c>
      <c r="C23" s="47"/>
      <c r="D23" s="167"/>
      <c r="E23" s="151"/>
      <c r="F23" s="368"/>
      <c r="G23" s="409"/>
      <c r="H23" s="191"/>
      <c r="I23" s="372"/>
      <c r="J23" s="368"/>
      <c r="K23" s="368"/>
      <c r="L23" s="368"/>
      <c r="M23" s="368"/>
      <c r="N23" s="368"/>
      <c r="O23" s="368"/>
      <c r="P23" s="368"/>
      <c r="Q23" s="368"/>
      <c r="R23" s="368"/>
      <c r="S23" s="368"/>
      <c r="T23" s="368"/>
      <c r="U23" s="368"/>
      <c r="V23" s="368"/>
      <c r="W23" s="368"/>
      <c r="X23" s="368"/>
      <c r="Y23" s="368"/>
      <c r="Z23" s="368"/>
      <c r="AA23" s="368"/>
      <c r="AB23" s="368"/>
      <c r="AC23" s="368"/>
      <c r="AD23" s="147" t="s">
        <v>137</v>
      </c>
      <c r="AE23" s="47"/>
      <c r="AF23" s="154"/>
    </row>
    <row r="24" spans="1:32" ht="16.5" customHeight="1" x14ac:dyDescent="0.2">
      <c r="A24" s="144" t="s">
        <v>138</v>
      </c>
      <c r="B24" s="46" t="s">
        <v>321</v>
      </c>
      <c r="C24" s="47" t="s">
        <v>281</v>
      </c>
      <c r="D24" s="167" t="s">
        <v>272</v>
      </c>
      <c r="E24" s="151" t="s">
        <v>175</v>
      </c>
      <c r="F24" s="47">
        <v>344.63</v>
      </c>
      <c r="G24" s="296">
        <v>11</v>
      </c>
      <c r="H24" s="45">
        <f>F24*G24</f>
        <v>3790.93</v>
      </c>
      <c r="I24" s="155"/>
      <c r="J24" s="47"/>
      <c r="K24" s="47"/>
      <c r="L24" s="47"/>
      <c r="M24" s="47"/>
      <c r="N24" s="47"/>
      <c r="O24" s="47"/>
      <c r="P24" s="47"/>
      <c r="Q24" s="47"/>
      <c r="R24" s="47"/>
      <c r="S24" s="47"/>
      <c r="T24" s="47"/>
      <c r="U24" s="47"/>
      <c r="V24" s="47"/>
      <c r="W24" s="47"/>
      <c r="X24" s="47"/>
      <c r="Y24" s="47"/>
      <c r="Z24" s="47"/>
      <c r="AA24" s="47"/>
      <c r="AB24" s="47"/>
      <c r="AC24" s="47">
        <f t="shared" si="1"/>
        <v>3790.93</v>
      </c>
      <c r="AD24" s="147" t="s">
        <v>138</v>
      </c>
      <c r="AE24" s="47"/>
      <c r="AF24" s="154"/>
    </row>
    <row r="25" spans="1:32" ht="16.5" customHeight="1" x14ac:dyDescent="0.2">
      <c r="A25" s="144" t="s">
        <v>139</v>
      </c>
      <c r="B25" s="46" t="s">
        <v>322</v>
      </c>
      <c r="C25" s="47" t="s">
        <v>281</v>
      </c>
      <c r="D25" s="167" t="s">
        <v>272</v>
      </c>
      <c r="E25" s="151" t="s">
        <v>175</v>
      </c>
      <c r="F25" s="47">
        <v>344.63</v>
      </c>
      <c r="G25" s="296">
        <v>11</v>
      </c>
      <c r="H25" s="45">
        <f>F25*G25</f>
        <v>3790.93</v>
      </c>
      <c r="I25" s="155"/>
      <c r="J25" s="47"/>
      <c r="K25" s="47"/>
      <c r="L25" s="47"/>
      <c r="M25" s="47"/>
      <c r="N25" s="47"/>
      <c r="O25" s="47"/>
      <c r="P25" s="47"/>
      <c r="Q25" s="47"/>
      <c r="R25" s="47"/>
      <c r="S25" s="47"/>
      <c r="T25" s="47"/>
      <c r="U25" s="47"/>
      <c r="V25" s="47"/>
      <c r="W25" s="47"/>
      <c r="X25" s="47"/>
      <c r="Y25" s="47"/>
      <c r="Z25" s="47"/>
      <c r="AA25" s="47"/>
      <c r="AB25" s="47"/>
      <c r="AC25" s="47">
        <f t="shared" si="1"/>
        <v>3790.93</v>
      </c>
      <c r="AD25" s="147" t="s">
        <v>139</v>
      </c>
      <c r="AE25" s="47"/>
      <c r="AF25" s="154"/>
    </row>
    <row r="26" spans="1:32" ht="16.5" customHeight="1" thickBot="1" x14ac:dyDescent="0.25">
      <c r="A26" s="144" t="s">
        <v>140</v>
      </c>
      <c r="B26" s="46" t="s">
        <v>323</v>
      </c>
      <c r="C26" s="47" t="s">
        <v>281</v>
      </c>
      <c r="D26" s="167" t="s">
        <v>272</v>
      </c>
      <c r="E26" s="151" t="s">
        <v>175</v>
      </c>
      <c r="F26" s="369">
        <v>344.63</v>
      </c>
      <c r="G26" s="410">
        <v>11</v>
      </c>
      <c r="H26" s="369">
        <f>F26*G26</f>
        <v>3790.93</v>
      </c>
      <c r="I26" s="373"/>
      <c r="J26" s="369"/>
      <c r="K26" s="369"/>
      <c r="L26" s="369"/>
      <c r="M26" s="369"/>
      <c r="N26" s="369"/>
      <c r="O26" s="369"/>
      <c r="P26" s="369"/>
      <c r="Q26" s="369"/>
      <c r="R26" s="369"/>
      <c r="S26" s="369"/>
      <c r="T26" s="369"/>
      <c r="U26" s="369"/>
      <c r="V26" s="369"/>
      <c r="W26" s="369"/>
      <c r="X26" s="369"/>
      <c r="Y26" s="369"/>
      <c r="Z26" s="369"/>
      <c r="AA26" s="369"/>
      <c r="AB26" s="369"/>
      <c r="AC26" s="369">
        <f t="shared" si="1"/>
        <v>3790.93</v>
      </c>
      <c r="AD26" s="147" t="s">
        <v>140</v>
      </c>
      <c r="AE26" s="47"/>
      <c r="AF26" s="154"/>
    </row>
    <row r="27" spans="1:32" ht="16.5" customHeight="1" x14ac:dyDescent="0.2">
      <c r="A27" s="144" t="s">
        <v>141</v>
      </c>
      <c r="B27" s="301">
        <v>8711</v>
      </c>
      <c r="C27" s="47"/>
      <c r="D27" s="167"/>
      <c r="E27" s="151"/>
      <c r="F27" s="368"/>
      <c r="G27" s="409"/>
      <c r="H27" s="191"/>
      <c r="I27" s="368"/>
      <c r="J27" s="368"/>
      <c r="K27" s="368"/>
      <c r="L27" s="368"/>
      <c r="M27" s="368"/>
      <c r="N27" s="368"/>
      <c r="O27" s="368"/>
      <c r="P27" s="368"/>
      <c r="Q27" s="368"/>
      <c r="R27" s="368"/>
      <c r="S27" s="368"/>
      <c r="T27" s="368"/>
      <c r="U27" s="368"/>
      <c r="V27" s="368"/>
      <c r="W27" s="368"/>
      <c r="X27" s="368"/>
      <c r="Y27" s="368"/>
      <c r="Z27" s="368"/>
      <c r="AA27" s="368"/>
      <c r="AB27" s="368"/>
      <c r="AC27" s="368"/>
      <c r="AD27" s="147" t="s">
        <v>141</v>
      </c>
      <c r="AE27" s="47"/>
      <c r="AF27" s="154"/>
    </row>
    <row r="28" spans="1:32" ht="16.5" customHeight="1" thickBot="1" x14ac:dyDescent="0.25">
      <c r="A28" s="144" t="s">
        <v>142</v>
      </c>
      <c r="B28" s="46" t="s">
        <v>324</v>
      </c>
      <c r="C28" s="47" t="s">
        <v>281</v>
      </c>
      <c r="D28" s="167" t="s">
        <v>272</v>
      </c>
      <c r="E28" s="151" t="s">
        <v>175</v>
      </c>
      <c r="F28" s="369">
        <v>344.63</v>
      </c>
      <c r="G28" s="410">
        <v>15</v>
      </c>
      <c r="H28" s="369">
        <f>F28*G28</f>
        <v>5169.45</v>
      </c>
      <c r="I28" s="369"/>
      <c r="J28" s="369"/>
      <c r="K28" s="369"/>
      <c r="L28" s="369"/>
      <c r="M28" s="369"/>
      <c r="N28" s="369"/>
      <c r="O28" s="369"/>
      <c r="P28" s="369"/>
      <c r="Q28" s="369"/>
      <c r="R28" s="369"/>
      <c r="S28" s="369"/>
      <c r="T28" s="369"/>
      <c r="U28" s="369"/>
      <c r="V28" s="369"/>
      <c r="W28" s="369"/>
      <c r="X28" s="369"/>
      <c r="Y28" s="369"/>
      <c r="Z28" s="369"/>
      <c r="AA28" s="369"/>
      <c r="AB28" s="369"/>
      <c r="AC28" s="369">
        <f t="shared" si="1"/>
        <v>5169.45</v>
      </c>
      <c r="AD28" s="147" t="s">
        <v>142</v>
      </c>
      <c r="AE28" s="47"/>
      <c r="AF28" s="154"/>
    </row>
    <row r="29" spans="1:32" ht="16.5" customHeight="1" x14ac:dyDescent="0.2">
      <c r="A29" s="144" t="s">
        <v>143</v>
      </c>
      <c r="B29" s="301">
        <v>8731</v>
      </c>
      <c r="C29" s="47"/>
      <c r="D29" s="167"/>
      <c r="E29" s="151"/>
      <c r="F29" s="368"/>
      <c r="G29" s="409"/>
      <c r="H29" s="191"/>
      <c r="I29" s="368"/>
      <c r="J29" s="368"/>
      <c r="K29" s="368"/>
      <c r="L29" s="368"/>
      <c r="M29" s="368"/>
      <c r="N29" s="368"/>
      <c r="O29" s="368"/>
      <c r="P29" s="368"/>
      <c r="Q29" s="368"/>
      <c r="R29" s="368"/>
      <c r="S29" s="368"/>
      <c r="T29" s="368"/>
      <c r="U29" s="368"/>
      <c r="V29" s="368"/>
      <c r="W29" s="368"/>
      <c r="X29" s="368"/>
      <c r="Y29" s="368"/>
      <c r="Z29" s="368"/>
      <c r="AA29" s="368"/>
      <c r="AB29" s="368"/>
      <c r="AC29" s="368"/>
      <c r="AD29" s="147" t="s">
        <v>143</v>
      </c>
      <c r="AE29" s="47"/>
      <c r="AF29" s="154"/>
    </row>
    <row r="30" spans="1:32" ht="16.5" customHeight="1" x14ac:dyDescent="0.2">
      <c r="A30" s="144" t="s">
        <v>144</v>
      </c>
      <c r="B30" s="46" t="s">
        <v>337</v>
      </c>
      <c r="C30" s="47" t="s">
        <v>281</v>
      </c>
      <c r="D30" s="167" t="s">
        <v>272</v>
      </c>
      <c r="E30" s="151" t="s">
        <v>175</v>
      </c>
      <c r="F30" s="47">
        <v>344.63</v>
      </c>
      <c r="G30" s="296">
        <v>14</v>
      </c>
      <c r="H30" s="45">
        <f>F30*G30</f>
        <v>4824.82</v>
      </c>
      <c r="I30" s="47"/>
      <c r="J30" s="47"/>
      <c r="K30" s="47"/>
      <c r="L30" s="47"/>
      <c r="M30" s="47"/>
      <c r="N30" s="47"/>
      <c r="O30" s="47"/>
      <c r="P30" s="47"/>
      <c r="Q30" s="47"/>
      <c r="R30" s="47"/>
      <c r="S30" s="47"/>
      <c r="T30" s="47"/>
      <c r="U30" s="47"/>
      <c r="V30" s="47"/>
      <c r="W30" s="47"/>
      <c r="X30" s="47"/>
      <c r="Y30" s="47"/>
      <c r="Z30" s="47"/>
      <c r="AA30" s="47"/>
      <c r="AB30" s="47"/>
      <c r="AC30" s="47">
        <f t="shared" si="1"/>
        <v>4824.82</v>
      </c>
      <c r="AD30" s="147" t="s">
        <v>144</v>
      </c>
      <c r="AE30" s="47"/>
      <c r="AF30" s="154"/>
    </row>
    <row r="31" spans="1:32" ht="16.5" customHeight="1" x14ac:dyDescent="0.2">
      <c r="A31" s="144" t="s">
        <v>145</v>
      </c>
      <c r="B31" s="46" t="s">
        <v>338</v>
      </c>
      <c r="C31" s="47" t="s">
        <v>281</v>
      </c>
      <c r="D31" s="167" t="s">
        <v>272</v>
      </c>
      <c r="E31" s="151" t="s">
        <v>175</v>
      </c>
      <c r="F31" s="47">
        <v>344.63</v>
      </c>
      <c r="G31" s="296">
        <v>13</v>
      </c>
      <c r="H31" s="45">
        <f>F31*G31</f>
        <v>4480.1899999999996</v>
      </c>
      <c r="I31" s="47"/>
      <c r="J31" s="47"/>
      <c r="K31" s="47"/>
      <c r="L31" s="47"/>
      <c r="M31" s="47"/>
      <c r="N31" s="47"/>
      <c r="O31" s="47"/>
      <c r="P31" s="47"/>
      <c r="Q31" s="47"/>
      <c r="R31" s="47"/>
      <c r="S31" s="47"/>
      <c r="T31" s="47"/>
      <c r="U31" s="47"/>
      <c r="V31" s="47"/>
      <c r="W31" s="47"/>
      <c r="X31" s="47"/>
      <c r="Y31" s="47"/>
      <c r="Z31" s="47"/>
      <c r="AA31" s="47"/>
      <c r="AB31" s="47"/>
      <c r="AC31" s="47">
        <f t="shared" si="1"/>
        <v>4480.1899999999996</v>
      </c>
      <c r="AD31" s="147" t="s">
        <v>145</v>
      </c>
      <c r="AE31" s="47"/>
      <c r="AF31" s="154"/>
    </row>
    <row r="32" spans="1:32" ht="16.5" customHeight="1" thickBot="1" x14ac:dyDescent="0.25">
      <c r="A32" s="144" t="s">
        <v>146</v>
      </c>
      <c r="B32" s="46" t="s">
        <v>340</v>
      </c>
      <c r="C32" s="47" t="s">
        <v>281</v>
      </c>
      <c r="D32" s="167" t="s">
        <v>272</v>
      </c>
      <c r="E32" s="151" t="s">
        <v>175</v>
      </c>
      <c r="F32" s="369">
        <v>344.63</v>
      </c>
      <c r="G32" s="410">
        <v>15</v>
      </c>
      <c r="H32" s="369">
        <f>F32*G32</f>
        <v>5169.45</v>
      </c>
      <c r="I32" s="369"/>
      <c r="J32" s="369"/>
      <c r="K32" s="369"/>
      <c r="L32" s="369"/>
      <c r="M32" s="369"/>
      <c r="N32" s="369"/>
      <c r="O32" s="369"/>
      <c r="P32" s="369"/>
      <c r="Q32" s="369"/>
      <c r="R32" s="369"/>
      <c r="S32" s="369"/>
      <c r="T32" s="369"/>
      <c r="U32" s="369"/>
      <c r="V32" s="369"/>
      <c r="W32" s="369"/>
      <c r="X32" s="369"/>
      <c r="Y32" s="369"/>
      <c r="Z32" s="369"/>
      <c r="AA32" s="369"/>
      <c r="AB32" s="369"/>
      <c r="AC32" s="369">
        <f t="shared" si="1"/>
        <v>5169.45</v>
      </c>
      <c r="AD32" s="147" t="s">
        <v>146</v>
      </c>
      <c r="AE32" s="47"/>
      <c r="AF32" s="154"/>
    </row>
    <row r="33" spans="1:32" ht="16.5" customHeight="1" x14ac:dyDescent="0.2">
      <c r="A33" s="144" t="s">
        <v>147</v>
      </c>
      <c r="B33" s="301">
        <v>8811</v>
      </c>
      <c r="C33" s="47"/>
      <c r="D33" s="167"/>
      <c r="E33" s="151"/>
      <c r="F33" s="368"/>
      <c r="G33" s="409"/>
      <c r="H33" s="191"/>
      <c r="I33" s="368"/>
      <c r="J33" s="368"/>
      <c r="K33" s="368"/>
      <c r="L33" s="368"/>
      <c r="M33" s="368"/>
      <c r="N33" s="368"/>
      <c r="O33" s="368"/>
      <c r="P33" s="368"/>
      <c r="Q33" s="368"/>
      <c r="R33" s="368"/>
      <c r="S33" s="368"/>
      <c r="T33" s="368"/>
      <c r="U33" s="368"/>
      <c r="V33" s="368"/>
      <c r="W33" s="368"/>
      <c r="X33" s="368"/>
      <c r="Y33" s="368"/>
      <c r="Z33" s="368"/>
      <c r="AA33" s="368"/>
      <c r="AB33" s="368"/>
      <c r="AC33" s="368"/>
      <c r="AD33" s="147" t="s">
        <v>147</v>
      </c>
      <c r="AE33" s="47"/>
      <c r="AF33" s="154"/>
    </row>
    <row r="34" spans="1:32" ht="16.5" customHeight="1" x14ac:dyDescent="0.2">
      <c r="A34" s="144" t="s">
        <v>148</v>
      </c>
      <c r="B34" s="46" t="s">
        <v>326</v>
      </c>
      <c r="C34" s="47" t="s">
        <v>281</v>
      </c>
      <c r="D34" s="167" t="s">
        <v>272</v>
      </c>
      <c r="E34" s="151" t="s">
        <v>175</v>
      </c>
      <c r="F34" s="47">
        <v>344.63</v>
      </c>
      <c r="G34" s="296">
        <v>13</v>
      </c>
      <c r="H34" s="45">
        <f>F34*G34</f>
        <v>4480.1899999999996</v>
      </c>
      <c r="I34" s="47"/>
      <c r="J34" s="47"/>
      <c r="K34" s="47"/>
      <c r="L34" s="47"/>
      <c r="M34" s="47"/>
      <c r="N34" s="47"/>
      <c r="O34" s="47"/>
      <c r="P34" s="47"/>
      <c r="Q34" s="47"/>
      <c r="R34" s="47"/>
      <c r="S34" s="47"/>
      <c r="T34" s="47"/>
      <c r="U34" s="47"/>
      <c r="V34" s="47"/>
      <c r="W34" s="47"/>
      <c r="X34" s="47"/>
      <c r="Y34" s="47"/>
      <c r="Z34" s="47"/>
      <c r="AA34" s="47"/>
      <c r="AB34" s="47"/>
      <c r="AC34" s="47">
        <f>SUM(H34:AB34)</f>
        <v>4480.1899999999996</v>
      </c>
      <c r="AD34" s="147" t="s">
        <v>148</v>
      </c>
      <c r="AE34" s="47"/>
      <c r="AF34" s="154"/>
    </row>
    <row r="35" spans="1:32" ht="16.5" customHeight="1" thickBot="1" x14ac:dyDescent="0.25">
      <c r="A35" s="144" t="s">
        <v>149</v>
      </c>
      <c r="B35" s="46" t="s">
        <v>327</v>
      </c>
      <c r="C35" s="47" t="s">
        <v>281</v>
      </c>
      <c r="D35" s="167" t="s">
        <v>272</v>
      </c>
      <c r="E35" s="151" t="s">
        <v>175</v>
      </c>
      <c r="F35" s="369">
        <v>344.63</v>
      </c>
      <c r="G35" s="410">
        <v>13</v>
      </c>
      <c r="H35" s="369">
        <f>F35*G35</f>
        <v>4480.1899999999996</v>
      </c>
      <c r="I35" s="369"/>
      <c r="J35" s="369"/>
      <c r="K35" s="369"/>
      <c r="L35" s="369"/>
      <c r="M35" s="369"/>
      <c r="N35" s="369"/>
      <c r="O35" s="369"/>
      <c r="P35" s="369"/>
      <c r="Q35" s="369"/>
      <c r="R35" s="369"/>
      <c r="S35" s="369"/>
      <c r="T35" s="369"/>
      <c r="U35" s="369"/>
      <c r="V35" s="369"/>
      <c r="W35" s="369"/>
      <c r="X35" s="369"/>
      <c r="Y35" s="369"/>
      <c r="Z35" s="369"/>
      <c r="AA35" s="369"/>
      <c r="AB35" s="369"/>
      <c r="AC35" s="369">
        <f>SUM(H35:AB35)</f>
        <v>4480.1899999999996</v>
      </c>
      <c r="AD35" s="147" t="s">
        <v>149</v>
      </c>
      <c r="AE35" s="47"/>
      <c r="AF35" s="154"/>
    </row>
    <row r="36" spans="1:32" ht="16.5" customHeight="1" x14ac:dyDescent="0.2">
      <c r="A36" s="144" t="s">
        <v>150</v>
      </c>
      <c r="B36" s="301">
        <v>8852</v>
      </c>
      <c r="C36" s="47"/>
      <c r="D36" s="804"/>
      <c r="E36" s="805"/>
      <c r="F36" s="368"/>
      <c r="G36" s="409"/>
      <c r="H36" s="191"/>
      <c r="I36" s="368"/>
      <c r="J36" s="368"/>
      <c r="K36" s="368"/>
      <c r="L36" s="368"/>
      <c r="M36" s="370"/>
      <c r="N36" s="368"/>
      <c r="O36" s="368"/>
      <c r="P36" s="371"/>
      <c r="Q36" s="371"/>
      <c r="R36" s="371"/>
      <c r="S36" s="371"/>
      <c r="T36" s="368"/>
      <c r="U36" s="368"/>
      <c r="V36" s="368"/>
      <c r="W36" s="368"/>
      <c r="X36" s="368"/>
      <c r="Y36" s="368"/>
      <c r="Z36" s="368"/>
      <c r="AA36" s="368"/>
      <c r="AB36" s="371"/>
      <c r="AC36" s="368"/>
      <c r="AD36" s="147" t="s">
        <v>150</v>
      </c>
      <c r="AE36" s="47"/>
      <c r="AF36" s="154"/>
    </row>
    <row r="37" spans="1:32" ht="16.5" customHeight="1" x14ac:dyDescent="0.2">
      <c r="A37" s="144" t="s">
        <v>151</v>
      </c>
      <c r="B37" s="46" t="s">
        <v>328</v>
      </c>
      <c r="C37" s="47" t="s">
        <v>281</v>
      </c>
      <c r="D37" s="167" t="s">
        <v>272</v>
      </c>
      <c r="E37" s="151" t="s">
        <v>175</v>
      </c>
      <c r="F37" s="47">
        <v>344.63</v>
      </c>
      <c r="G37" s="296">
        <v>12</v>
      </c>
      <c r="H37" s="45">
        <f>F37*G37</f>
        <v>4135.5599999999995</v>
      </c>
      <c r="I37" s="47"/>
      <c r="J37" s="47"/>
      <c r="K37" s="47"/>
      <c r="L37" s="47"/>
      <c r="M37" s="47"/>
      <c r="N37" s="47"/>
      <c r="O37" s="47"/>
      <c r="P37" s="47"/>
      <c r="Q37" s="47"/>
      <c r="R37" s="47"/>
      <c r="S37" s="47"/>
      <c r="T37" s="47"/>
      <c r="U37" s="47"/>
      <c r="V37" s="47"/>
      <c r="W37" s="47"/>
      <c r="X37" s="47"/>
      <c r="Y37" s="47"/>
      <c r="Z37" s="47"/>
      <c r="AA37" s="47"/>
      <c r="AB37" s="47"/>
      <c r="AC37" s="47">
        <f>SUM(H37:AB37)</f>
        <v>4135.5599999999995</v>
      </c>
      <c r="AD37" s="147" t="s">
        <v>151</v>
      </c>
      <c r="AE37" s="47"/>
      <c r="AF37" s="154"/>
    </row>
    <row r="38" spans="1:32" ht="16.5" customHeight="1" x14ac:dyDescent="0.2">
      <c r="A38" s="144" t="s">
        <v>152</v>
      </c>
      <c r="B38" s="46" t="s">
        <v>329</v>
      </c>
      <c r="C38" s="47" t="s">
        <v>281</v>
      </c>
      <c r="D38" s="167" t="s">
        <v>272</v>
      </c>
      <c r="E38" s="151" t="s">
        <v>175</v>
      </c>
      <c r="F38" s="47">
        <v>344.63</v>
      </c>
      <c r="G38" s="296">
        <v>13</v>
      </c>
      <c r="H38" s="45">
        <f>F38*G38</f>
        <v>4480.1899999999996</v>
      </c>
      <c r="I38" s="47"/>
      <c r="J38" s="47"/>
      <c r="K38" s="47"/>
      <c r="L38" s="47"/>
      <c r="M38" s="47"/>
      <c r="N38" s="47"/>
      <c r="O38" s="47"/>
      <c r="P38" s="47"/>
      <c r="Q38" s="47"/>
      <c r="R38" s="47"/>
      <c r="S38" s="47"/>
      <c r="T38" s="47"/>
      <c r="U38" s="47"/>
      <c r="V38" s="47"/>
      <c r="W38" s="47"/>
      <c r="X38" s="47"/>
      <c r="Y38" s="47"/>
      <c r="Z38" s="47"/>
      <c r="AA38" s="47"/>
      <c r="AB38" s="47"/>
      <c r="AC38" s="47">
        <f>SUM(H38:AB38)</f>
        <v>4480.1899999999996</v>
      </c>
      <c r="AD38" s="147" t="s">
        <v>152</v>
      </c>
      <c r="AE38" s="47"/>
      <c r="AF38" s="154"/>
    </row>
    <row r="39" spans="1:32" ht="16.5" customHeight="1" x14ac:dyDescent="0.2">
      <c r="A39" s="144" t="s">
        <v>153</v>
      </c>
      <c r="B39" s="46" t="s">
        <v>330</v>
      </c>
      <c r="C39" s="47" t="s">
        <v>281</v>
      </c>
      <c r="D39" s="167" t="s">
        <v>272</v>
      </c>
      <c r="E39" s="151" t="s">
        <v>175</v>
      </c>
      <c r="F39" s="47">
        <v>344.63</v>
      </c>
      <c r="G39" s="296">
        <v>13</v>
      </c>
      <c r="H39" s="45">
        <f>F39*G39</f>
        <v>4480.1899999999996</v>
      </c>
      <c r="I39" s="47"/>
      <c r="J39" s="47"/>
      <c r="K39" s="47"/>
      <c r="L39" s="47"/>
      <c r="M39" s="47"/>
      <c r="N39" s="47"/>
      <c r="O39" s="47"/>
      <c r="P39" s="47"/>
      <c r="Q39" s="47"/>
      <c r="R39" s="47"/>
      <c r="S39" s="47"/>
      <c r="T39" s="47"/>
      <c r="U39" s="47"/>
      <c r="V39" s="47"/>
      <c r="W39" s="47"/>
      <c r="X39" s="47"/>
      <c r="Y39" s="47"/>
      <c r="Z39" s="47"/>
      <c r="AA39" s="47"/>
      <c r="AB39" s="47"/>
      <c r="AC39" s="47">
        <f>SUM(H39:AB39)</f>
        <v>4480.1899999999996</v>
      </c>
      <c r="AD39" s="147" t="s">
        <v>153</v>
      </c>
      <c r="AE39" s="47"/>
      <c r="AF39" s="154"/>
    </row>
    <row r="40" spans="1:32" ht="16.5" customHeight="1" thickBot="1" x14ac:dyDescent="0.25">
      <c r="A40" s="144" t="s">
        <v>154</v>
      </c>
      <c r="B40" s="46" t="s">
        <v>331</v>
      </c>
      <c r="C40" s="47" t="s">
        <v>281</v>
      </c>
      <c r="D40" s="167" t="s">
        <v>272</v>
      </c>
      <c r="E40" s="151" t="s">
        <v>175</v>
      </c>
      <c r="F40" s="369">
        <v>344.63</v>
      </c>
      <c r="G40" s="410">
        <v>13</v>
      </c>
      <c r="H40" s="412">
        <f>F40*G40</f>
        <v>4480.1899999999996</v>
      </c>
      <c r="I40" s="369"/>
      <c r="J40" s="369"/>
      <c r="K40" s="369"/>
      <c r="L40" s="369"/>
      <c r="M40" s="369"/>
      <c r="N40" s="369"/>
      <c r="O40" s="369"/>
      <c r="P40" s="369"/>
      <c r="Q40" s="369"/>
      <c r="R40" s="369"/>
      <c r="S40" s="369"/>
      <c r="T40" s="369"/>
      <c r="U40" s="369"/>
      <c r="V40" s="369"/>
      <c r="W40" s="369"/>
      <c r="X40" s="369"/>
      <c r="Y40" s="369"/>
      <c r="Z40" s="369"/>
      <c r="AA40" s="369"/>
      <c r="AB40" s="369"/>
      <c r="AC40" s="369">
        <f>SUM(H40:AB40)</f>
        <v>4480.1899999999996</v>
      </c>
      <c r="AD40" s="147" t="s">
        <v>154</v>
      </c>
      <c r="AE40" s="47"/>
      <c r="AF40" s="154"/>
    </row>
    <row r="41" spans="1:32" ht="16.5" customHeight="1" thickBot="1" x14ac:dyDescent="0.25">
      <c r="A41" s="144" t="s">
        <v>155</v>
      </c>
      <c r="B41" s="31"/>
      <c r="C41" s="34"/>
      <c r="D41" s="34"/>
      <c r="E41" s="34"/>
      <c r="F41" s="365"/>
      <c r="G41" s="411"/>
      <c r="H41" s="156">
        <f>SUM(H12:H40)</f>
        <v>86157.5</v>
      </c>
      <c r="I41" s="156"/>
      <c r="J41" s="156"/>
      <c r="K41" s="156"/>
      <c r="L41" s="156"/>
      <c r="M41" s="157"/>
      <c r="N41" s="156"/>
      <c r="O41" s="156"/>
      <c r="P41" s="156"/>
      <c r="Q41" s="156"/>
      <c r="R41" s="156"/>
      <c r="S41" s="156"/>
      <c r="T41" s="156"/>
      <c r="U41" s="156"/>
      <c r="V41" s="156"/>
      <c r="W41" s="156"/>
      <c r="X41" s="156"/>
      <c r="Y41" s="156"/>
      <c r="Z41" s="156"/>
      <c r="AA41" s="156"/>
      <c r="AB41" s="156"/>
      <c r="AC41" s="156">
        <f>SUM(AC12:AC40)+I41</f>
        <v>86157.5</v>
      </c>
      <c r="AD41" s="147" t="s">
        <v>155</v>
      </c>
      <c r="AE41" s="158"/>
      <c r="AF41" s="159"/>
    </row>
    <row r="42" spans="1:32" ht="17.25" customHeight="1" thickTop="1" x14ac:dyDescent="0.15">
      <c r="A42" s="806" t="s">
        <v>49</v>
      </c>
      <c r="B42" s="806"/>
      <c r="C42" s="806"/>
      <c r="D42" s="806"/>
      <c r="E42" s="806"/>
      <c r="F42" s="806"/>
      <c r="G42" s="298"/>
      <c r="I42" s="116" t="s">
        <v>50</v>
      </c>
      <c r="K42" s="160" t="s">
        <v>37</v>
      </c>
      <c r="AB42" s="807" t="s">
        <v>212</v>
      </c>
      <c r="AC42" s="808"/>
      <c r="AD42" s="808"/>
      <c r="AE42" s="808"/>
    </row>
    <row r="43" spans="1:32" ht="17.25" customHeight="1" x14ac:dyDescent="0.15">
      <c r="A43" s="807"/>
      <c r="B43" s="807"/>
      <c r="C43" s="807"/>
      <c r="D43" s="807"/>
      <c r="E43" s="807"/>
      <c r="F43" s="807"/>
      <c r="G43" s="298"/>
      <c r="H43" s="160"/>
      <c r="AB43" s="808"/>
      <c r="AC43" s="808"/>
      <c r="AD43" s="808"/>
      <c r="AE43" s="808"/>
    </row>
    <row r="44" spans="1:32" ht="24.75" customHeight="1" x14ac:dyDescent="0.2">
      <c r="A44" s="807"/>
      <c r="B44" s="807"/>
      <c r="C44" s="807"/>
      <c r="D44" s="807"/>
      <c r="E44" s="807"/>
      <c r="F44" s="807"/>
      <c r="G44" s="298"/>
      <c r="I44" s="161"/>
      <c r="J44" s="809" t="s">
        <v>200</v>
      </c>
      <c r="K44" s="809"/>
      <c r="L44" s="809"/>
      <c r="M44" s="809"/>
      <c r="N44" s="809"/>
      <c r="O44" s="809"/>
      <c r="P44" s="809"/>
      <c r="Q44" s="162"/>
      <c r="AB44" s="808"/>
      <c r="AC44" s="808"/>
      <c r="AD44" s="808"/>
      <c r="AE44" s="808"/>
    </row>
    <row r="45" spans="1:32" ht="17.25" customHeight="1" x14ac:dyDescent="0.2">
      <c r="J45" s="810" t="s">
        <v>79</v>
      </c>
      <c r="K45" s="810"/>
      <c r="L45" s="810"/>
      <c r="M45" s="810"/>
      <c r="N45" s="810"/>
      <c r="O45" s="810"/>
      <c r="P45" s="811"/>
      <c r="AB45" s="808"/>
      <c r="AC45" s="808"/>
      <c r="AD45" s="808"/>
      <c r="AE45" s="808"/>
    </row>
    <row r="46" spans="1:32" ht="17.25" customHeight="1" x14ac:dyDescent="0.2">
      <c r="C46" s="812" t="s">
        <v>199</v>
      </c>
      <c r="D46" s="813"/>
      <c r="E46" s="813"/>
      <c r="F46" s="813"/>
      <c r="G46" s="813"/>
      <c r="H46" s="813"/>
      <c r="J46" s="810" t="s">
        <v>51</v>
      </c>
      <c r="K46" s="810"/>
      <c r="L46" s="810"/>
      <c r="M46" s="810"/>
      <c r="N46" s="810"/>
      <c r="O46" s="810"/>
      <c r="P46" s="811"/>
      <c r="AB46" s="808"/>
      <c r="AC46" s="808"/>
      <c r="AD46" s="808"/>
      <c r="AE46" s="808"/>
    </row>
    <row r="47" spans="1:32" ht="17.25" customHeight="1" x14ac:dyDescent="0.2">
      <c r="D47" s="759" t="s">
        <v>214</v>
      </c>
      <c r="E47" s="759"/>
      <c r="F47" s="759"/>
      <c r="G47" s="298"/>
      <c r="AB47" s="808"/>
      <c r="AC47" s="808"/>
      <c r="AD47" s="808"/>
      <c r="AE47" s="808"/>
    </row>
    <row r="48" spans="1:32" ht="17.25" hidden="1" customHeight="1" x14ac:dyDescent="0.15">
      <c r="AB48" s="808"/>
      <c r="AC48" s="808"/>
      <c r="AD48" s="808"/>
      <c r="AE48" s="808"/>
    </row>
    <row r="49" spans="1:32" ht="17.25" customHeight="1" x14ac:dyDescent="0.15">
      <c r="A49" s="164" t="s">
        <v>52</v>
      </c>
    </row>
    <row r="50" spans="1:32" ht="6" customHeight="1" x14ac:dyDescent="0.15">
      <c r="AB50" s="165"/>
      <c r="AC50" s="165"/>
      <c r="AD50" s="165"/>
      <c r="AE50" s="165"/>
    </row>
    <row r="51" spans="1:32" ht="11.25" customHeight="1" x14ac:dyDescent="0.15">
      <c r="E51" s="116" t="s">
        <v>53</v>
      </c>
      <c r="AB51" s="801" t="s">
        <v>213</v>
      </c>
      <c r="AC51" s="802"/>
      <c r="AD51" s="802"/>
      <c r="AE51" s="802"/>
    </row>
    <row r="52" spans="1:32" ht="11.25" customHeight="1" x14ac:dyDescent="0.15">
      <c r="AB52" s="802"/>
      <c r="AC52" s="802"/>
      <c r="AD52" s="802"/>
      <c r="AE52" s="802"/>
    </row>
    <row r="53" spans="1:32" ht="17.25" customHeight="1" x14ac:dyDescent="0.15">
      <c r="A53" s="164" t="s">
        <v>54</v>
      </c>
      <c r="AB53" s="802"/>
      <c r="AC53" s="802"/>
      <c r="AD53" s="802"/>
      <c r="AE53" s="802"/>
    </row>
    <row r="54" spans="1:32" ht="6.75" customHeight="1" x14ac:dyDescent="0.15">
      <c r="AB54" s="802"/>
      <c r="AC54" s="802"/>
      <c r="AD54" s="802"/>
      <c r="AE54" s="802"/>
    </row>
    <row r="55" spans="1:32" ht="16.5" customHeight="1" x14ac:dyDescent="0.15">
      <c r="C55" s="116" t="s">
        <v>56</v>
      </c>
      <c r="E55" s="116" t="s">
        <v>57</v>
      </c>
      <c r="AB55" s="802"/>
      <c r="AC55" s="802"/>
      <c r="AD55" s="802"/>
      <c r="AE55" s="802"/>
    </row>
    <row r="56" spans="1:32" ht="17.25" customHeight="1" x14ac:dyDescent="0.15">
      <c r="C56" s="803" t="s">
        <v>58</v>
      </c>
      <c r="D56" s="803"/>
      <c r="E56" s="803"/>
      <c r="AF56" s="166" t="s">
        <v>53</v>
      </c>
    </row>
  </sheetData>
  <mergeCells count="51">
    <mergeCell ref="AB51:AE55"/>
    <mergeCell ref="C56:E56"/>
    <mergeCell ref="D11:E11"/>
    <mergeCell ref="A42:F44"/>
    <mergeCell ref="AB42:AE48"/>
    <mergeCell ref="J44:P44"/>
    <mergeCell ref="J45:P45"/>
    <mergeCell ref="C46:H46"/>
    <mergeCell ref="J46:P46"/>
    <mergeCell ref="D47:F47"/>
    <mergeCell ref="D36:E36"/>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T8:T9"/>
    <mergeCell ref="P6:Q6"/>
    <mergeCell ref="Z6:Z8"/>
    <mergeCell ref="AA6:AA8"/>
    <mergeCell ref="J5:J8"/>
    <mergeCell ref="K5:K8"/>
    <mergeCell ref="L5:L8"/>
    <mergeCell ref="U8:U9"/>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s>
  <pageMargins left="0.51" right="0.28000000000000003" top="0.37" bottom="0.15" header="0.37" footer="0.15"/>
  <pageSetup paperSize="8" scale="8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42"/>
  <sheetViews>
    <sheetView topLeftCell="D1" workbookViewId="0">
      <selection activeCell="E19" sqref="E19"/>
    </sheetView>
  </sheetViews>
  <sheetFormatPr defaultColWidth="9.140625" defaultRowHeight="17.25" customHeight="1" x14ac:dyDescent="0.15"/>
  <cols>
    <col min="1" max="1" width="3" style="163" customWidth="1"/>
    <col min="2" max="2" width="27.85546875" style="164" customWidth="1"/>
    <col min="3" max="3" width="18.28515625" style="116" customWidth="1"/>
    <col min="4" max="4" width="8.5703125" style="116" customWidth="1"/>
    <col min="5" max="5" width="7.42578125" style="116" customWidth="1"/>
    <col min="6" max="6" width="9.42578125" style="116" customWidth="1"/>
    <col min="7" max="7" width="7.140625" style="131" customWidth="1"/>
    <col min="8" max="8" width="12.42578125" style="116" customWidth="1"/>
    <col min="9" max="9" width="7.42578125" style="116" customWidth="1"/>
    <col min="10" max="11" width="6.2851562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5" style="116" customWidth="1"/>
    <col min="27" max="27" width="5.28515625" style="116" customWidth="1"/>
    <col min="28" max="28" width="7" style="116" customWidth="1"/>
    <col min="29" max="29" width="11.85546875" style="116" customWidth="1"/>
    <col min="30" max="30" width="3.5703125" style="116" customWidth="1"/>
    <col min="31" max="31" width="25.85546875" style="116" customWidth="1"/>
    <col min="32" max="32" width="10.570312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21.75" customHeight="1" thickTop="1" x14ac:dyDescent="0.25">
      <c r="A4" s="761" t="s">
        <v>1</v>
      </c>
      <c r="B4" s="763" t="s">
        <v>2</v>
      </c>
      <c r="C4" s="765" t="s">
        <v>3</v>
      </c>
      <c r="D4" s="768" t="s">
        <v>4</v>
      </c>
      <c r="E4" s="768"/>
      <c r="F4" s="769"/>
      <c r="G4" s="294"/>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770"/>
      <c r="G5" s="295"/>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v>
      </c>
      <c r="AE5" s="124"/>
      <c r="AF5" s="124"/>
    </row>
    <row r="6" spans="1:32" s="125" customFormat="1" ht="17.25" customHeight="1" x14ac:dyDescent="0.15">
      <c r="A6" s="762"/>
      <c r="B6" s="764"/>
      <c r="C6" s="766"/>
      <c r="D6" s="762"/>
      <c r="E6" s="762"/>
      <c r="F6" s="779"/>
      <c r="G6" s="291"/>
      <c r="H6" s="772"/>
      <c r="I6" s="777"/>
      <c r="J6" s="785"/>
      <c r="K6" s="785"/>
      <c r="L6" s="785"/>
      <c r="M6" s="781" t="s">
        <v>160</v>
      </c>
      <c r="N6" s="774" t="s">
        <v>37</v>
      </c>
      <c r="O6" s="774" t="s">
        <v>18</v>
      </c>
      <c r="P6" s="786" t="s">
        <v>19</v>
      </c>
      <c r="Q6" s="787"/>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15">
      <c r="A7" s="762"/>
      <c r="B7" s="764"/>
      <c r="C7" s="766"/>
      <c r="D7" s="762"/>
      <c r="E7" s="762"/>
      <c r="F7" s="780"/>
      <c r="G7" s="292"/>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1" t="s">
        <v>205</v>
      </c>
      <c r="G8" s="299" t="s">
        <v>374</v>
      </c>
      <c r="H8" s="132"/>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20"/>
      <c r="G9" s="300" t="s">
        <v>375</v>
      </c>
      <c r="H9" s="132"/>
      <c r="I9" s="134"/>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ht="16.5" customHeight="1" thickTop="1" x14ac:dyDescent="0.2">
      <c r="A11" s="144" t="s">
        <v>150</v>
      </c>
      <c r="B11" s="301">
        <v>8852</v>
      </c>
      <c r="C11" s="47"/>
      <c r="D11" s="804"/>
      <c r="E11" s="805"/>
      <c r="F11" s="368"/>
      <c r="G11" s="409"/>
      <c r="H11" s="191"/>
      <c r="I11" s="368"/>
      <c r="J11" s="368"/>
      <c r="K11" s="368"/>
      <c r="L11" s="368"/>
      <c r="M11" s="370"/>
      <c r="N11" s="368"/>
      <c r="O11" s="368"/>
      <c r="P11" s="371"/>
      <c r="Q11" s="371"/>
      <c r="R11" s="371"/>
      <c r="S11" s="371"/>
      <c r="T11" s="368"/>
      <c r="U11" s="368"/>
      <c r="V11" s="368"/>
      <c r="W11" s="368"/>
      <c r="X11" s="368"/>
      <c r="Y11" s="368"/>
      <c r="Z11" s="368"/>
      <c r="AA11" s="368"/>
      <c r="AB11" s="371"/>
      <c r="AC11" s="368"/>
      <c r="AD11" s="147" t="s">
        <v>150</v>
      </c>
      <c r="AE11" s="47"/>
      <c r="AF11" s="154"/>
    </row>
    <row r="12" spans="1:32" ht="16.5" customHeight="1" x14ac:dyDescent="0.2">
      <c r="A12" s="144" t="s">
        <v>151</v>
      </c>
      <c r="B12" s="46" t="s">
        <v>328</v>
      </c>
      <c r="C12" s="47" t="s">
        <v>281</v>
      </c>
      <c r="D12" s="814" t="s">
        <v>398</v>
      </c>
      <c r="E12" s="815"/>
      <c r="F12" s="47">
        <v>344.63</v>
      </c>
      <c r="G12" s="296">
        <v>13</v>
      </c>
      <c r="H12" s="45">
        <f>F12*G12</f>
        <v>4480.1899999999996</v>
      </c>
      <c r="I12" s="47"/>
      <c r="J12" s="47"/>
      <c r="K12" s="47"/>
      <c r="L12" s="47"/>
      <c r="M12" s="47"/>
      <c r="N12" s="47"/>
      <c r="O12" s="47"/>
      <c r="P12" s="47"/>
      <c r="Q12" s="47"/>
      <c r="R12" s="47"/>
      <c r="S12" s="47"/>
      <c r="T12" s="47"/>
      <c r="U12" s="47"/>
      <c r="V12" s="47"/>
      <c r="W12" s="47"/>
      <c r="X12" s="47"/>
      <c r="Y12" s="47"/>
      <c r="Z12" s="47"/>
      <c r="AA12" s="47"/>
      <c r="AB12" s="47"/>
      <c r="AC12" s="47">
        <f>SUM(H12:AB12)</f>
        <v>4480.1899999999996</v>
      </c>
      <c r="AD12" s="147" t="s">
        <v>151</v>
      </c>
      <c r="AE12" s="47"/>
      <c r="AF12" s="154"/>
    </row>
    <row r="13" spans="1:32" ht="16.5" customHeight="1" x14ac:dyDescent="0.2">
      <c r="A13" s="144" t="s">
        <v>152</v>
      </c>
      <c r="B13" s="46" t="s">
        <v>329</v>
      </c>
      <c r="C13" s="47" t="s">
        <v>281</v>
      </c>
      <c r="D13" s="167" t="s">
        <v>272</v>
      </c>
      <c r="E13" s="151" t="s">
        <v>175</v>
      </c>
      <c r="F13" s="47">
        <v>344.63</v>
      </c>
      <c r="G13" s="296">
        <v>14</v>
      </c>
      <c r="H13" s="45">
        <f>F13*G13</f>
        <v>4824.82</v>
      </c>
      <c r="I13" s="47"/>
      <c r="J13" s="47"/>
      <c r="K13" s="47"/>
      <c r="L13" s="47"/>
      <c r="M13" s="47"/>
      <c r="N13" s="47"/>
      <c r="O13" s="47"/>
      <c r="P13" s="47"/>
      <c r="Q13" s="47"/>
      <c r="R13" s="47"/>
      <c r="S13" s="47"/>
      <c r="T13" s="47"/>
      <c r="U13" s="47"/>
      <c r="V13" s="47"/>
      <c r="W13" s="47"/>
      <c r="X13" s="47"/>
      <c r="Y13" s="47"/>
      <c r="Z13" s="47"/>
      <c r="AA13" s="47"/>
      <c r="AB13" s="47"/>
      <c r="AC13" s="47">
        <f>SUM(H13:AB13)</f>
        <v>4824.82</v>
      </c>
      <c r="AD13" s="147" t="s">
        <v>152</v>
      </c>
      <c r="AE13" s="47"/>
      <c r="AF13" s="154"/>
    </row>
    <row r="14" spans="1:32" ht="16.5" customHeight="1" x14ac:dyDescent="0.2">
      <c r="A14" s="144" t="s">
        <v>153</v>
      </c>
      <c r="B14" s="46" t="s">
        <v>330</v>
      </c>
      <c r="C14" s="47" t="s">
        <v>281</v>
      </c>
      <c r="D14" s="167" t="s">
        <v>272</v>
      </c>
      <c r="E14" s="151" t="s">
        <v>175</v>
      </c>
      <c r="F14" s="47">
        <v>344.63</v>
      </c>
      <c r="G14" s="296">
        <v>14</v>
      </c>
      <c r="H14" s="45">
        <f>F14*G14</f>
        <v>4824.82</v>
      </c>
      <c r="I14" s="47"/>
      <c r="J14" s="47"/>
      <c r="K14" s="47"/>
      <c r="L14" s="47"/>
      <c r="M14" s="47"/>
      <c r="N14" s="47"/>
      <c r="O14" s="47"/>
      <c r="P14" s="47"/>
      <c r="Q14" s="47"/>
      <c r="R14" s="47"/>
      <c r="S14" s="47"/>
      <c r="T14" s="47"/>
      <c r="U14" s="47"/>
      <c r="V14" s="47"/>
      <c r="W14" s="47"/>
      <c r="X14" s="47"/>
      <c r="Y14" s="47"/>
      <c r="Z14" s="47"/>
      <c r="AA14" s="47"/>
      <c r="AB14" s="47"/>
      <c r="AC14" s="47">
        <f>SUM(H14:AB14)</f>
        <v>4824.82</v>
      </c>
      <c r="AD14" s="147" t="s">
        <v>153</v>
      </c>
      <c r="AE14" s="47"/>
      <c r="AF14" s="154"/>
    </row>
    <row r="15" spans="1:32" ht="16.5" customHeight="1" thickBot="1" x14ac:dyDescent="0.25">
      <c r="A15" s="144" t="s">
        <v>154</v>
      </c>
      <c r="B15" s="46" t="s">
        <v>331</v>
      </c>
      <c r="C15" s="47" t="s">
        <v>281</v>
      </c>
      <c r="D15" s="167" t="s">
        <v>272</v>
      </c>
      <c r="E15" s="151" t="s">
        <v>175</v>
      </c>
      <c r="F15" s="369">
        <v>344.63</v>
      </c>
      <c r="G15" s="410">
        <v>14</v>
      </c>
      <c r="H15" s="412">
        <f>F15*G15</f>
        <v>4824.82</v>
      </c>
      <c r="I15" s="369"/>
      <c r="J15" s="369"/>
      <c r="K15" s="369"/>
      <c r="L15" s="369"/>
      <c r="M15" s="369"/>
      <c r="N15" s="369"/>
      <c r="O15" s="369"/>
      <c r="P15" s="369"/>
      <c r="Q15" s="369"/>
      <c r="R15" s="369"/>
      <c r="S15" s="369"/>
      <c r="T15" s="369"/>
      <c r="U15" s="369"/>
      <c r="V15" s="369"/>
      <c r="W15" s="369"/>
      <c r="X15" s="369"/>
      <c r="Y15" s="369"/>
      <c r="Z15" s="369"/>
      <c r="AA15" s="369"/>
      <c r="AB15" s="369"/>
      <c r="AC15" s="369">
        <f>SUM(H15:AB15)</f>
        <v>4824.82</v>
      </c>
      <c r="AD15" s="147" t="s">
        <v>154</v>
      </c>
      <c r="AE15" s="47"/>
      <c r="AF15" s="154"/>
    </row>
    <row r="16" spans="1:32" ht="14.25" customHeight="1" x14ac:dyDescent="0.2">
      <c r="A16" s="144"/>
      <c r="B16" s="46"/>
      <c r="C16" s="47"/>
      <c r="D16" s="167"/>
      <c r="E16" s="151"/>
      <c r="F16" s="413"/>
      <c r="G16" s="191"/>
      <c r="H16" s="191"/>
      <c r="I16" s="368"/>
      <c r="J16" s="368"/>
      <c r="K16" s="368"/>
      <c r="L16" s="368"/>
      <c r="M16" s="368"/>
      <c r="N16" s="368"/>
      <c r="O16" s="368"/>
      <c r="P16" s="368"/>
      <c r="Q16" s="368"/>
      <c r="R16" s="368"/>
      <c r="S16" s="368"/>
      <c r="T16" s="368"/>
      <c r="U16" s="368"/>
      <c r="V16" s="368"/>
      <c r="W16" s="368"/>
      <c r="X16" s="368"/>
      <c r="Y16" s="368"/>
      <c r="Z16" s="368"/>
      <c r="AA16" s="368"/>
      <c r="AB16" s="368"/>
      <c r="AC16" s="368"/>
      <c r="AD16" s="147"/>
      <c r="AE16" s="47"/>
      <c r="AF16" s="154"/>
    </row>
    <row r="17" spans="1:32" ht="16.5" customHeight="1" x14ac:dyDescent="0.2">
      <c r="A17" s="144"/>
      <c r="B17" s="301"/>
      <c r="C17" s="47"/>
      <c r="D17" s="167"/>
      <c r="E17" s="151"/>
      <c r="F17" s="47"/>
      <c r="G17" s="296"/>
      <c r="H17" s="45"/>
      <c r="I17" s="45"/>
      <c r="J17" s="45"/>
      <c r="K17" s="45"/>
      <c r="L17" s="45"/>
      <c r="M17" s="45"/>
      <c r="N17" s="45"/>
      <c r="O17" s="45"/>
      <c r="P17" s="45"/>
      <c r="Q17" s="45"/>
      <c r="R17" s="45"/>
      <c r="S17" s="45"/>
      <c r="T17" s="45"/>
      <c r="U17" s="45"/>
      <c r="V17" s="45"/>
      <c r="W17" s="45"/>
      <c r="X17" s="45"/>
      <c r="Y17" s="45"/>
      <c r="Z17" s="45"/>
      <c r="AA17" s="45"/>
      <c r="AB17" s="45"/>
      <c r="AC17" s="45"/>
      <c r="AD17" s="147"/>
      <c r="AE17" s="47"/>
      <c r="AF17" s="154"/>
    </row>
    <row r="18" spans="1:32" ht="16.5" customHeight="1" x14ac:dyDescent="0.2">
      <c r="A18" s="144"/>
      <c r="B18" s="46"/>
      <c r="C18" s="47"/>
      <c r="D18" s="167"/>
      <c r="E18" s="151"/>
      <c r="F18" s="47"/>
      <c r="G18" s="296"/>
      <c r="H18" s="45"/>
      <c r="I18" s="45"/>
      <c r="J18" s="45"/>
      <c r="K18" s="45"/>
      <c r="L18" s="45"/>
      <c r="M18" s="45"/>
      <c r="N18" s="45"/>
      <c r="O18" s="45"/>
      <c r="P18" s="45"/>
      <c r="Q18" s="45"/>
      <c r="R18" s="45"/>
      <c r="S18" s="45"/>
      <c r="T18" s="45"/>
      <c r="U18" s="45"/>
      <c r="V18" s="45"/>
      <c r="W18" s="45"/>
      <c r="X18" s="45"/>
      <c r="Y18" s="45"/>
      <c r="Z18" s="45"/>
      <c r="AA18" s="45"/>
      <c r="AB18" s="45"/>
      <c r="AC18" s="45"/>
      <c r="AD18" s="147"/>
      <c r="AE18" s="47"/>
      <c r="AF18" s="154"/>
    </row>
    <row r="19" spans="1:32" ht="16.5" customHeight="1" x14ac:dyDescent="0.2">
      <c r="A19" s="144"/>
      <c r="B19" s="46"/>
      <c r="C19" s="47"/>
      <c r="D19" s="167"/>
      <c r="E19" s="151"/>
      <c r="F19" s="47"/>
      <c r="G19" s="296"/>
      <c r="H19" s="47"/>
      <c r="I19" s="47"/>
      <c r="J19" s="47"/>
      <c r="K19" s="47"/>
      <c r="L19" s="47"/>
      <c r="M19" s="47"/>
      <c r="N19" s="47"/>
      <c r="O19" s="47"/>
      <c r="P19" s="47"/>
      <c r="Q19" s="47"/>
      <c r="R19" s="47"/>
      <c r="S19" s="47"/>
      <c r="T19" s="47"/>
      <c r="U19" s="47"/>
      <c r="V19" s="47"/>
      <c r="W19" s="47"/>
      <c r="X19" s="47"/>
      <c r="Y19" s="47"/>
      <c r="Z19" s="47"/>
      <c r="AA19" s="47"/>
      <c r="AB19" s="47"/>
      <c r="AC19" s="47"/>
      <c r="AD19" s="147"/>
      <c r="AE19" s="47"/>
      <c r="AF19" s="154"/>
    </row>
    <row r="20" spans="1:32" ht="16.5" customHeight="1" x14ac:dyDescent="0.2">
      <c r="A20" s="144"/>
      <c r="B20" s="301"/>
      <c r="C20" s="47"/>
      <c r="D20" s="167"/>
      <c r="E20" s="151"/>
      <c r="F20" s="45"/>
      <c r="G20" s="319"/>
      <c r="H20" s="45"/>
      <c r="I20" s="45"/>
      <c r="J20" s="45"/>
      <c r="K20" s="45"/>
      <c r="L20" s="45"/>
      <c r="M20" s="45"/>
      <c r="N20" s="45"/>
      <c r="O20" s="45"/>
      <c r="P20" s="45"/>
      <c r="Q20" s="45"/>
      <c r="R20" s="45"/>
      <c r="S20" s="45"/>
      <c r="T20" s="45"/>
      <c r="U20" s="45"/>
      <c r="V20" s="45"/>
      <c r="W20" s="45"/>
      <c r="X20" s="45"/>
      <c r="Y20" s="45"/>
      <c r="Z20" s="45"/>
      <c r="AA20" s="45"/>
      <c r="AB20" s="45"/>
      <c r="AC20" s="45"/>
      <c r="AD20" s="147"/>
      <c r="AE20" s="47"/>
      <c r="AF20" s="154"/>
    </row>
    <row r="21" spans="1:32" ht="16.5" customHeight="1" x14ac:dyDescent="0.2">
      <c r="A21" s="144"/>
      <c r="B21" s="46"/>
      <c r="C21" s="47"/>
      <c r="D21" s="167"/>
      <c r="E21" s="151"/>
      <c r="F21" s="45"/>
      <c r="G21" s="319"/>
      <c r="H21" s="45"/>
      <c r="I21" s="45"/>
      <c r="J21" s="45"/>
      <c r="K21" s="45"/>
      <c r="L21" s="45"/>
      <c r="M21" s="45"/>
      <c r="N21" s="45"/>
      <c r="O21" s="45"/>
      <c r="P21" s="45"/>
      <c r="Q21" s="45"/>
      <c r="R21" s="45"/>
      <c r="S21" s="45"/>
      <c r="T21" s="45"/>
      <c r="U21" s="45"/>
      <c r="V21" s="45"/>
      <c r="W21" s="45"/>
      <c r="X21" s="45"/>
      <c r="Y21" s="45"/>
      <c r="Z21" s="45"/>
      <c r="AA21" s="45"/>
      <c r="AB21" s="45"/>
      <c r="AC21" s="45"/>
      <c r="AD21" s="147"/>
      <c r="AE21" s="47"/>
      <c r="AF21" s="154"/>
    </row>
    <row r="22" spans="1:32" ht="16.5" customHeight="1" x14ac:dyDescent="0.2">
      <c r="A22" s="144"/>
      <c r="B22" s="301"/>
      <c r="C22" s="47"/>
      <c r="D22" s="167"/>
      <c r="E22" s="151"/>
      <c r="F22" s="45"/>
      <c r="G22" s="319"/>
      <c r="H22" s="45"/>
      <c r="I22" s="45"/>
      <c r="J22" s="45"/>
      <c r="K22" s="45"/>
      <c r="L22" s="45"/>
      <c r="M22" s="45"/>
      <c r="N22" s="45"/>
      <c r="O22" s="45"/>
      <c r="P22" s="45"/>
      <c r="Q22" s="45"/>
      <c r="R22" s="45"/>
      <c r="S22" s="45"/>
      <c r="T22" s="45"/>
      <c r="U22" s="45"/>
      <c r="V22" s="45"/>
      <c r="W22" s="45"/>
      <c r="X22" s="45"/>
      <c r="Y22" s="45"/>
      <c r="Z22" s="45"/>
      <c r="AA22" s="45"/>
      <c r="AB22" s="45"/>
      <c r="AC22" s="45"/>
      <c r="AD22" s="147"/>
      <c r="AE22" s="47"/>
      <c r="AF22" s="154"/>
    </row>
    <row r="23" spans="1:32" ht="16.5" customHeight="1" x14ac:dyDescent="0.2">
      <c r="A23" s="144"/>
      <c r="B23" s="46"/>
      <c r="C23" s="47"/>
      <c r="D23" s="167"/>
      <c r="E23" s="151"/>
      <c r="F23" s="45"/>
      <c r="G23" s="319"/>
      <c r="H23" s="45"/>
      <c r="I23" s="45"/>
      <c r="J23" s="45"/>
      <c r="K23" s="45"/>
      <c r="L23" s="45"/>
      <c r="M23" s="45"/>
      <c r="N23" s="45"/>
      <c r="O23" s="45"/>
      <c r="P23" s="45"/>
      <c r="Q23" s="45"/>
      <c r="R23" s="45"/>
      <c r="S23" s="45"/>
      <c r="T23" s="45"/>
      <c r="U23" s="45"/>
      <c r="V23" s="45"/>
      <c r="W23" s="45"/>
      <c r="X23" s="45"/>
      <c r="Y23" s="45"/>
      <c r="Z23" s="45"/>
      <c r="AA23" s="45"/>
      <c r="AB23" s="45"/>
      <c r="AC23" s="45"/>
      <c r="AD23" s="147"/>
      <c r="AE23" s="47"/>
      <c r="AF23" s="154"/>
    </row>
    <row r="24" spans="1:32" ht="16.5" customHeight="1" x14ac:dyDescent="0.2">
      <c r="A24" s="144"/>
      <c r="B24" s="301"/>
      <c r="C24" s="47"/>
      <c r="D24" s="167"/>
      <c r="E24" s="151"/>
      <c r="F24" s="45"/>
      <c r="G24" s="319"/>
      <c r="H24" s="45"/>
      <c r="I24" s="45"/>
      <c r="J24" s="45"/>
      <c r="K24" s="45"/>
      <c r="L24" s="45"/>
      <c r="M24" s="45"/>
      <c r="N24" s="45"/>
      <c r="O24" s="45"/>
      <c r="P24" s="45"/>
      <c r="Q24" s="45"/>
      <c r="R24" s="45"/>
      <c r="S24" s="45"/>
      <c r="T24" s="45"/>
      <c r="U24" s="45"/>
      <c r="V24" s="45"/>
      <c r="W24" s="45"/>
      <c r="X24" s="45"/>
      <c r="Y24" s="45"/>
      <c r="Z24" s="45"/>
      <c r="AA24" s="45"/>
      <c r="AB24" s="45"/>
      <c r="AC24" s="45"/>
      <c r="AD24" s="147"/>
      <c r="AE24" s="47"/>
      <c r="AF24" s="154"/>
    </row>
    <row r="25" spans="1:32" ht="16.5" customHeight="1" x14ac:dyDescent="0.2">
      <c r="A25" s="144"/>
      <c r="B25" s="46"/>
      <c r="C25" s="47"/>
      <c r="D25" s="167"/>
      <c r="E25" s="151"/>
      <c r="F25" s="45"/>
      <c r="G25" s="319"/>
      <c r="H25" s="45"/>
      <c r="I25" s="45"/>
      <c r="J25" s="45"/>
      <c r="K25" s="45"/>
      <c r="L25" s="45"/>
      <c r="M25" s="45"/>
      <c r="N25" s="45"/>
      <c r="O25" s="45"/>
      <c r="P25" s="45"/>
      <c r="Q25" s="45"/>
      <c r="R25" s="45"/>
      <c r="S25" s="45"/>
      <c r="T25" s="45"/>
      <c r="U25" s="45"/>
      <c r="V25" s="45"/>
      <c r="W25" s="45"/>
      <c r="X25" s="45"/>
      <c r="Y25" s="45"/>
      <c r="Z25" s="45"/>
      <c r="AA25" s="45"/>
      <c r="AB25" s="45"/>
      <c r="AC25" s="45"/>
      <c r="AD25" s="147"/>
      <c r="AE25" s="47"/>
      <c r="AF25" s="154"/>
    </row>
    <row r="26" spans="1:32" ht="16.5" customHeight="1" x14ac:dyDescent="0.2">
      <c r="A26" s="144"/>
      <c r="B26" s="46"/>
      <c r="C26" s="47"/>
      <c r="D26" s="167"/>
      <c r="E26" s="151"/>
      <c r="F26" s="45"/>
      <c r="G26" s="319"/>
      <c r="H26" s="45"/>
      <c r="I26" s="45"/>
      <c r="J26" s="45"/>
      <c r="K26" s="45"/>
      <c r="L26" s="45"/>
      <c r="M26" s="45"/>
      <c r="N26" s="45"/>
      <c r="O26" s="45"/>
      <c r="P26" s="45"/>
      <c r="Q26" s="45"/>
      <c r="R26" s="45"/>
      <c r="S26" s="45"/>
      <c r="T26" s="45"/>
      <c r="U26" s="45"/>
      <c r="V26" s="45"/>
      <c r="W26" s="45"/>
      <c r="X26" s="45"/>
      <c r="Y26" s="45"/>
      <c r="Z26" s="45"/>
      <c r="AA26" s="45"/>
      <c r="AB26" s="45"/>
      <c r="AC26" s="45"/>
      <c r="AD26" s="147"/>
      <c r="AE26" s="47"/>
      <c r="AF26" s="154"/>
    </row>
    <row r="27" spans="1:32" ht="16.5" customHeight="1" thickBot="1" x14ac:dyDescent="0.25">
      <c r="A27" s="144" t="s">
        <v>155</v>
      </c>
      <c r="B27" s="31"/>
      <c r="C27" s="34"/>
      <c r="D27" s="34"/>
      <c r="E27" s="34"/>
      <c r="F27" s="365"/>
      <c r="G27" s="411"/>
      <c r="H27" s="365">
        <f>SUM(H11:H26)</f>
        <v>18954.649999999998</v>
      </c>
      <c r="I27" s="365"/>
      <c r="J27" s="365"/>
      <c r="K27" s="365"/>
      <c r="L27" s="365"/>
      <c r="M27" s="366"/>
      <c r="N27" s="365"/>
      <c r="O27" s="365"/>
      <c r="P27" s="365"/>
      <c r="Q27" s="365"/>
      <c r="R27" s="365"/>
      <c r="S27" s="365"/>
      <c r="T27" s="365"/>
      <c r="U27" s="365"/>
      <c r="V27" s="365"/>
      <c r="W27" s="365"/>
      <c r="X27" s="365"/>
      <c r="Y27" s="365"/>
      <c r="Z27" s="365"/>
      <c r="AA27" s="365"/>
      <c r="AB27" s="365"/>
      <c r="AC27" s="365">
        <f>SUM(AC11:AC26)+I27</f>
        <v>18954.649999999998</v>
      </c>
      <c r="AD27" s="147" t="s">
        <v>155</v>
      </c>
      <c r="AE27" s="158"/>
      <c r="AF27" s="159"/>
    </row>
    <row r="28" spans="1:32" ht="17.25" customHeight="1" thickTop="1" x14ac:dyDescent="0.15">
      <c r="A28" s="806" t="s">
        <v>49</v>
      </c>
      <c r="B28" s="806"/>
      <c r="C28" s="806"/>
      <c r="D28" s="806"/>
      <c r="E28" s="806"/>
      <c r="F28" s="806"/>
      <c r="G28" s="298"/>
      <c r="I28" s="116" t="s">
        <v>50</v>
      </c>
      <c r="K28" s="160" t="s">
        <v>37</v>
      </c>
      <c r="AB28" s="807" t="s">
        <v>212</v>
      </c>
      <c r="AC28" s="808"/>
      <c r="AD28" s="808"/>
      <c r="AE28" s="808"/>
    </row>
    <row r="29" spans="1:32" ht="17.25" customHeight="1" x14ac:dyDescent="0.15">
      <c r="A29" s="807"/>
      <c r="B29" s="807"/>
      <c r="C29" s="807"/>
      <c r="D29" s="807"/>
      <c r="E29" s="807"/>
      <c r="F29" s="807"/>
      <c r="G29" s="298"/>
      <c r="H29" s="160"/>
      <c r="AB29" s="808"/>
      <c r="AC29" s="808"/>
      <c r="AD29" s="808"/>
      <c r="AE29" s="808"/>
    </row>
    <row r="30" spans="1:32" ht="24.75" customHeight="1" x14ac:dyDescent="0.2">
      <c r="A30" s="807"/>
      <c r="B30" s="807"/>
      <c r="C30" s="807"/>
      <c r="D30" s="807"/>
      <c r="E30" s="807"/>
      <c r="F30" s="807"/>
      <c r="G30" s="298"/>
      <c r="I30" s="161"/>
      <c r="J30" s="809" t="s">
        <v>200</v>
      </c>
      <c r="K30" s="809"/>
      <c r="L30" s="809"/>
      <c r="M30" s="809"/>
      <c r="N30" s="809"/>
      <c r="O30" s="809"/>
      <c r="P30" s="809"/>
      <c r="Q30" s="162"/>
      <c r="AB30" s="808"/>
      <c r="AC30" s="808"/>
      <c r="AD30" s="808"/>
      <c r="AE30" s="808"/>
    </row>
    <row r="31" spans="1:32" ht="17.25" customHeight="1" x14ac:dyDescent="0.2">
      <c r="J31" s="810" t="s">
        <v>79</v>
      </c>
      <c r="K31" s="810"/>
      <c r="L31" s="810"/>
      <c r="M31" s="810"/>
      <c r="N31" s="810"/>
      <c r="O31" s="810"/>
      <c r="P31" s="811"/>
      <c r="AB31" s="808"/>
      <c r="AC31" s="808"/>
      <c r="AD31" s="808"/>
      <c r="AE31" s="808"/>
    </row>
    <row r="32" spans="1:32" ht="17.25" customHeight="1" x14ac:dyDescent="0.2">
      <c r="C32" s="812" t="s">
        <v>422</v>
      </c>
      <c r="D32" s="813"/>
      <c r="E32" s="813"/>
      <c r="F32" s="813"/>
      <c r="G32" s="813"/>
      <c r="H32" s="813"/>
      <c r="J32" s="810" t="s">
        <v>51</v>
      </c>
      <c r="K32" s="810"/>
      <c r="L32" s="810"/>
      <c r="M32" s="810"/>
      <c r="N32" s="810"/>
      <c r="O32" s="810"/>
      <c r="P32" s="811"/>
      <c r="AB32" s="808"/>
      <c r="AC32" s="808"/>
      <c r="AD32" s="808"/>
      <c r="AE32" s="808"/>
    </row>
    <row r="33" spans="1:32" ht="17.25" customHeight="1" x14ac:dyDescent="0.2">
      <c r="D33" s="759" t="s">
        <v>423</v>
      </c>
      <c r="E33" s="759"/>
      <c r="F33" s="759"/>
      <c r="G33" s="298"/>
      <c r="AB33" s="808"/>
      <c r="AC33" s="808"/>
      <c r="AD33" s="808"/>
      <c r="AE33" s="808"/>
    </row>
    <row r="34" spans="1:32" ht="17.25" hidden="1" customHeight="1" x14ac:dyDescent="0.15">
      <c r="AB34" s="808"/>
      <c r="AC34" s="808"/>
      <c r="AD34" s="808"/>
      <c r="AE34" s="808"/>
    </row>
    <row r="35" spans="1:32" ht="17.25" customHeight="1" x14ac:dyDescent="0.15">
      <c r="A35" s="164" t="s">
        <v>52</v>
      </c>
    </row>
    <row r="36" spans="1:32" ht="6" customHeight="1" x14ac:dyDescent="0.15">
      <c r="AB36" s="165"/>
      <c r="AC36" s="165"/>
      <c r="AD36" s="165"/>
      <c r="AE36" s="165"/>
    </row>
    <row r="37" spans="1:32" ht="11.25" customHeight="1" x14ac:dyDescent="0.15">
      <c r="E37" s="116" t="s">
        <v>53</v>
      </c>
      <c r="AB37" s="801" t="s">
        <v>213</v>
      </c>
      <c r="AC37" s="802"/>
      <c r="AD37" s="802"/>
      <c r="AE37" s="802"/>
    </row>
    <row r="38" spans="1:32" ht="11.25" customHeight="1" x14ac:dyDescent="0.15">
      <c r="AB38" s="802"/>
      <c r="AC38" s="802"/>
      <c r="AD38" s="802"/>
      <c r="AE38" s="802"/>
    </row>
    <row r="39" spans="1:32" ht="17.25" customHeight="1" x14ac:dyDescent="0.15">
      <c r="A39" s="164" t="s">
        <v>54</v>
      </c>
      <c r="AB39" s="802"/>
      <c r="AC39" s="802"/>
      <c r="AD39" s="802"/>
      <c r="AE39" s="802"/>
    </row>
    <row r="40" spans="1:32" ht="6.75" customHeight="1" x14ac:dyDescent="0.15">
      <c r="AB40" s="802"/>
      <c r="AC40" s="802"/>
      <c r="AD40" s="802"/>
      <c r="AE40" s="802"/>
    </row>
    <row r="41" spans="1:32" ht="16.5" customHeight="1" x14ac:dyDescent="0.15">
      <c r="C41" s="116" t="s">
        <v>56</v>
      </c>
      <c r="E41" s="116" t="s">
        <v>57</v>
      </c>
      <c r="AB41" s="802"/>
      <c r="AC41" s="802"/>
      <c r="AD41" s="802"/>
      <c r="AE41" s="802"/>
    </row>
    <row r="42" spans="1:32" ht="17.25" customHeight="1" x14ac:dyDescent="0.15">
      <c r="C42" s="803" t="s">
        <v>58</v>
      </c>
      <c r="D42" s="803"/>
      <c r="E42" s="803"/>
      <c r="AF42" s="166" t="s">
        <v>53</v>
      </c>
    </row>
  </sheetData>
  <mergeCells count="51">
    <mergeCell ref="AB37:AE41"/>
    <mergeCell ref="C42:E42"/>
    <mergeCell ref="D11:E11"/>
    <mergeCell ref="D12:E12"/>
    <mergeCell ref="A28:F30"/>
    <mergeCell ref="AB28:AE34"/>
    <mergeCell ref="J30:P30"/>
    <mergeCell ref="J31:P31"/>
    <mergeCell ref="C32:H32"/>
    <mergeCell ref="J32:P32"/>
    <mergeCell ref="D33:F33"/>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T8:T9"/>
    <mergeCell ref="P6:Q6"/>
    <mergeCell ref="Z6:Z8"/>
    <mergeCell ref="AA6:AA8"/>
    <mergeCell ref="J5:J8"/>
    <mergeCell ref="K5:K8"/>
    <mergeCell ref="L5:L8"/>
    <mergeCell ref="U8:U9"/>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s>
  <pageMargins left="0.21" right="0.7" top="0.75" bottom="0.75" header="0.3" footer="0.3"/>
  <pageSetup paperSize="5"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AF58"/>
  <sheetViews>
    <sheetView topLeftCell="A7" workbookViewId="0">
      <selection activeCell="B28" sqref="B28:C31"/>
    </sheetView>
  </sheetViews>
  <sheetFormatPr defaultColWidth="9.140625" defaultRowHeight="17.25" customHeight="1" x14ac:dyDescent="0.15"/>
  <cols>
    <col min="1" max="1" width="3" style="163" customWidth="1"/>
    <col min="2" max="2" width="27.85546875" style="164" customWidth="1"/>
    <col min="3" max="3" width="19.85546875" style="116" customWidth="1"/>
    <col min="4" max="4" width="8.85546875" style="116" customWidth="1"/>
    <col min="5" max="5" width="9.42578125" style="116" customWidth="1"/>
    <col min="6" max="6" width="4.7109375" style="163" customWidth="1"/>
    <col min="7" max="7" width="11" style="116" customWidth="1"/>
    <col min="8" max="8" width="16.7109375" style="116" customWidth="1"/>
    <col min="9" max="9" width="9.85546875" style="116" customWidth="1"/>
    <col min="10" max="11" width="6.2851562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31.7109375" style="116" customWidth="1"/>
    <col min="32" max="32" width="16.8554687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21.75" customHeight="1" thickTop="1" x14ac:dyDescent="0.25">
      <c r="A4" s="761" t="s">
        <v>1</v>
      </c>
      <c r="B4" s="763" t="s">
        <v>2</v>
      </c>
      <c r="C4" s="765" t="s">
        <v>3</v>
      </c>
      <c r="D4" s="768" t="s">
        <v>4</v>
      </c>
      <c r="E4" s="768"/>
      <c r="F4" s="816"/>
      <c r="G4" s="769"/>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817"/>
      <c r="G5" s="770"/>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15</v>
      </c>
      <c r="AE5" s="124"/>
      <c r="AF5" s="124"/>
    </row>
    <row r="6" spans="1:32" s="125" customFormat="1" ht="17.25" customHeight="1" x14ac:dyDescent="0.2">
      <c r="A6" s="762"/>
      <c r="B6" s="764"/>
      <c r="C6" s="766"/>
      <c r="D6" s="762"/>
      <c r="E6" s="762"/>
      <c r="F6" s="337"/>
      <c r="G6" s="779" t="s">
        <v>206</v>
      </c>
      <c r="H6" s="772"/>
      <c r="I6" s="777"/>
      <c r="J6" s="785"/>
      <c r="K6" s="785"/>
      <c r="L6" s="785"/>
      <c r="M6" s="781" t="s">
        <v>160</v>
      </c>
      <c r="N6" s="774" t="s">
        <v>37</v>
      </c>
      <c r="O6" s="774" t="s">
        <v>18</v>
      </c>
      <c r="P6" s="786" t="s">
        <v>19</v>
      </c>
      <c r="Q6" s="787"/>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2">
      <c r="A7" s="762"/>
      <c r="B7" s="764"/>
      <c r="C7" s="766"/>
      <c r="D7" s="762"/>
      <c r="E7" s="762"/>
      <c r="F7" s="337"/>
      <c r="G7" s="780"/>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7"/>
      <c r="G8" s="131" t="s">
        <v>205</v>
      </c>
      <c r="H8" s="132"/>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37"/>
      <c r="G9" s="120"/>
      <c r="H9" s="132"/>
      <c r="I9" s="134"/>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25">
      <c r="A10" s="139">
        <v>1</v>
      </c>
      <c r="B10" s="139">
        <v>2</v>
      </c>
      <c r="C10" s="139">
        <v>3</v>
      </c>
      <c r="D10" s="139">
        <v>4</v>
      </c>
      <c r="E10" s="139">
        <v>5</v>
      </c>
      <c r="F10" s="139"/>
      <c r="G10" s="139">
        <v>6</v>
      </c>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4.25" customHeight="1" thickTop="1" x14ac:dyDescent="0.2">
      <c r="A11" s="144" t="s">
        <v>38</v>
      </c>
      <c r="B11" s="301">
        <v>1031</v>
      </c>
      <c r="C11" s="145"/>
      <c r="D11" s="394"/>
      <c r="E11" s="395"/>
      <c r="F11" s="396"/>
      <c r="G11" s="47"/>
      <c r="H11" s="47"/>
      <c r="I11" s="47"/>
      <c r="J11" s="47"/>
      <c r="K11" s="47"/>
      <c r="L11" s="47"/>
      <c r="M11" s="146"/>
      <c r="N11" s="47"/>
      <c r="O11" s="47"/>
      <c r="P11" s="145"/>
      <c r="Q11" s="145"/>
      <c r="R11" s="145"/>
      <c r="S11" s="145"/>
      <c r="T11" s="47"/>
      <c r="U11" s="47"/>
      <c r="V11" s="47"/>
      <c r="W11" s="47"/>
      <c r="X11" s="47"/>
      <c r="Y11" s="47"/>
      <c r="Z11" s="47"/>
      <c r="AA11" s="47"/>
      <c r="AB11" s="145"/>
      <c r="AC11" s="47"/>
      <c r="AD11" s="147" t="s">
        <v>38</v>
      </c>
      <c r="AE11" s="148"/>
      <c r="AF11" s="149"/>
    </row>
    <row r="12" spans="1:32" s="143" customFormat="1" ht="14.25" customHeight="1" thickBot="1" x14ac:dyDescent="0.25">
      <c r="A12" s="144" t="s">
        <v>127</v>
      </c>
      <c r="B12" s="46" t="s">
        <v>309</v>
      </c>
      <c r="C12" s="47" t="s">
        <v>281</v>
      </c>
      <c r="D12" s="804" t="s">
        <v>403</v>
      </c>
      <c r="E12" s="805"/>
      <c r="F12" s="338">
        <v>12</v>
      </c>
      <c r="G12" s="45">
        <v>344.63</v>
      </c>
      <c r="H12" s="158">
        <f>G12*F12</f>
        <v>4135.5599999999995</v>
      </c>
      <c r="I12" s="158"/>
      <c r="J12" s="158"/>
      <c r="K12" s="158"/>
      <c r="L12" s="158"/>
      <c r="M12" s="158"/>
      <c r="N12" s="158"/>
      <c r="O12" s="158"/>
      <c r="P12" s="158"/>
      <c r="Q12" s="158"/>
      <c r="R12" s="158"/>
      <c r="S12" s="158"/>
      <c r="T12" s="158"/>
      <c r="U12" s="158"/>
      <c r="V12" s="158"/>
      <c r="W12" s="158"/>
      <c r="X12" s="158"/>
      <c r="Y12" s="158"/>
      <c r="Z12" s="158"/>
      <c r="AA12" s="158"/>
      <c r="AB12" s="158"/>
      <c r="AC12" s="158">
        <f>SUM(H12:AB12)</f>
        <v>4135.5599999999995</v>
      </c>
      <c r="AD12" s="147" t="s">
        <v>127</v>
      </c>
      <c r="AE12" s="152"/>
      <c r="AF12" s="153"/>
    </row>
    <row r="13" spans="1:32" ht="14.25" customHeight="1" thickTop="1" x14ac:dyDescent="0.2">
      <c r="A13" s="144" t="s">
        <v>128</v>
      </c>
      <c r="B13" s="301">
        <v>1041</v>
      </c>
      <c r="C13" s="47"/>
      <c r="D13" s="167"/>
      <c r="E13" s="151"/>
      <c r="F13" s="397"/>
      <c r="G13" s="47"/>
      <c r="H13" s="368"/>
      <c r="I13" s="368"/>
      <c r="J13" s="368"/>
      <c r="K13" s="368"/>
      <c r="L13" s="368"/>
      <c r="M13" s="368"/>
      <c r="N13" s="368"/>
      <c r="O13" s="368"/>
      <c r="P13" s="368"/>
      <c r="Q13" s="368"/>
      <c r="R13" s="368"/>
      <c r="S13" s="368"/>
      <c r="T13" s="368"/>
      <c r="U13" s="368"/>
      <c r="V13" s="368"/>
      <c r="W13" s="368"/>
      <c r="X13" s="368"/>
      <c r="Y13" s="368"/>
      <c r="Z13" s="368"/>
      <c r="AA13" s="368"/>
      <c r="AB13" s="368"/>
      <c r="AC13" s="368"/>
      <c r="AD13" s="147" t="s">
        <v>128</v>
      </c>
      <c r="AE13" s="47"/>
      <c r="AF13" s="154"/>
    </row>
    <row r="14" spans="1:32" ht="14.25" customHeight="1" x14ac:dyDescent="0.2">
      <c r="A14" s="144" t="s">
        <v>129</v>
      </c>
      <c r="B14" s="46" t="s">
        <v>310</v>
      </c>
      <c r="C14" s="47" t="s">
        <v>281</v>
      </c>
      <c r="D14" s="167" t="s">
        <v>272</v>
      </c>
      <c r="E14" s="151" t="s">
        <v>175</v>
      </c>
      <c r="F14" s="398" t="s">
        <v>135</v>
      </c>
      <c r="G14" s="45">
        <v>344.63</v>
      </c>
      <c r="H14" s="45">
        <f>G14*F14</f>
        <v>3790.93</v>
      </c>
      <c r="I14" s="47"/>
      <c r="J14" s="47"/>
      <c r="K14" s="47"/>
      <c r="L14" s="47"/>
      <c r="M14" s="47"/>
      <c r="N14" s="47"/>
      <c r="O14" s="47"/>
      <c r="P14" s="47"/>
      <c r="Q14" s="47"/>
      <c r="R14" s="47"/>
      <c r="S14" s="47"/>
      <c r="T14" s="47"/>
      <c r="U14" s="47"/>
      <c r="V14" s="47"/>
      <c r="W14" s="47"/>
      <c r="X14" s="47"/>
      <c r="Y14" s="47"/>
      <c r="Z14" s="47"/>
      <c r="AA14" s="47"/>
      <c r="AB14" s="47"/>
      <c r="AC14" s="47">
        <f>SUM(H14:AB14)</f>
        <v>3790.93</v>
      </c>
      <c r="AD14" s="147" t="s">
        <v>129</v>
      </c>
      <c r="AE14" s="47"/>
      <c r="AF14" s="154"/>
    </row>
    <row r="15" spans="1:32" ht="14.25" customHeight="1" x14ac:dyDescent="0.2">
      <c r="A15" s="144" t="s">
        <v>130</v>
      </c>
      <c r="B15" s="46" t="s">
        <v>311</v>
      </c>
      <c r="C15" s="47" t="s">
        <v>281</v>
      </c>
      <c r="D15" s="167" t="s">
        <v>272</v>
      </c>
      <c r="E15" s="151" t="s">
        <v>175</v>
      </c>
      <c r="F15" s="398" t="s">
        <v>138</v>
      </c>
      <c r="G15" s="45">
        <v>344.63</v>
      </c>
      <c r="H15" s="45">
        <f>G15*F15</f>
        <v>4824.82</v>
      </c>
      <c r="I15" s="45"/>
      <c r="J15" s="45"/>
      <c r="K15" s="45"/>
      <c r="L15" s="45"/>
      <c r="M15" s="45"/>
      <c r="N15" s="45"/>
      <c r="O15" s="45"/>
      <c r="P15" s="45"/>
      <c r="Q15" s="45"/>
      <c r="R15" s="45"/>
      <c r="S15" s="45"/>
      <c r="T15" s="45"/>
      <c r="U15" s="45"/>
      <c r="V15" s="45"/>
      <c r="W15" s="45"/>
      <c r="X15" s="45"/>
      <c r="Y15" s="45"/>
      <c r="Z15" s="45"/>
      <c r="AA15" s="45"/>
      <c r="AB15" s="45"/>
      <c r="AC15" s="45">
        <f>SUM(H15:AB15)</f>
        <v>4824.82</v>
      </c>
      <c r="AD15" s="147" t="s">
        <v>130</v>
      </c>
      <c r="AE15" s="47"/>
      <c r="AF15" s="154"/>
    </row>
    <row r="16" spans="1:32" ht="14.25" customHeight="1" thickBot="1" x14ac:dyDescent="0.25">
      <c r="A16" s="144" t="s">
        <v>131</v>
      </c>
      <c r="B16" s="46" t="s">
        <v>385</v>
      </c>
      <c r="C16" s="47" t="s">
        <v>281</v>
      </c>
      <c r="D16" s="167" t="s">
        <v>272</v>
      </c>
      <c r="E16" s="151" t="s">
        <v>175</v>
      </c>
      <c r="F16" s="398" t="s">
        <v>386</v>
      </c>
      <c r="G16" s="45">
        <v>344.63</v>
      </c>
      <c r="H16" s="158">
        <f>G16*F16</f>
        <v>6031.0249999999996</v>
      </c>
      <c r="I16" s="158"/>
      <c r="J16" s="158"/>
      <c r="K16" s="158"/>
      <c r="L16" s="158"/>
      <c r="M16" s="158"/>
      <c r="N16" s="158"/>
      <c r="O16" s="158"/>
      <c r="P16" s="158"/>
      <c r="Q16" s="158"/>
      <c r="R16" s="158"/>
      <c r="S16" s="158"/>
      <c r="T16" s="158"/>
      <c r="U16" s="158"/>
      <c r="V16" s="158"/>
      <c r="W16" s="158"/>
      <c r="X16" s="158"/>
      <c r="Y16" s="158"/>
      <c r="Z16" s="158"/>
      <c r="AA16" s="158"/>
      <c r="AB16" s="158"/>
      <c r="AC16" s="158">
        <f>SUM(H16:AB16)</f>
        <v>6031.0249999999996</v>
      </c>
      <c r="AD16" s="147" t="s">
        <v>131</v>
      </c>
      <c r="AE16" s="47"/>
      <c r="AF16" s="154"/>
    </row>
    <row r="17" spans="1:32" ht="14.25" customHeight="1" thickTop="1" x14ac:dyDescent="0.2">
      <c r="A17" s="144" t="s">
        <v>132</v>
      </c>
      <c r="B17" s="301">
        <v>1061</v>
      </c>
      <c r="C17" s="47"/>
      <c r="D17" s="167"/>
      <c r="E17" s="151"/>
      <c r="F17" s="397"/>
      <c r="G17" s="47"/>
      <c r="H17" s="368"/>
      <c r="I17" s="368"/>
      <c r="J17" s="368"/>
      <c r="K17" s="368"/>
      <c r="L17" s="368"/>
      <c r="M17" s="368"/>
      <c r="N17" s="368"/>
      <c r="O17" s="368"/>
      <c r="P17" s="368"/>
      <c r="Q17" s="368"/>
      <c r="R17" s="368"/>
      <c r="S17" s="368"/>
      <c r="T17" s="368"/>
      <c r="U17" s="368"/>
      <c r="V17" s="368"/>
      <c r="W17" s="368"/>
      <c r="X17" s="368"/>
      <c r="Y17" s="368"/>
      <c r="Z17" s="368"/>
      <c r="AA17" s="368"/>
      <c r="AB17" s="368"/>
      <c r="AC17" s="368"/>
      <c r="AD17" s="147" t="s">
        <v>132</v>
      </c>
      <c r="AE17" s="47"/>
      <c r="AF17" s="154"/>
    </row>
    <row r="18" spans="1:32" ht="14.25" customHeight="1" x14ac:dyDescent="0.2">
      <c r="A18" s="144" t="s">
        <v>133</v>
      </c>
      <c r="B18" s="46" t="s">
        <v>312</v>
      </c>
      <c r="C18" s="47" t="s">
        <v>281</v>
      </c>
      <c r="D18" s="167" t="s">
        <v>272</v>
      </c>
      <c r="E18" s="151" t="s">
        <v>175</v>
      </c>
      <c r="F18" s="398" t="s">
        <v>136</v>
      </c>
      <c r="G18" s="45">
        <v>344.63</v>
      </c>
      <c r="H18" s="45">
        <f>G18*F18</f>
        <v>4135.5599999999995</v>
      </c>
      <c r="I18" s="47"/>
      <c r="J18" s="47"/>
      <c r="K18" s="47"/>
      <c r="L18" s="47"/>
      <c r="M18" s="47"/>
      <c r="N18" s="47"/>
      <c r="O18" s="47"/>
      <c r="P18" s="47"/>
      <c r="Q18" s="47"/>
      <c r="R18" s="47"/>
      <c r="S18" s="47"/>
      <c r="T18" s="47"/>
      <c r="U18" s="47"/>
      <c r="V18" s="47"/>
      <c r="W18" s="47"/>
      <c r="X18" s="47"/>
      <c r="Y18" s="47"/>
      <c r="Z18" s="47"/>
      <c r="AA18" s="47"/>
      <c r="AB18" s="47"/>
      <c r="AC18" s="47">
        <f>SUM(H18:AB18)</f>
        <v>4135.5599999999995</v>
      </c>
      <c r="AD18" s="147" t="s">
        <v>133</v>
      </c>
      <c r="AE18" s="47"/>
      <c r="AF18" s="154"/>
    </row>
    <row r="19" spans="1:32" ht="14.25" customHeight="1" thickBot="1" x14ac:dyDescent="0.25">
      <c r="A19" s="144" t="s">
        <v>65</v>
      </c>
      <c r="B19" s="46" t="s">
        <v>313</v>
      </c>
      <c r="C19" s="47" t="s">
        <v>281</v>
      </c>
      <c r="D19" s="167" t="s">
        <v>272</v>
      </c>
      <c r="E19" s="151" t="s">
        <v>175</v>
      </c>
      <c r="F19" s="398" t="s">
        <v>135</v>
      </c>
      <c r="G19" s="45">
        <v>344.63</v>
      </c>
      <c r="H19" s="385">
        <f>G19*F19</f>
        <v>3790.93</v>
      </c>
      <c r="I19" s="158"/>
      <c r="J19" s="158"/>
      <c r="K19" s="158"/>
      <c r="L19" s="158"/>
      <c r="M19" s="158"/>
      <c r="N19" s="158"/>
      <c r="O19" s="158"/>
      <c r="P19" s="158"/>
      <c r="Q19" s="158"/>
      <c r="R19" s="158"/>
      <c r="S19" s="158"/>
      <c r="T19" s="158"/>
      <c r="U19" s="158"/>
      <c r="V19" s="158"/>
      <c r="W19" s="158"/>
      <c r="X19" s="158"/>
      <c r="Y19" s="158"/>
      <c r="Z19" s="158"/>
      <c r="AA19" s="158"/>
      <c r="AB19" s="158"/>
      <c r="AC19" s="158">
        <f>SUM(H19:AB19)</f>
        <v>3790.93</v>
      </c>
      <c r="AD19" s="147" t="s">
        <v>65</v>
      </c>
      <c r="AE19" s="47"/>
      <c r="AF19" s="154"/>
    </row>
    <row r="20" spans="1:32" ht="14.25" customHeight="1" thickTop="1" x14ac:dyDescent="0.2">
      <c r="A20" s="144" t="s">
        <v>134</v>
      </c>
      <c r="B20" s="301">
        <v>1081</v>
      </c>
      <c r="C20" s="47"/>
      <c r="D20" s="167"/>
      <c r="E20" s="151"/>
      <c r="F20" s="397"/>
      <c r="G20" s="47"/>
      <c r="H20" s="368"/>
      <c r="I20" s="368"/>
      <c r="J20" s="368"/>
      <c r="K20" s="368"/>
      <c r="L20" s="368"/>
      <c r="M20" s="368"/>
      <c r="N20" s="368"/>
      <c r="O20" s="368"/>
      <c r="P20" s="368"/>
      <c r="Q20" s="368"/>
      <c r="R20" s="368"/>
      <c r="S20" s="368"/>
      <c r="T20" s="368"/>
      <c r="U20" s="368"/>
      <c r="V20" s="368"/>
      <c r="W20" s="368"/>
      <c r="X20" s="368"/>
      <c r="Y20" s="368"/>
      <c r="Z20" s="368"/>
      <c r="AA20" s="368"/>
      <c r="AB20" s="368"/>
      <c r="AC20" s="368"/>
      <c r="AD20" s="147" t="s">
        <v>134</v>
      </c>
      <c r="AE20" s="47"/>
      <c r="AF20" s="154"/>
    </row>
    <row r="21" spans="1:32" ht="14.25" customHeight="1" thickBot="1" x14ac:dyDescent="0.25">
      <c r="A21" s="144" t="s">
        <v>135</v>
      </c>
      <c r="B21" s="46" t="s">
        <v>314</v>
      </c>
      <c r="C21" s="47" t="s">
        <v>281</v>
      </c>
      <c r="D21" s="167" t="s">
        <v>272</v>
      </c>
      <c r="E21" s="151" t="s">
        <v>175</v>
      </c>
      <c r="F21" s="398" t="s">
        <v>136</v>
      </c>
      <c r="G21" s="45">
        <v>344.63</v>
      </c>
      <c r="H21" s="158">
        <f>G21*F21</f>
        <v>4135.5599999999995</v>
      </c>
      <c r="I21" s="158"/>
      <c r="J21" s="158"/>
      <c r="K21" s="158"/>
      <c r="L21" s="158"/>
      <c r="M21" s="158"/>
      <c r="N21" s="158"/>
      <c r="O21" s="158"/>
      <c r="P21" s="158"/>
      <c r="Q21" s="158"/>
      <c r="R21" s="158"/>
      <c r="S21" s="158"/>
      <c r="T21" s="158"/>
      <c r="U21" s="158"/>
      <c r="V21" s="158"/>
      <c r="W21" s="158"/>
      <c r="X21" s="158"/>
      <c r="Y21" s="158"/>
      <c r="Z21" s="158"/>
      <c r="AA21" s="158"/>
      <c r="AB21" s="158"/>
      <c r="AC21" s="158">
        <f>SUM(H21:AB21)</f>
        <v>4135.5599999999995</v>
      </c>
      <c r="AD21" s="147" t="s">
        <v>135</v>
      </c>
      <c r="AE21" s="47"/>
      <c r="AF21" s="154"/>
    </row>
    <row r="22" spans="1:32" ht="14.25" customHeight="1" thickTop="1" x14ac:dyDescent="0.2">
      <c r="A22" s="144" t="s">
        <v>144</v>
      </c>
      <c r="B22" s="301">
        <v>7611</v>
      </c>
      <c r="C22" s="47"/>
      <c r="D22" s="167"/>
      <c r="E22" s="151"/>
      <c r="F22" s="397"/>
      <c r="G22" s="47"/>
      <c r="H22" s="368"/>
      <c r="I22" s="372"/>
      <c r="J22" s="368"/>
      <c r="K22" s="368"/>
      <c r="L22" s="368"/>
      <c r="M22" s="368"/>
      <c r="N22" s="368"/>
      <c r="O22" s="368"/>
      <c r="P22" s="368"/>
      <c r="Q22" s="368"/>
      <c r="R22" s="368"/>
      <c r="S22" s="368"/>
      <c r="T22" s="368"/>
      <c r="U22" s="368"/>
      <c r="V22" s="368"/>
      <c r="W22" s="368"/>
      <c r="X22" s="368"/>
      <c r="Y22" s="368"/>
      <c r="Z22" s="368"/>
      <c r="AA22" s="368"/>
      <c r="AB22" s="368"/>
      <c r="AC22" s="368"/>
      <c r="AD22" s="147" t="s">
        <v>144</v>
      </c>
      <c r="AE22" s="47"/>
      <c r="AF22" s="154"/>
    </row>
    <row r="23" spans="1:32" ht="14.25" customHeight="1" x14ac:dyDescent="0.2">
      <c r="A23" s="144" t="s">
        <v>145</v>
      </c>
      <c r="B23" s="46" t="s">
        <v>321</v>
      </c>
      <c r="C23" s="47" t="s">
        <v>281</v>
      </c>
      <c r="D23" s="167" t="s">
        <v>272</v>
      </c>
      <c r="E23" s="151" t="s">
        <v>175</v>
      </c>
      <c r="F23" s="398" t="s">
        <v>135</v>
      </c>
      <c r="G23" s="45">
        <v>344.63</v>
      </c>
      <c r="H23" s="45">
        <f>G23*F23</f>
        <v>3790.93</v>
      </c>
      <c r="I23" s="155"/>
      <c r="J23" s="47"/>
      <c r="K23" s="47"/>
      <c r="L23" s="47"/>
      <c r="M23" s="47"/>
      <c r="N23" s="47"/>
      <c r="O23" s="47"/>
      <c r="P23" s="47"/>
      <c r="Q23" s="47"/>
      <c r="R23" s="47"/>
      <c r="S23" s="47"/>
      <c r="T23" s="47"/>
      <c r="U23" s="47"/>
      <c r="V23" s="47"/>
      <c r="W23" s="47"/>
      <c r="X23" s="47"/>
      <c r="Y23" s="47"/>
      <c r="Z23" s="47"/>
      <c r="AA23" s="47"/>
      <c r="AB23" s="47"/>
      <c r="AC23" s="47">
        <f>SUM(H23:AB23)</f>
        <v>3790.93</v>
      </c>
      <c r="AD23" s="147" t="s">
        <v>145</v>
      </c>
      <c r="AE23" s="47"/>
      <c r="AF23" s="154"/>
    </row>
    <row r="24" spans="1:32" ht="14.25" customHeight="1" x14ac:dyDescent="0.2">
      <c r="A24" s="144" t="s">
        <v>146</v>
      </c>
      <c r="B24" s="46" t="s">
        <v>322</v>
      </c>
      <c r="C24" s="47" t="s">
        <v>281</v>
      </c>
      <c r="D24" s="167" t="s">
        <v>272</v>
      </c>
      <c r="E24" s="151" t="s">
        <v>175</v>
      </c>
      <c r="F24" s="398" t="s">
        <v>136</v>
      </c>
      <c r="G24" s="45">
        <v>344.63</v>
      </c>
      <c r="H24" s="45">
        <f>G24*F24</f>
        <v>4135.5599999999995</v>
      </c>
      <c r="I24" s="155"/>
      <c r="J24" s="47"/>
      <c r="K24" s="47"/>
      <c r="L24" s="47"/>
      <c r="M24" s="47"/>
      <c r="N24" s="47"/>
      <c r="O24" s="47"/>
      <c r="P24" s="47"/>
      <c r="Q24" s="47"/>
      <c r="R24" s="47"/>
      <c r="S24" s="47"/>
      <c r="T24" s="47"/>
      <c r="U24" s="47"/>
      <c r="V24" s="47"/>
      <c r="W24" s="47"/>
      <c r="X24" s="47"/>
      <c r="Y24" s="47"/>
      <c r="Z24" s="47"/>
      <c r="AA24" s="47"/>
      <c r="AB24" s="47"/>
      <c r="AC24" s="47">
        <f>SUM(H24:AB24)</f>
        <v>4135.5599999999995</v>
      </c>
      <c r="AD24" s="147" t="s">
        <v>146</v>
      </c>
      <c r="AE24" s="47"/>
      <c r="AF24" s="154"/>
    </row>
    <row r="25" spans="1:32" ht="14.25" customHeight="1" thickBot="1" x14ac:dyDescent="0.25">
      <c r="A25" s="144" t="s">
        <v>147</v>
      </c>
      <c r="B25" s="46" t="s">
        <v>323</v>
      </c>
      <c r="C25" s="47" t="s">
        <v>281</v>
      </c>
      <c r="D25" s="167" t="s">
        <v>272</v>
      </c>
      <c r="E25" s="151" t="s">
        <v>175</v>
      </c>
      <c r="F25" s="398" t="s">
        <v>136</v>
      </c>
      <c r="G25" s="45">
        <v>344.63</v>
      </c>
      <c r="H25" s="158">
        <f>G25*F25</f>
        <v>4135.5599999999995</v>
      </c>
      <c r="I25" s="326"/>
      <c r="J25" s="158"/>
      <c r="K25" s="158"/>
      <c r="L25" s="158"/>
      <c r="M25" s="158"/>
      <c r="N25" s="158"/>
      <c r="O25" s="158"/>
      <c r="P25" s="158"/>
      <c r="Q25" s="158"/>
      <c r="R25" s="158"/>
      <c r="S25" s="158"/>
      <c r="T25" s="158"/>
      <c r="U25" s="158"/>
      <c r="V25" s="158"/>
      <c r="W25" s="158"/>
      <c r="X25" s="158"/>
      <c r="Y25" s="158"/>
      <c r="Z25" s="158"/>
      <c r="AA25" s="158"/>
      <c r="AB25" s="158"/>
      <c r="AC25" s="158">
        <f>SUM(H25:AB25)</f>
        <v>4135.5599999999995</v>
      </c>
      <c r="AD25" s="147" t="s">
        <v>147</v>
      </c>
      <c r="AE25" s="47"/>
      <c r="AF25" s="154"/>
    </row>
    <row r="26" spans="1:32" ht="14.25" customHeight="1" thickTop="1" x14ac:dyDescent="0.2">
      <c r="A26" s="144" t="s">
        <v>148</v>
      </c>
      <c r="B26" s="301">
        <v>8711</v>
      </c>
      <c r="C26" s="47"/>
      <c r="D26" s="167"/>
      <c r="E26" s="151"/>
      <c r="F26" s="397"/>
      <c r="G26" s="47"/>
      <c r="H26" s="368"/>
      <c r="I26" s="368"/>
      <c r="J26" s="368"/>
      <c r="K26" s="368"/>
      <c r="L26" s="368"/>
      <c r="M26" s="368"/>
      <c r="N26" s="368"/>
      <c r="O26" s="368"/>
      <c r="P26" s="368"/>
      <c r="Q26" s="368"/>
      <c r="R26" s="368"/>
      <c r="S26" s="368"/>
      <c r="T26" s="368"/>
      <c r="U26" s="368"/>
      <c r="V26" s="368"/>
      <c r="W26" s="368"/>
      <c r="X26" s="368"/>
      <c r="Y26" s="368"/>
      <c r="Z26" s="368"/>
      <c r="AA26" s="368"/>
      <c r="AB26" s="368"/>
      <c r="AC26" s="368"/>
      <c r="AD26" s="147" t="s">
        <v>148</v>
      </c>
      <c r="AE26" s="47"/>
      <c r="AF26" s="154"/>
    </row>
    <row r="27" spans="1:32" ht="14.25" customHeight="1" thickBot="1" x14ac:dyDescent="0.25">
      <c r="A27" s="144" t="s">
        <v>149</v>
      </c>
      <c r="B27" s="46" t="s">
        <v>324</v>
      </c>
      <c r="C27" s="47" t="s">
        <v>281</v>
      </c>
      <c r="D27" s="167" t="s">
        <v>272</v>
      </c>
      <c r="E27" s="151" t="s">
        <v>175</v>
      </c>
      <c r="F27" s="398" t="s">
        <v>137</v>
      </c>
      <c r="G27" s="45">
        <v>344.63</v>
      </c>
      <c r="H27" s="158">
        <f>G27*F27</f>
        <v>4480.1899999999996</v>
      </c>
      <c r="I27" s="158"/>
      <c r="J27" s="158"/>
      <c r="K27" s="158"/>
      <c r="L27" s="158"/>
      <c r="M27" s="158"/>
      <c r="N27" s="158"/>
      <c r="O27" s="158"/>
      <c r="P27" s="158"/>
      <c r="Q27" s="158"/>
      <c r="R27" s="158"/>
      <c r="S27" s="158"/>
      <c r="T27" s="158"/>
      <c r="U27" s="158"/>
      <c r="V27" s="158"/>
      <c r="W27" s="158"/>
      <c r="X27" s="158"/>
      <c r="Y27" s="158"/>
      <c r="Z27" s="158"/>
      <c r="AA27" s="158"/>
      <c r="AB27" s="158"/>
      <c r="AC27" s="158">
        <f>SUM(H27:AB27)</f>
        <v>4480.1899999999996</v>
      </c>
      <c r="AD27" s="147" t="s">
        <v>149</v>
      </c>
      <c r="AE27" s="47"/>
      <c r="AF27" s="154"/>
    </row>
    <row r="28" spans="1:32" ht="14.25" customHeight="1" thickTop="1" x14ac:dyDescent="0.2">
      <c r="A28" s="144" t="s">
        <v>150</v>
      </c>
      <c r="B28" s="301">
        <v>8731</v>
      </c>
      <c r="C28" s="47"/>
      <c r="D28" s="167"/>
      <c r="E28" s="151"/>
      <c r="F28" s="397"/>
      <c r="G28" s="47"/>
      <c r="H28" s="368"/>
      <c r="I28" s="368"/>
      <c r="J28" s="368"/>
      <c r="K28" s="368"/>
      <c r="L28" s="368"/>
      <c r="M28" s="368"/>
      <c r="N28" s="368"/>
      <c r="O28" s="368"/>
      <c r="P28" s="368"/>
      <c r="Q28" s="368"/>
      <c r="R28" s="368"/>
      <c r="S28" s="368"/>
      <c r="T28" s="368"/>
      <c r="U28" s="368"/>
      <c r="V28" s="368"/>
      <c r="W28" s="368"/>
      <c r="X28" s="368"/>
      <c r="Y28" s="368"/>
      <c r="Z28" s="368"/>
      <c r="AA28" s="368"/>
      <c r="AB28" s="368"/>
      <c r="AC28" s="368"/>
      <c r="AD28" s="147" t="s">
        <v>150</v>
      </c>
      <c r="AE28" s="47"/>
      <c r="AF28" s="154"/>
    </row>
    <row r="29" spans="1:32" ht="14.25" customHeight="1" x14ac:dyDescent="0.2">
      <c r="A29" s="144" t="s">
        <v>151</v>
      </c>
      <c r="B29" s="46" t="s">
        <v>337</v>
      </c>
      <c r="C29" s="47" t="s">
        <v>281</v>
      </c>
      <c r="D29" s="167" t="s">
        <v>272</v>
      </c>
      <c r="E29" s="151" t="s">
        <v>175</v>
      </c>
      <c r="F29" s="398" t="s">
        <v>136</v>
      </c>
      <c r="G29" s="45">
        <v>344.63</v>
      </c>
      <c r="H29" s="45">
        <f>G29*F29</f>
        <v>4135.5599999999995</v>
      </c>
      <c r="I29" s="47"/>
      <c r="J29" s="47"/>
      <c r="K29" s="47"/>
      <c r="L29" s="47"/>
      <c r="M29" s="47"/>
      <c r="N29" s="47"/>
      <c r="O29" s="47"/>
      <c r="P29" s="47"/>
      <c r="Q29" s="47"/>
      <c r="R29" s="47"/>
      <c r="S29" s="47"/>
      <c r="T29" s="47"/>
      <c r="U29" s="47"/>
      <c r="V29" s="47"/>
      <c r="W29" s="47"/>
      <c r="X29" s="47"/>
      <c r="Y29" s="47"/>
      <c r="Z29" s="47"/>
      <c r="AA29" s="47"/>
      <c r="AB29" s="47"/>
      <c r="AC29" s="47">
        <f>SUM(H29:AB29)</f>
        <v>4135.5599999999995</v>
      </c>
      <c r="AD29" s="147" t="s">
        <v>151</v>
      </c>
      <c r="AE29" s="47"/>
      <c r="AF29" s="154"/>
    </row>
    <row r="30" spans="1:32" ht="14.25" customHeight="1" x14ac:dyDescent="0.2">
      <c r="A30" s="144" t="s">
        <v>152</v>
      </c>
      <c r="B30" s="46" t="s">
        <v>338</v>
      </c>
      <c r="C30" s="47" t="s">
        <v>281</v>
      </c>
      <c r="D30" s="167" t="s">
        <v>272</v>
      </c>
      <c r="E30" s="151" t="s">
        <v>175</v>
      </c>
      <c r="F30" s="398" t="s">
        <v>135</v>
      </c>
      <c r="G30" s="45">
        <v>344.63</v>
      </c>
      <c r="H30" s="45">
        <f>G30*F30</f>
        <v>3790.93</v>
      </c>
      <c r="I30" s="47"/>
      <c r="J30" s="47"/>
      <c r="K30" s="47"/>
      <c r="L30" s="47"/>
      <c r="M30" s="47"/>
      <c r="N30" s="47"/>
      <c r="O30" s="47"/>
      <c r="P30" s="47"/>
      <c r="Q30" s="47"/>
      <c r="R30" s="47"/>
      <c r="S30" s="47"/>
      <c r="T30" s="47"/>
      <c r="U30" s="47"/>
      <c r="V30" s="47"/>
      <c r="W30" s="47"/>
      <c r="X30" s="47"/>
      <c r="Y30" s="47"/>
      <c r="Z30" s="47"/>
      <c r="AA30" s="47"/>
      <c r="AB30" s="47"/>
      <c r="AC30" s="47">
        <f>SUM(H30:AB30)</f>
        <v>3790.93</v>
      </c>
      <c r="AD30" s="147" t="s">
        <v>152</v>
      </c>
      <c r="AE30" s="47"/>
      <c r="AF30" s="154"/>
    </row>
    <row r="31" spans="1:32" ht="14.25" customHeight="1" thickBot="1" x14ac:dyDescent="0.25">
      <c r="A31" s="144" t="s">
        <v>153</v>
      </c>
      <c r="B31" s="46" t="s">
        <v>340</v>
      </c>
      <c r="C31" s="47" t="s">
        <v>281</v>
      </c>
      <c r="D31" s="167" t="s">
        <v>272</v>
      </c>
      <c r="E31" s="151" t="s">
        <v>175</v>
      </c>
      <c r="F31" s="398" t="s">
        <v>135</v>
      </c>
      <c r="G31" s="45">
        <v>344.63</v>
      </c>
      <c r="H31" s="158">
        <f>G31*F31</f>
        <v>3790.93</v>
      </c>
      <c r="I31" s="158"/>
      <c r="J31" s="158"/>
      <c r="K31" s="158"/>
      <c r="L31" s="158"/>
      <c r="M31" s="158"/>
      <c r="N31" s="158"/>
      <c r="O31" s="158"/>
      <c r="P31" s="158"/>
      <c r="Q31" s="158"/>
      <c r="R31" s="158"/>
      <c r="S31" s="158"/>
      <c r="T31" s="158"/>
      <c r="U31" s="158"/>
      <c r="V31" s="158"/>
      <c r="W31" s="158"/>
      <c r="X31" s="158"/>
      <c r="Y31" s="158"/>
      <c r="Z31" s="158"/>
      <c r="AA31" s="158"/>
      <c r="AB31" s="158"/>
      <c r="AC31" s="158">
        <f>SUM(H31:AB31)</f>
        <v>3790.93</v>
      </c>
      <c r="AD31" s="147" t="s">
        <v>153</v>
      </c>
      <c r="AE31" s="47"/>
      <c r="AF31" s="154"/>
    </row>
    <row r="32" spans="1:32" ht="14.25" customHeight="1" thickTop="1" x14ac:dyDescent="0.2">
      <c r="A32" s="144" t="s">
        <v>154</v>
      </c>
      <c r="B32" s="301">
        <v>8751</v>
      </c>
      <c r="C32" s="47"/>
      <c r="D32" s="167"/>
      <c r="E32" s="151"/>
      <c r="F32" s="397"/>
      <c r="G32" s="47"/>
      <c r="H32" s="401"/>
      <c r="I32" s="47"/>
      <c r="J32" s="47"/>
      <c r="K32" s="47"/>
      <c r="L32" s="47"/>
      <c r="M32" s="47"/>
      <c r="N32" s="47"/>
      <c r="O32" s="47"/>
      <c r="P32" s="47"/>
      <c r="Q32" s="47"/>
      <c r="R32" s="47"/>
      <c r="S32" s="47"/>
      <c r="T32" s="47"/>
      <c r="U32" s="47"/>
      <c r="V32" s="47"/>
      <c r="W32" s="47"/>
      <c r="X32" s="47"/>
      <c r="Y32" s="47"/>
      <c r="Z32" s="47"/>
      <c r="AA32" s="47"/>
      <c r="AB32" s="47"/>
      <c r="AC32" s="47"/>
      <c r="AD32" s="147" t="s">
        <v>154</v>
      </c>
      <c r="AE32" s="47"/>
      <c r="AF32" s="154"/>
    </row>
    <row r="33" spans="1:32" ht="14.25" customHeight="1" x14ac:dyDescent="0.2">
      <c r="A33" s="144" t="s">
        <v>155</v>
      </c>
      <c r="B33" s="46" t="s">
        <v>325</v>
      </c>
      <c r="C33" s="47" t="s">
        <v>281</v>
      </c>
      <c r="D33" s="167" t="s">
        <v>272</v>
      </c>
      <c r="E33" s="151" t="s">
        <v>175</v>
      </c>
      <c r="F33" s="398" t="s">
        <v>136</v>
      </c>
      <c r="G33" s="45">
        <v>344.63</v>
      </c>
      <c r="H33" s="45">
        <f>G33*F33</f>
        <v>4135.5599999999995</v>
      </c>
      <c r="I33" s="45"/>
      <c r="J33" s="45"/>
      <c r="K33" s="45"/>
      <c r="L33" s="45"/>
      <c r="M33" s="45"/>
      <c r="N33" s="45"/>
      <c r="O33" s="45"/>
      <c r="P33" s="45"/>
      <c r="Q33" s="45"/>
      <c r="R33" s="45"/>
      <c r="S33" s="45"/>
      <c r="T33" s="45"/>
      <c r="U33" s="45"/>
      <c r="V33" s="45"/>
      <c r="W33" s="45"/>
      <c r="X33" s="45"/>
      <c r="Y33" s="45"/>
      <c r="Z33" s="45"/>
      <c r="AA33" s="45"/>
      <c r="AB33" s="45"/>
      <c r="AC33" s="45">
        <f>SUM(H33:AB33)</f>
        <v>4135.5599999999995</v>
      </c>
      <c r="AD33" s="147" t="s">
        <v>155</v>
      </c>
      <c r="AE33" s="47"/>
      <c r="AF33" s="154"/>
    </row>
    <row r="34" spans="1:32" ht="14.25" customHeight="1" x14ac:dyDescent="0.2">
      <c r="A34" s="144" t="s">
        <v>157</v>
      </c>
      <c r="B34" s="301">
        <v>8811</v>
      </c>
      <c r="C34" s="47"/>
      <c r="D34" s="167"/>
      <c r="E34" s="151"/>
      <c r="F34" s="398"/>
      <c r="G34" s="45"/>
      <c r="H34" s="368"/>
      <c r="I34" s="368"/>
      <c r="J34" s="368"/>
      <c r="K34" s="368"/>
      <c r="L34" s="368"/>
      <c r="M34" s="368"/>
      <c r="N34" s="368"/>
      <c r="O34" s="368"/>
      <c r="P34" s="368"/>
      <c r="Q34" s="368"/>
      <c r="R34" s="368"/>
      <c r="S34" s="368"/>
      <c r="T34" s="368"/>
      <c r="U34" s="368"/>
      <c r="V34" s="368"/>
      <c r="W34" s="368"/>
      <c r="X34" s="368"/>
      <c r="Y34" s="368"/>
      <c r="Z34" s="368"/>
      <c r="AA34" s="368"/>
      <c r="AB34" s="368"/>
      <c r="AC34" s="368"/>
      <c r="AD34" s="144" t="s">
        <v>157</v>
      </c>
      <c r="AE34" s="47"/>
      <c r="AF34" s="154"/>
    </row>
    <row r="35" spans="1:32" ht="14.25" customHeight="1" x14ac:dyDescent="0.2">
      <c r="A35" s="144" t="s">
        <v>97</v>
      </c>
      <c r="B35" s="46" t="s">
        <v>326</v>
      </c>
      <c r="C35" s="47" t="s">
        <v>281</v>
      </c>
      <c r="D35" s="167" t="s">
        <v>272</v>
      </c>
      <c r="E35" s="151" t="s">
        <v>175</v>
      </c>
      <c r="F35" s="398" t="s">
        <v>137</v>
      </c>
      <c r="G35" s="45">
        <v>344.63</v>
      </c>
      <c r="H35" s="45">
        <f>G35*F35</f>
        <v>4480.1899999999996</v>
      </c>
      <c r="I35" s="47"/>
      <c r="J35" s="47"/>
      <c r="K35" s="47"/>
      <c r="L35" s="47"/>
      <c r="M35" s="47"/>
      <c r="N35" s="47"/>
      <c r="O35" s="47"/>
      <c r="P35" s="47"/>
      <c r="Q35" s="47"/>
      <c r="R35" s="47"/>
      <c r="S35" s="47"/>
      <c r="T35" s="47"/>
      <c r="U35" s="47"/>
      <c r="V35" s="47"/>
      <c r="W35" s="47"/>
      <c r="X35" s="47"/>
      <c r="Y35" s="47"/>
      <c r="Z35" s="47"/>
      <c r="AA35" s="47"/>
      <c r="AB35" s="47"/>
      <c r="AC35" s="47">
        <f>SUM(H35:AB35)</f>
        <v>4480.1899999999996</v>
      </c>
      <c r="AD35" s="147" t="s">
        <v>97</v>
      </c>
      <c r="AE35" s="47"/>
      <c r="AF35" s="154"/>
    </row>
    <row r="36" spans="1:32" ht="14.25" customHeight="1" thickBot="1" x14ac:dyDescent="0.25">
      <c r="A36" s="144" t="s">
        <v>99</v>
      </c>
      <c r="B36" s="46" t="s">
        <v>327</v>
      </c>
      <c r="C36" s="47" t="s">
        <v>281</v>
      </c>
      <c r="D36" s="167" t="s">
        <v>272</v>
      </c>
      <c r="E36" s="151" t="s">
        <v>175</v>
      </c>
      <c r="F36" s="398" t="s">
        <v>136</v>
      </c>
      <c r="G36" s="45">
        <v>344.63</v>
      </c>
      <c r="H36" s="158">
        <f>G36*F36</f>
        <v>4135.5599999999995</v>
      </c>
      <c r="I36" s="158"/>
      <c r="J36" s="158"/>
      <c r="K36" s="158"/>
      <c r="L36" s="158"/>
      <c r="M36" s="158"/>
      <c r="N36" s="158"/>
      <c r="O36" s="158"/>
      <c r="P36" s="158"/>
      <c r="Q36" s="158"/>
      <c r="R36" s="158"/>
      <c r="S36" s="158"/>
      <c r="T36" s="158"/>
      <c r="U36" s="158"/>
      <c r="V36" s="158"/>
      <c r="W36" s="158"/>
      <c r="X36" s="158"/>
      <c r="Y36" s="158"/>
      <c r="Z36" s="158"/>
      <c r="AA36" s="158"/>
      <c r="AB36" s="158"/>
      <c r="AC36" s="158">
        <f>SUM(H36:AB36)</f>
        <v>4135.5599999999995</v>
      </c>
      <c r="AD36" s="147" t="s">
        <v>99</v>
      </c>
      <c r="AE36" s="47"/>
      <c r="AF36" s="154"/>
    </row>
    <row r="37" spans="1:32" ht="14.25" customHeight="1" thickTop="1" x14ac:dyDescent="0.2">
      <c r="A37" s="144" t="s">
        <v>46</v>
      </c>
      <c r="B37" s="301">
        <v>8852</v>
      </c>
      <c r="C37" s="47"/>
      <c r="D37" s="392"/>
      <c r="E37" s="393"/>
      <c r="F37" s="399"/>
      <c r="G37" s="45"/>
      <c r="H37" s="368"/>
      <c r="I37" s="368"/>
      <c r="J37" s="368"/>
      <c r="K37" s="368"/>
      <c r="L37" s="368"/>
      <c r="M37" s="370"/>
      <c r="N37" s="368"/>
      <c r="O37" s="368"/>
      <c r="P37" s="371"/>
      <c r="Q37" s="371"/>
      <c r="R37" s="371"/>
      <c r="S37" s="371"/>
      <c r="T37" s="368"/>
      <c r="U37" s="368"/>
      <c r="V37" s="368"/>
      <c r="W37" s="368"/>
      <c r="X37" s="368"/>
      <c r="Y37" s="368"/>
      <c r="Z37" s="368"/>
      <c r="AA37" s="368"/>
      <c r="AB37" s="371"/>
      <c r="AC37" s="368"/>
      <c r="AD37" s="147" t="s">
        <v>46</v>
      </c>
      <c r="AE37" s="47"/>
      <c r="AF37" s="154"/>
    </row>
    <row r="38" spans="1:32" ht="14.25" customHeight="1" x14ac:dyDescent="0.2">
      <c r="A38" s="144" t="s">
        <v>47</v>
      </c>
      <c r="B38" s="46" t="s">
        <v>328</v>
      </c>
      <c r="C38" s="47" t="s">
        <v>281</v>
      </c>
      <c r="D38" s="167" t="s">
        <v>272</v>
      </c>
      <c r="E38" s="151" t="s">
        <v>175</v>
      </c>
      <c r="F38" s="398" t="s">
        <v>138</v>
      </c>
      <c r="G38" s="45">
        <v>344.63</v>
      </c>
      <c r="H38" s="45">
        <f>G38*F38</f>
        <v>4824.82</v>
      </c>
      <c r="I38" s="47"/>
      <c r="J38" s="47"/>
      <c r="K38" s="47"/>
      <c r="L38" s="47"/>
      <c r="M38" s="47"/>
      <c r="N38" s="47"/>
      <c r="O38" s="47"/>
      <c r="P38" s="47"/>
      <c r="Q38" s="47"/>
      <c r="R38" s="47"/>
      <c r="S38" s="47"/>
      <c r="T38" s="47"/>
      <c r="U38" s="47"/>
      <c r="V38" s="47"/>
      <c r="W38" s="47"/>
      <c r="X38" s="47"/>
      <c r="Y38" s="47"/>
      <c r="Z38" s="47"/>
      <c r="AA38" s="47"/>
      <c r="AB38" s="47"/>
      <c r="AC38" s="47">
        <f>SUM(H38:AB38)</f>
        <v>4824.82</v>
      </c>
      <c r="AD38" s="147" t="s">
        <v>47</v>
      </c>
      <c r="AE38" s="47"/>
      <c r="AF38" s="154"/>
    </row>
    <row r="39" spans="1:32" ht="14.25" customHeight="1" x14ac:dyDescent="0.2">
      <c r="A39" s="144" t="s">
        <v>100</v>
      </c>
      <c r="B39" s="46" t="s">
        <v>329</v>
      </c>
      <c r="C39" s="47" t="s">
        <v>281</v>
      </c>
      <c r="D39" s="167" t="s">
        <v>272</v>
      </c>
      <c r="E39" s="151" t="s">
        <v>175</v>
      </c>
      <c r="F39" s="398" t="s">
        <v>137</v>
      </c>
      <c r="G39" s="45">
        <v>344.63</v>
      </c>
      <c r="H39" s="45">
        <f>G39*F39</f>
        <v>4480.1899999999996</v>
      </c>
      <c r="I39" s="47"/>
      <c r="J39" s="47"/>
      <c r="K39" s="47"/>
      <c r="L39" s="47"/>
      <c r="M39" s="47"/>
      <c r="N39" s="47"/>
      <c r="O39" s="47"/>
      <c r="P39" s="47"/>
      <c r="Q39" s="47"/>
      <c r="R39" s="47"/>
      <c r="S39" s="47"/>
      <c r="T39" s="47"/>
      <c r="U39" s="47"/>
      <c r="V39" s="47"/>
      <c r="W39" s="47"/>
      <c r="X39" s="47"/>
      <c r="Y39" s="47"/>
      <c r="Z39" s="47"/>
      <c r="AA39" s="47"/>
      <c r="AB39" s="47"/>
      <c r="AC39" s="47">
        <f>SUM(H39:AB39)</f>
        <v>4480.1899999999996</v>
      </c>
      <c r="AD39" s="147" t="s">
        <v>100</v>
      </c>
      <c r="AE39" s="47"/>
      <c r="AF39" s="154"/>
    </row>
    <row r="40" spans="1:32" ht="14.25" customHeight="1" x14ac:dyDescent="0.2">
      <c r="A40" s="144" t="s">
        <v>101</v>
      </c>
      <c r="B40" s="46" t="s">
        <v>330</v>
      </c>
      <c r="C40" s="47" t="s">
        <v>281</v>
      </c>
      <c r="D40" s="167" t="s">
        <v>272</v>
      </c>
      <c r="E40" s="151" t="s">
        <v>175</v>
      </c>
      <c r="F40" s="398" t="s">
        <v>138</v>
      </c>
      <c r="G40" s="45">
        <v>344.63</v>
      </c>
      <c r="H40" s="45">
        <f>G40*F40</f>
        <v>4824.82</v>
      </c>
      <c r="I40" s="47"/>
      <c r="J40" s="47"/>
      <c r="K40" s="47"/>
      <c r="L40" s="47"/>
      <c r="M40" s="47"/>
      <c r="N40" s="47"/>
      <c r="O40" s="47"/>
      <c r="P40" s="47"/>
      <c r="Q40" s="47"/>
      <c r="R40" s="47"/>
      <c r="S40" s="47"/>
      <c r="T40" s="47"/>
      <c r="U40" s="47"/>
      <c r="V40" s="47"/>
      <c r="W40" s="47"/>
      <c r="X40" s="47"/>
      <c r="Y40" s="47"/>
      <c r="Z40" s="47"/>
      <c r="AA40" s="47"/>
      <c r="AB40" s="47"/>
      <c r="AC40" s="47">
        <f>SUM(H40:AB40)</f>
        <v>4824.82</v>
      </c>
      <c r="AD40" s="147" t="s">
        <v>101</v>
      </c>
      <c r="AE40" s="47"/>
      <c r="AF40" s="154"/>
    </row>
    <row r="41" spans="1:32" ht="14.25" customHeight="1" thickBot="1" x14ac:dyDescent="0.25">
      <c r="A41" s="144" t="s">
        <v>162</v>
      </c>
      <c r="B41" s="46" t="s">
        <v>331</v>
      </c>
      <c r="C41" s="47" t="s">
        <v>281</v>
      </c>
      <c r="D41" s="167" t="s">
        <v>272</v>
      </c>
      <c r="E41" s="151" t="s">
        <v>175</v>
      </c>
      <c r="F41" s="398" t="s">
        <v>137</v>
      </c>
      <c r="G41" s="45">
        <v>344.63</v>
      </c>
      <c r="H41" s="158">
        <f>G41*F41</f>
        <v>4480.1899999999996</v>
      </c>
      <c r="I41" s="158"/>
      <c r="J41" s="158"/>
      <c r="K41" s="158"/>
      <c r="L41" s="158"/>
      <c r="M41" s="158"/>
      <c r="N41" s="158"/>
      <c r="O41" s="158"/>
      <c r="P41" s="158"/>
      <c r="Q41" s="158"/>
      <c r="R41" s="158"/>
      <c r="S41" s="158"/>
      <c r="T41" s="158"/>
      <c r="U41" s="158"/>
      <c r="V41" s="158"/>
      <c r="W41" s="158"/>
      <c r="X41" s="158"/>
      <c r="Y41" s="158"/>
      <c r="Z41" s="158"/>
      <c r="AA41" s="158"/>
      <c r="AB41" s="158"/>
      <c r="AC41" s="158">
        <f>SUM(H41:AB41)</f>
        <v>4480.1899999999996</v>
      </c>
      <c r="AD41" s="147" t="s">
        <v>162</v>
      </c>
      <c r="AE41" s="47"/>
      <c r="AF41" s="154"/>
    </row>
    <row r="42" spans="1:32" ht="14.25" customHeight="1" thickTop="1" thickBot="1" x14ac:dyDescent="0.25">
      <c r="A42" s="144" t="s">
        <v>179</v>
      </c>
      <c r="B42" s="46"/>
      <c r="C42" s="47"/>
      <c r="D42" s="383"/>
      <c r="E42" s="384"/>
      <c r="F42" s="397"/>
      <c r="G42" s="47"/>
      <c r="H42" s="385"/>
      <c r="I42" s="385"/>
      <c r="J42" s="385"/>
      <c r="K42" s="385"/>
      <c r="L42" s="385"/>
      <c r="M42" s="385"/>
      <c r="N42" s="385"/>
      <c r="O42" s="385"/>
      <c r="P42" s="385"/>
      <c r="Q42" s="385"/>
      <c r="R42" s="385"/>
      <c r="S42" s="385"/>
      <c r="T42" s="385"/>
      <c r="U42" s="385"/>
      <c r="V42" s="385"/>
      <c r="W42" s="385"/>
      <c r="X42" s="385"/>
      <c r="Y42" s="385"/>
      <c r="Z42" s="385"/>
      <c r="AA42" s="385"/>
      <c r="AB42" s="385"/>
      <c r="AC42" s="385"/>
      <c r="AD42" s="147" t="s">
        <v>179</v>
      </c>
      <c r="AE42" s="47"/>
      <c r="AF42" s="154"/>
    </row>
    <row r="43" spans="1:32" ht="17.25" customHeight="1" thickTop="1" thickBot="1" x14ac:dyDescent="0.25">
      <c r="A43" s="144" t="s">
        <v>180</v>
      </c>
      <c r="B43" s="31"/>
      <c r="C43" s="34"/>
      <c r="D43" s="34"/>
      <c r="E43" s="34"/>
      <c r="F43" s="400"/>
      <c r="G43" s="156"/>
      <c r="H43" s="365">
        <f>SUM(H11:H42)</f>
        <v>90465.375</v>
      </c>
      <c r="I43" s="365">
        <f>SUM(I11:I42)</f>
        <v>0</v>
      </c>
      <c r="J43" s="365"/>
      <c r="K43" s="365"/>
      <c r="L43" s="365"/>
      <c r="M43" s="366"/>
      <c r="N43" s="365"/>
      <c r="O43" s="365"/>
      <c r="P43" s="365"/>
      <c r="Q43" s="365"/>
      <c r="R43" s="365"/>
      <c r="S43" s="365"/>
      <c r="T43" s="365"/>
      <c r="U43" s="365"/>
      <c r="V43" s="365"/>
      <c r="W43" s="365"/>
      <c r="X43" s="365"/>
      <c r="Y43" s="365"/>
      <c r="Z43" s="365"/>
      <c r="AA43" s="365"/>
      <c r="AB43" s="365"/>
      <c r="AC43" s="365">
        <f>SUM(AC11:AC42)</f>
        <v>90465.375</v>
      </c>
      <c r="AD43" s="147" t="s">
        <v>180</v>
      </c>
      <c r="AE43" s="158"/>
      <c r="AF43" s="159"/>
    </row>
    <row r="44" spans="1:32" ht="11.25" customHeight="1" thickTop="1" x14ac:dyDescent="0.2">
      <c r="A44" s="116"/>
      <c r="B44" s="386"/>
      <c r="C44" s="386"/>
      <c r="D44" s="386"/>
      <c r="E44" s="386"/>
      <c r="F44" s="388"/>
      <c r="G44" s="386"/>
      <c r="K44" s="160" t="s">
        <v>37</v>
      </c>
      <c r="AC44" s="387"/>
      <c r="AD44" s="387"/>
      <c r="AE44" s="387"/>
    </row>
    <row r="45" spans="1:32" ht="12.75" customHeight="1" x14ac:dyDescent="0.2">
      <c r="A45" s="390"/>
      <c r="B45" s="819" t="s">
        <v>49</v>
      </c>
      <c r="C45" s="819"/>
      <c r="D45" s="819"/>
      <c r="E45" s="819"/>
      <c r="F45" s="391"/>
      <c r="G45" s="390"/>
      <c r="AB45" s="336"/>
      <c r="AC45" s="336"/>
      <c r="AD45" s="336"/>
      <c r="AE45" s="336"/>
    </row>
    <row r="46" spans="1:32" ht="24.75" customHeight="1" x14ac:dyDescent="0.2">
      <c r="A46" s="390"/>
      <c r="B46" s="819"/>
      <c r="C46" s="819"/>
      <c r="D46" s="819"/>
      <c r="E46" s="819"/>
      <c r="F46" s="391"/>
      <c r="G46" s="390"/>
      <c r="I46" s="116" t="s">
        <v>50</v>
      </c>
      <c r="K46" s="389"/>
      <c r="L46" s="389"/>
      <c r="M46" s="389"/>
      <c r="N46" s="389"/>
      <c r="O46" s="389"/>
      <c r="P46" s="389"/>
      <c r="Q46" s="162"/>
      <c r="AB46" s="819" t="s">
        <v>212</v>
      </c>
      <c r="AC46" s="819"/>
      <c r="AD46" s="819"/>
      <c r="AE46" s="819"/>
    </row>
    <row r="47" spans="1:32" ht="17.25" customHeight="1" x14ac:dyDescent="0.2">
      <c r="J47" s="809" t="s">
        <v>200</v>
      </c>
      <c r="K47" s="809"/>
      <c r="L47" s="809"/>
      <c r="M47" s="809"/>
      <c r="N47" s="809"/>
      <c r="O47" s="809"/>
      <c r="P47" s="809"/>
      <c r="AB47" s="819"/>
      <c r="AC47" s="819"/>
      <c r="AD47" s="819"/>
      <c r="AE47" s="819"/>
    </row>
    <row r="48" spans="1:32" ht="17.25" customHeight="1" x14ac:dyDescent="0.2">
      <c r="C48" s="809" t="s">
        <v>199</v>
      </c>
      <c r="D48" s="818"/>
      <c r="E48" s="818"/>
      <c r="F48" s="818"/>
      <c r="G48" s="818"/>
      <c r="H48" s="818"/>
      <c r="J48" s="810" t="s">
        <v>79</v>
      </c>
      <c r="K48" s="810"/>
      <c r="L48" s="810"/>
      <c r="M48" s="810"/>
      <c r="N48" s="810"/>
      <c r="O48" s="810"/>
      <c r="P48" s="810"/>
      <c r="AB48" s="819"/>
      <c r="AC48" s="819"/>
      <c r="AD48" s="819"/>
      <c r="AE48" s="819"/>
    </row>
    <row r="49" spans="1:32" ht="17.25" customHeight="1" x14ac:dyDescent="0.2">
      <c r="D49" s="759" t="s">
        <v>214</v>
      </c>
      <c r="E49" s="759"/>
      <c r="F49" s="759"/>
      <c r="G49" s="759"/>
      <c r="J49" s="810" t="s">
        <v>51</v>
      </c>
      <c r="K49" s="810"/>
      <c r="L49" s="810"/>
      <c r="M49" s="810"/>
      <c r="N49" s="810"/>
      <c r="O49" s="810"/>
      <c r="P49" s="810"/>
      <c r="AB49" s="336"/>
      <c r="AC49" s="336"/>
      <c r="AD49" s="336"/>
      <c r="AE49" s="336"/>
    </row>
    <row r="50" spans="1:32" ht="17.25" hidden="1" customHeight="1" x14ac:dyDescent="0.2">
      <c r="AB50" s="336"/>
      <c r="AC50" s="336"/>
      <c r="AD50" s="336"/>
      <c r="AE50" s="336"/>
    </row>
    <row r="51" spans="1:32" ht="17.25" customHeight="1" x14ac:dyDescent="0.15">
      <c r="A51" s="164" t="s">
        <v>52</v>
      </c>
    </row>
    <row r="52" spans="1:32" ht="6" customHeight="1" x14ac:dyDescent="0.15">
      <c r="AB52" s="165"/>
      <c r="AC52" s="165"/>
      <c r="AD52" s="165"/>
      <c r="AE52" s="165"/>
    </row>
    <row r="53" spans="1:32" ht="11.25" customHeight="1" x14ac:dyDescent="0.15">
      <c r="E53" s="116" t="s">
        <v>53</v>
      </c>
      <c r="AB53" s="801" t="s">
        <v>213</v>
      </c>
      <c r="AC53" s="802"/>
      <c r="AD53" s="802"/>
      <c r="AE53" s="802"/>
    </row>
    <row r="54" spans="1:32" ht="11.25" customHeight="1" x14ac:dyDescent="0.15">
      <c r="AB54" s="802"/>
      <c r="AC54" s="802"/>
      <c r="AD54" s="802"/>
      <c r="AE54" s="802"/>
    </row>
    <row r="55" spans="1:32" ht="17.25" customHeight="1" x14ac:dyDescent="0.15">
      <c r="A55" s="164" t="s">
        <v>54</v>
      </c>
      <c r="AB55" s="802"/>
      <c r="AC55" s="802"/>
      <c r="AD55" s="802"/>
      <c r="AE55" s="802"/>
    </row>
    <row r="56" spans="1:32" ht="6.75" customHeight="1" x14ac:dyDescent="0.15">
      <c r="AB56" s="802"/>
      <c r="AC56" s="802"/>
      <c r="AD56" s="802"/>
      <c r="AE56" s="802"/>
    </row>
    <row r="57" spans="1:32" ht="16.5" customHeight="1" x14ac:dyDescent="0.15">
      <c r="C57" s="116" t="s">
        <v>56</v>
      </c>
      <c r="E57" s="116" t="s">
        <v>57</v>
      </c>
      <c r="AB57" s="802"/>
      <c r="AC57" s="802"/>
      <c r="AD57" s="802"/>
      <c r="AE57" s="802"/>
    </row>
    <row r="58" spans="1:32" ht="17.25" customHeight="1" x14ac:dyDescent="0.15">
      <c r="C58" s="803" t="s">
        <v>58</v>
      </c>
      <c r="D58" s="803"/>
      <c r="E58" s="803"/>
      <c r="AF58" s="166" t="s">
        <v>53</v>
      </c>
    </row>
  </sheetData>
  <mergeCells count="51">
    <mergeCell ref="F4:F5"/>
    <mergeCell ref="AB53:AE57"/>
    <mergeCell ref="C58:E58"/>
    <mergeCell ref="J47:P47"/>
    <mergeCell ref="C48:H48"/>
    <mergeCell ref="J48:P48"/>
    <mergeCell ref="D49:G49"/>
    <mergeCell ref="AB46:AE48"/>
    <mergeCell ref="J49:P49"/>
    <mergeCell ref="B45:E46"/>
    <mergeCell ref="D12:E12"/>
    <mergeCell ref="AE6:AE8"/>
    <mergeCell ref="P6:Q6"/>
    <mergeCell ref="Z6:Z8"/>
    <mergeCell ref="AA6:AA8"/>
    <mergeCell ref="J5:J8"/>
    <mergeCell ref="V7:V8"/>
    <mergeCell ref="W7:W8"/>
    <mergeCell ref="AB7:AB8"/>
    <mergeCell ref="AC5:AC9"/>
    <mergeCell ref="AD5:AD9"/>
    <mergeCell ref="X6:X8"/>
    <mergeCell ref="Y6:Y8"/>
    <mergeCell ref="N5:V5"/>
    <mergeCell ref="N6:N7"/>
    <mergeCell ref="O6:O7"/>
    <mergeCell ref="T8:T9"/>
    <mergeCell ref="U8:U9"/>
    <mergeCell ref="R8:R9"/>
    <mergeCell ref="S8:S9"/>
    <mergeCell ref="A1:AF1"/>
    <mergeCell ref="A2:AF3"/>
    <mergeCell ref="A4:A7"/>
    <mergeCell ref="B4:B9"/>
    <mergeCell ref="C4:C9"/>
    <mergeCell ref="D4:E4"/>
    <mergeCell ref="G4:G5"/>
    <mergeCell ref="H4:H7"/>
    <mergeCell ref="I4:W4"/>
    <mergeCell ref="D5:D7"/>
    <mergeCell ref="E5:E7"/>
    <mergeCell ref="I5:I8"/>
    <mergeCell ref="G6:G7"/>
    <mergeCell ref="AF6:AF8"/>
    <mergeCell ref="P7:P8"/>
    <mergeCell ref="M6:M9"/>
    <mergeCell ref="K5:K8"/>
    <mergeCell ref="L5:L8"/>
    <mergeCell ref="Q7:Q8"/>
    <mergeCell ref="R7:U7"/>
    <mergeCell ref="R6:U6"/>
  </mergeCells>
  <pageMargins left="0.64" right="0.28000000000000003" top="0.19" bottom="0.15" header="0.17" footer="0.15"/>
  <pageSetup paperSize="8" scale="8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F44"/>
  <sheetViews>
    <sheetView workbookViewId="0">
      <selection activeCell="I22" sqref="I22"/>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12.7109375" style="116" customWidth="1"/>
    <col min="7" max="7" width="5.85546875" style="131"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17.25" customHeight="1" thickTop="1" x14ac:dyDescent="0.25">
      <c r="A4" s="761" t="s">
        <v>1</v>
      </c>
      <c r="B4" s="763" t="s">
        <v>2</v>
      </c>
      <c r="C4" s="765" t="s">
        <v>3</v>
      </c>
      <c r="D4" s="820" t="s">
        <v>4</v>
      </c>
      <c r="E4" s="820"/>
      <c r="F4" s="769"/>
      <c r="G4" s="294"/>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770"/>
      <c r="G5" s="295"/>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15</v>
      </c>
      <c r="AE5" s="124"/>
      <c r="AF5" s="124"/>
    </row>
    <row r="6" spans="1:32" s="125" customFormat="1" ht="17.25" customHeight="1" x14ac:dyDescent="0.15">
      <c r="A6" s="762"/>
      <c r="B6" s="764"/>
      <c r="C6" s="766"/>
      <c r="D6" s="762"/>
      <c r="E6" s="762"/>
      <c r="F6" s="779" t="s">
        <v>206</v>
      </c>
      <c r="G6" s="291"/>
      <c r="H6" s="772"/>
      <c r="I6" s="777"/>
      <c r="J6" s="785"/>
      <c r="K6" s="785"/>
      <c r="L6" s="785"/>
      <c r="M6" s="781" t="s">
        <v>160</v>
      </c>
      <c r="N6" s="774" t="s">
        <v>37</v>
      </c>
      <c r="O6" s="774" t="s">
        <v>18</v>
      </c>
      <c r="P6" s="821" t="s">
        <v>19</v>
      </c>
      <c r="Q6" s="822"/>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15">
      <c r="A7" s="762"/>
      <c r="B7" s="764"/>
      <c r="C7" s="766"/>
      <c r="D7" s="762"/>
      <c r="E7" s="762"/>
      <c r="F7" s="780"/>
      <c r="G7" s="292"/>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1" t="s">
        <v>205</v>
      </c>
      <c r="G8" s="299" t="s">
        <v>374</v>
      </c>
      <c r="H8" s="134"/>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20"/>
      <c r="G9" s="300" t="s">
        <v>375</v>
      </c>
      <c r="H9" s="134"/>
      <c r="I9" s="134" t="s">
        <v>308</v>
      </c>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c r="B11" s="301" t="s">
        <v>416</v>
      </c>
      <c r="C11" s="47"/>
      <c r="D11" s="167"/>
      <c r="E11" s="15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c r="AE11" s="148"/>
      <c r="AF11" s="149"/>
    </row>
    <row r="12" spans="1:32" s="143" customFormat="1" ht="22.5" customHeight="1" x14ac:dyDescent="0.2">
      <c r="A12" s="144" t="s">
        <v>38</v>
      </c>
      <c r="B12" s="46" t="s">
        <v>412</v>
      </c>
      <c r="C12" s="47" t="s">
        <v>281</v>
      </c>
      <c r="D12" s="804" t="s">
        <v>402</v>
      </c>
      <c r="E12" s="805"/>
      <c r="F12" s="47">
        <v>344.63</v>
      </c>
      <c r="G12" s="296">
        <v>13</v>
      </c>
      <c r="H12" s="47">
        <f>F12*G12</f>
        <v>4480.1899999999996</v>
      </c>
      <c r="I12" s="47"/>
      <c r="J12" s="47"/>
      <c r="K12" s="47"/>
      <c r="L12" s="47"/>
      <c r="M12" s="47"/>
      <c r="N12" s="47"/>
      <c r="O12" s="47"/>
      <c r="P12" s="47"/>
      <c r="Q12" s="47"/>
      <c r="R12" s="47"/>
      <c r="S12" s="47"/>
      <c r="T12" s="47"/>
      <c r="U12" s="47"/>
      <c r="V12" s="47"/>
      <c r="W12" s="47"/>
      <c r="X12" s="47"/>
      <c r="Y12" s="47"/>
      <c r="Z12" s="47"/>
      <c r="AA12" s="47"/>
      <c r="AB12" s="47"/>
      <c r="AC12" s="47">
        <f>SUM(H12:K12)</f>
        <v>4480.1899999999996</v>
      </c>
      <c r="AD12" s="147" t="s">
        <v>38</v>
      </c>
      <c r="AE12" s="152"/>
      <c r="AF12" s="153"/>
    </row>
    <row r="13" spans="1:32" ht="22.5" customHeight="1" x14ac:dyDescent="0.2">
      <c r="A13" s="144" t="s">
        <v>127</v>
      </c>
      <c r="B13" s="46" t="s">
        <v>413</v>
      </c>
      <c r="C13" s="47" t="s">
        <v>281</v>
      </c>
      <c r="D13" s="167" t="s">
        <v>272</v>
      </c>
      <c r="E13" s="151" t="s">
        <v>175</v>
      </c>
      <c r="F13" s="47">
        <v>344.63</v>
      </c>
      <c r="G13" s="296">
        <v>14</v>
      </c>
      <c r="H13" s="47">
        <f>F13*G13</f>
        <v>4824.82</v>
      </c>
      <c r="I13" s="47"/>
      <c r="J13" s="47"/>
      <c r="K13" s="47"/>
      <c r="L13" s="47"/>
      <c r="M13" s="47"/>
      <c r="N13" s="47"/>
      <c r="O13" s="47"/>
      <c r="P13" s="47"/>
      <c r="Q13" s="47"/>
      <c r="R13" s="47"/>
      <c r="S13" s="47"/>
      <c r="T13" s="47"/>
      <c r="U13" s="47"/>
      <c r="V13" s="47"/>
      <c r="W13" s="47"/>
      <c r="X13" s="47"/>
      <c r="Y13" s="47"/>
      <c r="Z13" s="47"/>
      <c r="AA13" s="47"/>
      <c r="AB13" s="47"/>
      <c r="AC13" s="45">
        <f>SUM(H13:K13)</f>
        <v>4824.82</v>
      </c>
      <c r="AD13" s="147" t="s">
        <v>127</v>
      </c>
      <c r="AE13" s="47"/>
      <c r="AF13" s="154"/>
    </row>
    <row r="14" spans="1:32" ht="23.25" customHeight="1" x14ac:dyDescent="0.2">
      <c r="A14" s="144" t="s">
        <v>128</v>
      </c>
      <c r="B14" s="46" t="s">
        <v>414</v>
      </c>
      <c r="C14" s="47" t="s">
        <v>281</v>
      </c>
      <c r="D14" s="167" t="s">
        <v>272</v>
      </c>
      <c r="E14" s="151" t="s">
        <v>175</v>
      </c>
      <c r="F14" s="47">
        <v>344.63</v>
      </c>
      <c r="G14" s="296">
        <v>14</v>
      </c>
      <c r="H14" s="47">
        <f>F14*G14</f>
        <v>4824.82</v>
      </c>
      <c r="I14" s="47"/>
      <c r="J14" s="47"/>
      <c r="K14" s="47"/>
      <c r="L14" s="47"/>
      <c r="M14" s="47"/>
      <c r="N14" s="47"/>
      <c r="O14" s="47"/>
      <c r="P14" s="47"/>
      <c r="Q14" s="47"/>
      <c r="R14" s="47"/>
      <c r="S14" s="47"/>
      <c r="T14" s="47"/>
      <c r="U14" s="47"/>
      <c r="V14" s="47"/>
      <c r="W14" s="47"/>
      <c r="X14" s="47"/>
      <c r="Y14" s="47"/>
      <c r="Z14" s="47"/>
      <c r="AA14" s="47"/>
      <c r="AB14" s="47"/>
      <c r="AC14" s="45">
        <f>SUM(H14:K14)</f>
        <v>4824.82</v>
      </c>
      <c r="AD14" s="147" t="s">
        <v>128</v>
      </c>
      <c r="AE14" s="47"/>
      <c r="AF14" s="154"/>
    </row>
    <row r="15" spans="1:32" ht="22.5" customHeight="1" x14ac:dyDescent="0.2">
      <c r="A15" s="144" t="s">
        <v>129</v>
      </c>
      <c r="B15" s="46" t="s">
        <v>415</v>
      </c>
      <c r="C15" s="47" t="s">
        <v>281</v>
      </c>
      <c r="D15" s="167" t="s">
        <v>272</v>
      </c>
      <c r="E15" s="151" t="s">
        <v>175</v>
      </c>
      <c r="F15" s="45">
        <v>344.63</v>
      </c>
      <c r="G15" s="319">
        <v>13</v>
      </c>
      <c r="H15" s="45">
        <f>F15*G15</f>
        <v>4480.1899999999996</v>
      </c>
      <c r="I15" s="402"/>
      <c r="J15" s="45"/>
      <c r="K15" s="45"/>
      <c r="L15" s="45"/>
      <c r="M15" s="45"/>
      <c r="N15" s="45"/>
      <c r="O15" s="45"/>
      <c r="P15" s="45"/>
      <c r="Q15" s="45"/>
      <c r="R15" s="45"/>
      <c r="S15" s="45"/>
      <c r="T15" s="45"/>
      <c r="U15" s="45"/>
      <c r="V15" s="45"/>
      <c r="W15" s="45"/>
      <c r="X15" s="45"/>
      <c r="Y15" s="45"/>
      <c r="Z15" s="45"/>
      <c r="AA15" s="45"/>
      <c r="AB15" s="45"/>
      <c r="AC15" s="45">
        <f>SUM(H15:K15)</f>
        <v>4480.1899999999996</v>
      </c>
      <c r="AD15" s="147" t="s">
        <v>129</v>
      </c>
      <c r="AE15" s="47"/>
      <c r="AF15" s="154"/>
    </row>
    <row r="16" spans="1:32" ht="19.5" customHeight="1" x14ac:dyDescent="0.2">
      <c r="A16" s="144" t="s">
        <v>131</v>
      </c>
      <c r="B16" s="301"/>
      <c r="C16" s="47"/>
      <c r="D16" s="167"/>
      <c r="E16" s="151"/>
      <c r="F16" s="368"/>
      <c r="G16" s="409"/>
      <c r="H16" s="191"/>
      <c r="I16" s="191"/>
      <c r="J16" s="191"/>
      <c r="K16" s="191"/>
      <c r="L16" s="191"/>
      <c r="M16" s="191"/>
      <c r="N16" s="191"/>
      <c r="O16" s="191"/>
      <c r="P16" s="191"/>
      <c r="Q16" s="191"/>
      <c r="R16" s="191"/>
      <c r="S16" s="191"/>
      <c r="T16" s="191"/>
      <c r="U16" s="191"/>
      <c r="V16" s="191"/>
      <c r="W16" s="191"/>
      <c r="X16" s="191"/>
      <c r="Y16" s="191"/>
      <c r="Z16" s="191"/>
      <c r="AA16" s="191"/>
      <c r="AB16" s="191"/>
      <c r="AC16" s="45"/>
      <c r="AD16" s="147" t="s">
        <v>131</v>
      </c>
      <c r="AE16" s="47"/>
      <c r="AF16" s="154"/>
    </row>
    <row r="17" spans="1:32" ht="22.5" customHeight="1" x14ac:dyDescent="0.2">
      <c r="A17" s="144" t="s">
        <v>132</v>
      </c>
      <c r="B17" s="46"/>
      <c r="C17" s="47"/>
      <c r="D17" s="167"/>
      <c r="E17" s="151"/>
      <c r="F17" s="47"/>
      <c r="G17" s="296"/>
      <c r="H17" s="47"/>
      <c r="I17" s="47"/>
      <c r="J17" s="47"/>
      <c r="K17" s="47"/>
      <c r="L17" s="47"/>
      <c r="M17" s="47"/>
      <c r="N17" s="47"/>
      <c r="O17" s="47"/>
      <c r="P17" s="47"/>
      <c r="Q17" s="47"/>
      <c r="R17" s="47"/>
      <c r="S17" s="47"/>
      <c r="T17" s="47"/>
      <c r="U17" s="47"/>
      <c r="V17" s="47"/>
      <c r="W17" s="47"/>
      <c r="X17" s="47"/>
      <c r="Y17" s="47"/>
      <c r="Z17" s="47"/>
      <c r="AA17" s="47"/>
      <c r="AB17" s="47"/>
      <c r="AC17" s="47"/>
      <c r="AD17" s="147" t="s">
        <v>132</v>
      </c>
      <c r="AE17" s="47"/>
      <c r="AF17" s="154"/>
    </row>
    <row r="18" spans="1:32" ht="22.5" customHeight="1" x14ac:dyDescent="0.2">
      <c r="A18" s="144" t="s">
        <v>133</v>
      </c>
      <c r="B18" s="46"/>
      <c r="C18" s="47"/>
      <c r="D18" s="167"/>
      <c r="E18" s="151"/>
      <c r="F18" s="47"/>
      <c r="G18" s="296"/>
      <c r="H18" s="47"/>
      <c r="I18" s="47"/>
      <c r="J18" s="47"/>
      <c r="K18" s="47"/>
      <c r="L18" s="47"/>
      <c r="M18" s="47"/>
      <c r="N18" s="47"/>
      <c r="O18" s="47"/>
      <c r="P18" s="47"/>
      <c r="Q18" s="47"/>
      <c r="R18" s="47"/>
      <c r="S18" s="47"/>
      <c r="T18" s="47"/>
      <c r="U18" s="47"/>
      <c r="V18" s="47"/>
      <c r="W18" s="47"/>
      <c r="X18" s="47"/>
      <c r="Y18" s="47"/>
      <c r="Z18" s="47"/>
      <c r="AA18" s="47"/>
      <c r="AB18" s="47"/>
      <c r="AC18" s="47"/>
      <c r="AD18" s="147" t="s">
        <v>133</v>
      </c>
      <c r="AE18" s="47"/>
      <c r="AF18" s="154"/>
    </row>
    <row r="19" spans="1:32" ht="22.5" customHeight="1" x14ac:dyDescent="0.2">
      <c r="A19" s="144" t="s">
        <v>65</v>
      </c>
      <c r="B19" s="46"/>
      <c r="C19" s="47"/>
      <c r="D19" s="167"/>
      <c r="E19" s="151"/>
      <c r="F19" s="47"/>
      <c r="G19" s="296"/>
      <c r="H19" s="45"/>
      <c r="I19" s="45"/>
      <c r="J19" s="45"/>
      <c r="K19" s="45"/>
      <c r="L19" s="45"/>
      <c r="M19" s="45"/>
      <c r="N19" s="45"/>
      <c r="O19" s="45"/>
      <c r="P19" s="45"/>
      <c r="Q19" s="45"/>
      <c r="R19" s="45"/>
      <c r="S19" s="45"/>
      <c r="T19" s="45"/>
      <c r="U19" s="45"/>
      <c r="V19" s="45"/>
      <c r="W19" s="45"/>
      <c r="X19" s="45"/>
      <c r="Y19" s="45"/>
      <c r="Z19" s="45"/>
      <c r="AA19" s="45"/>
      <c r="AB19" s="45"/>
      <c r="AC19" s="45"/>
      <c r="AD19" s="147" t="s">
        <v>65</v>
      </c>
      <c r="AE19" s="47"/>
      <c r="AF19" s="154"/>
    </row>
    <row r="20" spans="1:32" ht="22.5" customHeight="1" x14ac:dyDescent="0.2">
      <c r="A20" s="144" t="s">
        <v>134</v>
      </c>
      <c r="B20" s="46"/>
      <c r="C20" s="47"/>
      <c r="D20" s="167"/>
      <c r="E20" s="151"/>
      <c r="F20" s="47"/>
      <c r="G20" s="296"/>
      <c r="H20" s="45"/>
      <c r="I20" s="402"/>
      <c r="J20" s="45"/>
      <c r="K20" s="45"/>
      <c r="L20" s="45"/>
      <c r="M20" s="45"/>
      <c r="N20" s="45"/>
      <c r="O20" s="45"/>
      <c r="P20" s="45"/>
      <c r="Q20" s="45"/>
      <c r="R20" s="45"/>
      <c r="S20" s="45"/>
      <c r="T20" s="45"/>
      <c r="U20" s="45"/>
      <c r="V20" s="45"/>
      <c r="W20" s="45"/>
      <c r="X20" s="45"/>
      <c r="Y20" s="45"/>
      <c r="Z20" s="45"/>
      <c r="AA20" s="45"/>
      <c r="AB20" s="45"/>
      <c r="AC20" s="45"/>
      <c r="AD20" s="147" t="s">
        <v>134</v>
      </c>
      <c r="AE20" s="47"/>
      <c r="AF20" s="154"/>
    </row>
    <row r="21" spans="1:32" ht="19.5" customHeight="1" x14ac:dyDescent="0.2">
      <c r="A21" s="144" t="s">
        <v>135</v>
      </c>
      <c r="B21" s="301"/>
      <c r="C21" s="47"/>
      <c r="D21" s="167"/>
      <c r="E21" s="151"/>
      <c r="F21" s="47"/>
      <c r="G21" s="296"/>
      <c r="H21" s="45"/>
      <c r="I21" s="45"/>
      <c r="J21" s="45"/>
      <c r="K21" s="45"/>
      <c r="L21" s="45"/>
      <c r="M21" s="45"/>
      <c r="N21" s="45"/>
      <c r="O21" s="45"/>
      <c r="P21" s="45"/>
      <c r="Q21" s="45"/>
      <c r="R21" s="45"/>
      <c r="S21" s="45"/>
      <c r="T21" s="45"/>
      <c r="U21" s="45"/>
      <c r="V21" s="45"/>
      <c r="W21" s="45"/>
      <c r="X21" s="45"/>
      <c r="Y21" s="45"/>
      <c r="Z21" s="45"/>
      <c r="AA21" s="45"/>
      <c r="AB21" s="45"/>
      <c r="AC21" s="45"/>
      <c r="AD21" s="147" t="s">
        <v>135</v>
      </c>
      <c r="AE21" s="47"/>
      <c r="AF21" s="154"/>
    </row>
    <row r="22" spans="1:32" ht="22.5" customHeight="1" x14ac:dyDescent="0.2">
      <c r="A22" s="144" t="s">
        <v>136</v>
      </c>
      <c r="B22" s="46"/>
      <c r="C22" s="47"/>
      <c r="D22" s="167"/>
      <c r="E22" s="151"/>
      <c r="F22" s="47"/>
      <c r="G22" s="296"/>
      <c r="H22" s="45"/>
      <c r="I22" s="45"/>
      <c r="J22" s="45"/>
      <c r="K22" s="45"/>
      <c r="L22" s="45"/>
      <c r="M22" s="45"/>
      <c r="N22" s="45"/>
      <c r="O22" s="45"/>
      <c r="P22" s="45"/>
      <c r="Q22" s="45"/>
      <c r="R22" s="45"/>
      <c r="S22" s="45"/>
      <c r="T22" s="45"/>
      <c r="U22" s="45"/>
      <c r="V22" s="45"/>
      <c r="W22" s="45"/>
      <c r="X22" s="45"/>
      <c r="Y22" s="45"/>
      <c r="Z22" s="45"/>
      <c r="AA22" s="45"/>
      <c r="AB22" s="45"/>
      <c r="AC22" s="45"/>
      <c r="AD22" s="147" t="s">
        <v>136</v>
      </c>
      <c r="AE22" s="47"/>
      <c r="AF22" s="154"/>
    </row>
    <row r="23" spans="1:32" ht="19.5" customHeight="1" x14ac:dyDescent="0.2">
      <c r="A23" s="144" t="s">
        <v>137</v>
      </c>
      <c r="B23" s="301"/>
      <c r="C23" s="47"/>
      <c r="D23" s="167"/>
      <c r="E23" s="151"/>
      <c r="F23" s="47"/>
      <c r="G23" s="296"/>
      <c r="H23" s="45"/>
      <c r="I23" s="45"/>
      <c r="J23" s="45"/>
      <c r="K23" s="45"/>
      <c r="L23" s="45"/>
      <c r="M23" s="45"/>
      <c r="N23" s="45"/>
      <c r="O23" s="45"/>
      <c r="P23" s="45"/>
      <c r="Q23" s="45"/>
      <c r="R23" s="45"/>
      <c r="S23" s="45"/>
      <c r="T23" s="45"/>
      <c r="U23" s="45"/>
      <c r="V23" s="45"/>
      <c r="W23" s="45"/>
      <c r="X23" s="45"/>
      <c r="Y23" s="45"/>
      <c r="Z23" s="45"/>
      <c r="AA23" s="45"/>
      <c r="AB23" s="45"/>
      <c r="AC23" s="45"/>
      <c r="AD23" s="147" t="s">
        <v>137</v>
      </c>
      <c r="AE23" s="47"/>
      <c r="AF23" s="154"/>
    </row>
    <row r="24" spans="1:32" ht="19.5" customHeight="1" x14ac:dyDescent="0.2">
      <c r="A24" s="144" t="s">
        <v>138</v>
      </c>
      <c r="B24" s="301"/>
      <c r="C24" s="47"/>
      <c r="D24" s="167"/>
      <c r="E24" s="151"/>
      <c r="F24" s="47"/>
      <c r="G24" s="296"/>
      <c r="H24" s="45"/>
      <c r="I24" s="45"/>
      <c r="J24" s="45"/>
      <c r="K24" s="45"/>
      <c r="L24" s="45"/>
      <c r="M24" s="45"/>
      <c r="N24" s="45"/>
      <c r="O24" s="45"/>
      <c r="P24" s="45"/>
      <c r="Q24" s="45"/>
      <c r="R24" s="45"/>
      <c r="S24" s="45"/>
      <c r="T24" s="45"/>
      <c r="U24" s="45"/>
      <c r="V24" s="45"/>
      <c r="W24" s="45"/>
      <c r="X24" s="45"/>
      <c r="Y24" s="45"/>
      <c r="Z24" s="45"/>
      <c r="AA24" s="45"/>
      <c r="AB24" s="45"/>
      <c r="AC24" s="45"/>
      <c r="AD24" s="147" t="s">
        <v>138</v>
      </c>
      <c r="AE24" s="47"/>
      <c r="AF24" s="154"/>
    </row>
    <row r="25" spans="1:32" ht="22.5" customHeight="1" x14ac:dyDescent="0.2">
      <c r="A25" s="144" t="s">
        <v>139</v>
      </c>
      <c r="B25" s="46"/>
      <c r="C25" s="47"/>
      <c r="D25" s="167"/>
      <c r="E25" s="151"/>
      <c r="F25" s="47"/>
      <c r="G25" s="296"/>
      <c r="H25" s="45"/>
      <c r="I25" s="45"/>
      <c r="J25" s="45"/>
      <c r="K25" s="45"/>
      <c r="L25" s="45"/>
      <c r="M25" s="45"/>
      <c r="N25" s="45"/>
      <c r="O25" s="45"/>
      <c r="P25" s="45"/>
      <c r="Q25" s="45"/>
      <c r="R25" s="45"/>
      <c r="S25" s="45"/>
      <c r="T25" s="45"/>
      <c r="U25" s="45"/>
      <c r="V25" s="45"/>
      <c r="W25" s="45"/>
      <c r="X25" s="45"/>
      <c r="Y25" s="45"/>
      <c r="Z25" s="45"/>
      <c r="AA25" s="45"/>
      <c r="AB25" s="45"/>
      <c r="AC25" s="45"/>
      <c r="AD25" s="147" t="s">
        <v>139</v>
      </c>
      <c r="AE25" s="47"/>
      <c r="AF25" s="154"/>
    </row>
    <row r="26" spans="1:32" ht="22.5" customHeight="1" x14ac:dyDescent="0.2">
      <c r="A26" s="144" t="s">
        <v>140</v>
      </c>
      <c r="B26" s="46"/>
      <c r="C26" s="47"/>
      <c r="D26" s="167"/>
      <c r="E26" s="151"/>
      <c r="F26" s="47"/>
      <c r="G26" s="296"/>
      <c r="H26" s="45"/>
      <c r="I26" s="45"/>
      <c r="J26" s="45"/>
      <c r="K26" s="45"/>
      <c r="L26" s="45"/>
      <c r="M26" s="45"/>
      <c r="N26" s="45"/>
      <c r="O26" s="45"/>
      <c r="P26" s="45"/>
      <c r="Q26" s="45"/>
      <c r="R26" s="45"/>
      <c r="S26" s="45"/>
      <c r="T26" s="45"/>
      <c r="U26" s="45"/>
      <c r="V26" s="45"/>
      <c r="W26" s="45"/>
      <c r="X26" s="45"/>
      <c r="Y26" s="45"/>
      <c r="Z26" s="45"/>
      <c r="AA26" s="45"/>
      <c r="AB26" s="45"/>
      <c r="AC26" s="45"/>
      <c r="AD26" s="147" t="s">
        <v>140</v>
      </c>
      <c r="AE26" s="47"/>
      <c r="AF26" s="154"/>
    </row>
    <row r="27" spans="1:32" ht="22.5" customHeight="1" x14ac:dyDescent="0.2">
      <c r="A27" s="144" t="s">
        <v>141</v>
      </c>
      <c r="B27" s="46"/>
      <c r="C27" s="47"/>
      <c r="D27" s="167"/>
      <c r="E27" s="151"/>
      <c r="F27" s="47"/>
      <c r="G27" s="296"/>
      <c r="H27" s="45"/>
      <c r="I27" s="45"/>
      <c r="J27" s="45"/>
      <c r="K27" s="45"/>
      <c r="L27" s="45"/>
      <c r="M27" s="45"/>
      <c r="N27" s="45"/>
      <c r="O27" s="45"/>
      <c r="P27" s="45"/>
      <c r="Q27" s="45"/>
      <c r="R27" s="45"/>
      <c r="S27" s="45"/>
      <c r="T27" s="45"/>
      <c r="U27" s="45"/>
      <c r="V27" s="45"/>
      <c r="W27" s="45"/>
      <c r="X27" s="45"/>
      <c r="Y27" s="45"/>
      <c r="Z27" s="45"/>
      <c r="AA27" s="45"/>
      <c r="AB27" s="45"/>
      <c r="AC27" s="45"/>
      <c r="AD27" s="147" t="s">
        <v>141</v>
      </c>
      <c r="AE27" s="47"/>
      <c r="AF27" s="154"/>
    </row>
    <row r="28" spans="1:32" ht="22.5" customHeight="1" thickBot="1" x14ac:dyDescent="0.25">
      <c r="A28" s="144" t="s">
        <v>142</v>
      </c>
      <c r="B28" s="46"/>
      <c r="C28" s="47"/>
      <c r="D28" s="167"/>
      <c r="E28" s="151"/>
      <c r="F28" s="47"/>
      <c r="G28" s="296"/>
      <c r="H28" s="369"/>
      <c r="I28" s="373"/>
      <c r="J28" s="369"/>
      <c r="K28" s="369"/>
      <c r="L28" s="369"/>
      <c r="M28" s="369"/>
      <c r="N28" s="369"/>
      <c r="O28" s="369"/>
      <c r="P28" s="369"/>
      <c r="Q28" s="369"/>
      <c r="R28" s="369"/>
      <c r="S28" s="369"/>
      <c r="T28" s="369"/>
      <c r="U28" s="369"/>
      <c r="V28" s="369"/>
      <c r="W28" s="369"/>
      <c r="X28" s="369"/>
      <c r="Y28" s="369"/>
      <c r="Z28" s="369"/>
      <c r="AA28" s="369"/>
      <c r="AB28" s="369"/>
      <c r="AC28" s="369"/>
      <c r="AD28" s="147" t="s">
        <v>142</v>
      </c>
      <c r="AE28" s="47"/>
      <c r="AF28" s="154"/>
    </row>
    <row r="29" spans="1:32" ht="17.25" customHeight="1" thickBot="1" x14ac:dyDescent="0.25">
      <c r="A29" s="144" t="s">
        <v>143</v>
      </c>
      <c r="B29" s="31" t="s">
        <v>373</v>
      </c>
      <c r="C29" s="34"/>
      <c r="D29" s="34"/>
      <c r="E29" s="34"/>
      <c r="F29" s="156"/>
      <c r="G29" s="297"/>
      <c r="H29" s="156">
        <f>SUM(H11:H28)</f>
        <v>18610.019999999997</v>
      </c>
      <c r="I29" s="156"/>
      <c r="J29" s="156"/>
      <c r="K29" s="156"/>
      <c r="L29" s="156"/>
      <c r="M29" s="157"/>
      <c r="N29" s="156"/>
      <c r="O29" s="156"/>
      <c r="P29" s="156"/>
      <c r="Q29" s="156"/>
      <c r="R29" s="156"/>
      <c r="S29" s="156"/>
      <c r="T29" s="156"/>
      <c r="U29" s="156"/>
      <c r="V29" s="156"/>
      <c r="W29" s="156"/>
      <c r="X29" s="156"/>
      <c r="Y29" s="156"/>
      <c r="Z29" s="156"/>
      <c r="AA29" s="156"/>
      <c r="AB29" s="156"/>
      <c r="AC29" s="156">
        <f>SUM(AC11:AC28)</f>
        <v>18610.019999999997</v>
      </c>
      <c r="AD29" s="147" t="s">
        <v>143</v>
      </c>
      <c r="AE29" s="158"/>
      <c r="AF29" s="159"/>
    </row>
    <row r="30" spans="1:32" ht="17.25" customHeight="1" thickTop="1" x14ac:dyDescent="0.15">
      <c r="A30" s="806" t="s">
        <v>49</v>
      </c>
      <c r="B30" s="806"/>
      <c r="C30" s="806"/>
      <c r="D30" s="806"/>
      <c r="E30" s="806"/>
      <c r="F30" s="806"/>
      <c r="G30" s="298"/>
      <c r="I30" s="116" t="s">
        <v>50</v>
      </c>
      <c r="K30" s="160" t="s">
        <v>37</v>
      </c>
      <c r="AB30" s="807" t="s">
        <v>212</v>
      </c>
      <c r="AC30" s="808"/>
      <c r="AD30" s="808"/>
      <c r="AE30" s="808"/>
    </row>
    <row r="31" spans="1:32" ht="8.25" customHeight="1" x14ac:dyDescent="0.15">
      <c r="A31" s="807"/>
      <c r="B31" s="807"/>
      <c r="C31" s="807"/>
      <c r="D31" s="807"/>
      <c r="E31" s="807"/>
      <c r="F31" s="807"/>
      <c r="G31" s="298"/>
      <c r="H31" s="160"/>
      <c r="AB31" s="808"/>
      <c r="AC31" s="808"/>
      <c r="AD31" s="808"/>
      <c r="AE31" s="808"/>
    </row>
    <row r="32" spans="1:32" ht="29.25" customHeight="1" x14ac:dyDescent="0.2">
      <c r="A32" s="807"/>
      <c r="B32" s="807"/>
      <c r="C32" s="807"/>
      <c r="D32" s="807"/>
      <c r="E32" s="807"/>
      <c r="F32" s="807"/>
      <c r="G32" s="298"/>
      <c r="I32" s="161"/>
      <c r="J32" s="809" t="s">
        <v>200</v>
      </c>
      <c r="K32" s="809"/>
      <c r="L32" s="809"/>
      <c r="M32" s="809"/>
      <c r="N32" s="809"/>
      <c r="O32" s="809"/>
      <c r="P32" s="809"/>
      <c r="Q32" s="162"/>
      <c r="AB32" s="808"/>
      <c r="AC32" s="808"/>
      <c r="AD32" s="808"/>
      <c r="AE32" s="808"/>
    </row>
    <row r="33" spans="1:32" ht="12" customHeight="1" x14ac:dyDescent="0.2">
      <c r="J33" s="810" t="s">
        <v>79</v>
      </c>
      <c r="K33" s="810"/>
      <c r="L33" s="810"/>
      <c r="M33" s="810"/>
      <c r="N33" s="810"/>
      <c r="O33" s="810"/>
      <c r="P33" s="811"/>
      <c r="AB33" s="808"/>
      <c r="AC33" s="808"/>
      <c r="AD33" s="808"/>
      <c r="AE33" s="808"/>
    </row>
    <row r="34" spans="1:32" ht="24.75" customHeight="1" x14ac:dyDescent="0.2">
      <c r="D34" s="809" t="s">
        <v>260</v>
      </c>
      <c r="E34" s="809"/>
      <c r="F34" s="809"/>
      <c r="G34" s="367"/>
      <c r="H34" s="367"/>
      <c r="J34" s="810" t="s">
        <v>51</v>
      </c>
      <c r="K34" s="810"/>
      <c r="L34" s="810"/>
      <c r="M34" s="810"/>
      <c r="N34" s="810"/>
      <c r="O34" s="810"/>
      <c r="P34" s="811"/>
      <c r="AB34" s="808"/>
      <c r="AC34" s="808"/>
      <c r="AD34" s="808"/>
      <c r="AE34" s="808"/>
    </row>
    <row r="35" spans="1:32" ht="29.25" customHeight="1" x14ac:dyDescent="0.2">
      <c r="D35" s="818" t="s">
        <v>411</v>
      </c>
      <c r="E35" s="818"/>
      <c r="F35" s="818"/>
      <c r="G35" s="298"/>
      <c r="AB35" s="808"/>
      <c r="AC35" s="808"/>
      <c r="AD35" s="808"/>
      <c r="AE35" s="808"/>
    </row>
    <row r="36" spans="1:32" ht="17.25" customHeight="1" x14ac:dyDescent="0.15">
      <c r="AB36" s="808"/>
      <c r="AC36" s="808"/>
      <c r="AD36" s="808"/>
      <c r="AE36" s="808"/>
    </row>
    <row r="37" spans="1:32" ht="17.25" customHeight="1" x14ac:dyDescent="0.15">
      <c r="A37" s="164" t="s">
        <v>52</v>
      </c>
    </row>
    <row r="38" spans="1:32" ht="6" customHeight="1" x14ac:dyDescent="0.15">
      <c r="AB38" s="165"/>
      <c r="AC38" s="165"/>
      <c r="AD38" s="165"/>
      <c r="AE38" s="165"/>
    </row>
    <row r="39" spans="1:32" ht="11.25" customHeight="1" x14ac:dyDescent="0.15">
      <c r="E39" s="116" t="s">
        <v>53</v>
      </c>
      <c r="AB39" s="801" t="s">
        <v>213</v>
      </c>
      <c r="AC39" s="802"/>
      <c r="AD39" s="802"/>
      <c r="AE39" s="802"/>
    </row>
    <row r="40" spans="1:32" ht="11.25" customHeight="1" x14ac:dyDescent="0.15">
      <c r="AB40" s="802"/>
      <c r="AC40" s="802"/>
      <c r="AD40" s="802"/>
      <c r="AE40" s="802"/>
    </row>
    <row r="41" spans="1:32" ht="17.25" customHeight="1" x14ac:dyDescent="0.15">
      <c r="A41" s="164" t="s">
        <v>54</v>
      </c>
      <c r="AB41" s="802"/>
      <c r="AC41" s="802"/>
      <c r="AD41" s="802"/>
      <c r="AE41" s="802"/>
    </row>
    <row r="42" spans="1:32" ht="6.75" customHeight="1" x14ac:dyDescent="0.15">
      <c r="AB42" s="802"/>
      <c r="AC42" s="802"/>
      <c r="AD42" s="802"/>
      <c r="AE42" s="802"/>
    </row>
    <row r="43" spans="1:32" ht="16.5" customHeight="1" x14ac:dyDescent="0.15">
      <c r="C43" s="116" t="s">
        <v>56</v>
      </c>
      <c r="E43" s="116" t="s">
        <v>57</v>
      </c>
      <c r="AB43" s="802"/>
      <c r="AC43" s="802"/>
      <c r="AD43" s="802"/>
      <c r="AE43" s="802"/>
    </row>
    <row r="44" spans="1:32" ht="17.25" customHeight="1" x14ac:dyDescent="0.15">
      <c r="C44" s="803" t="s">
        <v>58</v>
      </c>
      <c r="D44" s="803"/>
      <c r="E44" s="803"/>
      <c r="AF44" s="166" t="s">
        <v>53</v>
      </c>
    </row>
  </sheetData>
  <mergeCells count="50">
    <mergeCell ref="AB39:AE43"/>
    <mergeCell ref="C44:E44"/>
    <mergeCell ref="D12:E12"/>
    <mergeCell ref="A30:F32"/>
    <mergeCell ref="AB30:AE36"/>
    <mergeCell ref="J32:P32"/>
    <mergeCell ref="J33:P33"/>
    <mergeCell ref="D34:F34"/>
    <mergeCell ref="J34:P34"/>
    <mergeCell ref="D35:F35"/>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T8:T9"/>
    <mergeCell ref="P6:Q6"/>
    <mergeCell ref="Z6:Z8"/>
    <mergeCell ref="AA6:AA8"/>
    <mergeCell ref="J5:J8"/>
    <mergeCell ref="K5:K8"/>
    <mergeCell ref="L5:L8"/>
    <mergeCell ref="U8:U9"/>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s>
  <pageMargins left="0.7" right="0.7" top="0.75" bottom="0.75" header="0.3" footer="0.3"/>
  <pageSetup paperSize="5"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A1:AF43"/>
  <sheetViews>
    <sheetView topLeftCell="A13" workbookViewId="0">
      <selection activeCell="H25" sqref="H25"/>
    </sheetView>
  </sheetViews>
  <sheetFormatPr defaultColWidth="9.140625" defaultRowHeight="17.25" customHeight="1" x14ac:dyDescent="0.15"/>
  <cols>
    <col min="1" max="1" width="3" style="163" customWidth="1"/>
    <col min="2" max="2" width="27.85546875" style="164" customWidth="1"/>
    <col min="3" max="3" width="19.85546875" style="116" customWidth="1"/>
    <col min="4" max="4" width="8.85546875" style="116" customWidth="1"/>
    <col min="5" max="5" width="9.42578125" style="116" customWidth="1"/>
    <col min="6" max="6" width="4.5703125" style="163" customWidth="1"/>
    <col min="7" max="7" width="12.42578125" style="116"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17.25" customHeight="1" thickTop="1" x14ac:dyDescent="0.25">
      <c r="A4" s="761" t="s">
        <v>1</v>
      </c>
      <c r="B4" s="763" t="s">
        <v>2</v>
      </c>
      <c r="C4" s="765" t="s">
        <v>3</v>
      </c>
      <c r="D4" s="820" t="s">
        <v>4</v>
      </c>
      <c r="E4" s="820"/>
      <c r="F4" s="816"/>
      <c r="G4" s="769"/>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817"/>
      <c r="G5" s="770"/>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15</v>
      </c>
      <c r="AE5" s="124"/>
      <c r="AF5" s="124"/>
    </row>
    <row r="6" spans="1:32" s="125" customFormat="1" ht="17.25" customHeight="1" x14ac:dyDescent="0.2">
      <c r="A6" s="762"/>
      <c r="B6" s="764"/>
      <c r="C6" s="766"/>
      <c r="D6" s="762"/>
      <c r="E6" s="762"/>
      <c r="F6" s="337"/>
      <c r="G6" s="779" t="s">
        <v>206</v>
      </c>
      <c r="H6" s="772"/>
      <c r="I6" s="777"/>
      <c r="J6" s="785"/>
      <c r="K6" s="785"/>
      <c r="L6" s="785"/>
      <c r="M6" s="781" t="s">
        <v>160</v>
      </c>
      <c r="N6" s="774" t="s">
        <v>37</v>
      </c>
      <c r="O6" s="774" t="s">
        <v>18</v>
      </c>
      <c r="P6" s="821" t="s">
        <v>19</v>
      </c>
      <c r="Q6" s="822"/>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2">
      <c r="A7" s="762"/>
      <c r="B7" s="764"/>
      <c r="C7" s="766"/>
      <c r="D7" s="762"/>
      <c r="E7" s="762"/>
      <c r="F7" s="337"/>
      <c r="G7" s="780"/>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7"/>
      <c r="G8" s="131" t="s">
        <v>205</v>
      </c>
      <c r="H8" s="132"/>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37"/>
      <c r="G9" s="120"/>
      <c r="H9" s="132"/>
      <c r="I9" s="134" t="s">
        <v>308</v>
      </c>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25">
      <c r="A10" s="139">
        <v>1</v>
      </c>
      <c r="B10" s="139">
        <v>2</v>
      </c>
      <c r="C10" s="139">
        <v>3</v>
      </c>
      <c r="D10" s="139">
        <v>4</v>
      </c>
      <c r="E10" s="139">
        <v>5</v>
      </c>
      <c r="F10" s="139"/>
      <c r="G10" s="139">
        <v>6</v>
      </c>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24" customHeight="1" thickTop="1" x14ac:dyDescent="0.2">
      <c r="A11" s="144" t="s">
        <v>127</v>
      </c>
      <c r="B11" s="301" t="s">
        <v>387</v>
      </c>
      <c r="C11" s="47"/>
      <c r="D11" s="167"/>
      <c r="E11" s="151"/>
      <c r="F11" s="398"/>
      <c r="G11" s="45"/>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t="s">
        <v>127</v>
      </c>
      <c r="AE11" s="152"/>
      <c r="AF11" s="153"/>
    </row>
    <row r="12" spans="1:32" ht="24" customHeight="1" x14ac:dyDescent="0.2">
      <c r="A12" s="144" t="s">
        <v>128</v>
      </c>
      <c r="B12" s="46" t="s">
        <v>332</v>
      </c>
      <c r="C12" s="47" t="s">
        <v>281</v>
      </c>
      <c r="D12" s="804" t="s">
        <v>402</v>
      </c>
      <c r="E12" s="805"/>
      <c r="F12" s="338">
        <v>12</v>
      </c>
      <c r="G12" s="45">
        <v>344.63</v>
      </c>
      <c r="H12" s="47">
        <f>G12*F12</f>
        <v>4135.5599999999995</v>
      </c>
      <c r="I12" s="47"/>
      <c r="J12" s="47"/>
      <c r="K12" s="47"/>
      <c r="L12" s="47"/>
      <c r="M12" s="47"/>
      <c r="N12" s="47"/>
      <c r="O12" s="47"/>
      <c r="P12" s="47"/>
      <c r="Q12" s="47"/>
      <c r="R12" s="47"/>
      <c r="S12" s="47"/>
      <c r="T12" s="47"/>
      <c r="U12" s="47"/>
      <c r="V12" s="47"/>
      <c r="W12" s="47"/>
      <c r="X12" s="47"/>
      <c r="Y12" s="47"/>
      <c r="Z12" s="47"/>
      <c r="AA12" s="47"/>
      <c r="AB12" s="47"/>
      <c r="AC12" s="47">
        <f>SUM(H12:AB12)</f>
        <v>4135.5599999999995</v>
      </c>
      <c r="AD12" s="147" t="s">
        <v>128</v>
      </c>
      <c r="AE12" s="47"/>
      <c r="AF12" s="154"/>
    </row>
    <row r="13" spans="1:32" ht="23.25" customHeight="1" x14ac:dyDescent="0.2">
      <c r="A13" s="144" t="s">
        <v>129</v>
      </c>
      <c r="B13" s="46" t="s">
        <v>333</v>
      </c>
      <c r="C13" s="47" t="s">
        <v>281</v>
      </c>
      <c r="D13" s="167" t="s">
        <v>272</v>
      </c>
      <c r="E13" s="151" t="s">
        <v>175</v>
      </c>
      <c r="F13" s="398" t="s">
        <v>137</v>
      </c>
      <c r="G13" s="45">
        <v>344.63</v>
      </c>
      <c r="H13" s="47">
        <f>G13*F13</f>
        <v>4480.1899999999996</v>
      </c>
      <c r="I13" s="47"/>
      <c r="J13" s="47"/>
      <c r="K13" s="47"/>
      <c r="L13" s="47"/>
      <c r="M13" s="47"/>
      <c r="N13" s="47"/>
      <c r="O13" s="47"/>
      <c r="P13" s="47"/>
      <c r="Q13" s="47"/>
      <c r="R13" s="47"/>
      <c r="S13" s="47"/>
      <c r="T13" s="47"/>
      <c r="U13" s="47"/>
      <c r="V13" s="47"/>
      <c r="W13" s="47"/>
      <c r="X13" s="47"/>
      <c r="Y13" s="47"/>
      <c r="Z13" s="47"/>
      <c r="AA13" s="47"/>
      <c r="AB13" s="47"/>
      <c r="AC13" s="47">
        <f>SUM(H13:AB13)</f>
        <v>4480.1899999999996</v>
      </c>
      <c r="AD13" s="147" t="s">
        <v>129</v>
      </c>
      <c r="AE13" s="47"/>
      <c r="AF13" s="154"/>
    </row>
    <row r="14" spans="1:32" ht="24" customHeight="1" x14ac:dyDescent="0.2">
      <c r="A14" s="144" t="s">
        <v>130</v>
      </c>
      <c r="B14" s="46" t="s">
        <v>372</v>
      </c>
      <c r="C14" s="47" t="s">
        <v>281</v>
      </c>
      <c r="D14" s="167" t="s">
        <v>272</v>
      </c>
      <c r="E14" s="151" t="s">
        <v>175</v>
      </c>
      <c r="F14" s="398" t="s">
        <v>137</v>
      </c>
      <c r="G14" s="45">
        <v>344.63</v>
      </c>
      <c r="H14" s="47">
        <f>G14*F14</f>
        <v>4480.1899999999996</v>
      </c>
      <c r="I14" s="47"/>
      <c r="J14" s="47"/>
      <c r="K14" s="47"/>
      <c r="L14" s="47"/>
      <c r="M14" s="47"/>
      <c r="N14" s="47"/>
      <c r="O14" s="47"/>
      <c r="P14" s="47"/>
      <c r="Q14" s="47"/>
      <c r="R14" s="47"/>
      <c r="S14" s="47"/>
      <c r="T14" s="47"/>
      <c r="U14" s="47"/>
      <c r="V14" s="47"/>
      <c r="W14" s="47"/>
      <c r="X14" s="47"/>
      <c r="Y14" s="47"/>
      <c r="Z14" s="47"/>
      <c r="AA14" s="47"/>
      <c r="AB14" s="47"/>
      <c r="AC14" s="47">
        <f>SUM(H14:AB14)</f>
        <v>4480.1899999999996</v>
      </c>
      <c r="AD14" s="147" t="s">
        <v>130</v>
      </c>
      <c r="AE14" s="47"/>
      <c r="AF14" s="154"/>
    </row>
    <row r="15" spans="1:32" ht="24" customHeight="1" x14ac:dyDescent="0.2">
      <c r="A15" s="144" t="s">
        <v>131</v>
      </c>
      <c r="B15" s="46" t="s">
        <v>334</v>
      </c>
      <c r="C15" s="47" t="s">
        <v>281</v>
      </c>
      <c r="D15" s="167" t="s">
        <v>272</v>
      </c>
      <c r="E15" s="151" t="s">
        <v>175</v>
      </c>
      <c r="F15" s="398" t="s">
        <v>137</v>
      </c>
      <c r="G15" s="45">
        <v>344.63</v>
      </c>
      <c r="H15" s="47">
        <f>G15*F15</f>
        <v>4480.1899999999996</v>
      </c>
      <c r="I15" s="47"/>
      <c r="J15" s="47"/>
      <c r="K15" s="47"/>
      <c r="L15" s="47"/>
      <c r="M15" s="47"/>
      <c r="N15" s="47"/>
      <c r="O15" s="47"/>
      <c r="P15" s="47"/>
      <c r="Q15" s="47"/>
      <c r="R15" s="47"/>
      <c r="S15" s="47"/>
      <c r="T15" s="47"/>
      <c r="U15" s="47"/>
      <c r="V15" s="47"/>
      <c r="W15" s="47"/>
      <c r="X15" s="47"/>
      <c r="Y15" s="47"/>
      <c r="Z15" s="47"/>
      <c r="AA15" s="47"/>
      <c r="AB15" s="47"/>
      <c r="AC15" s="47">
        <f>SUM(H15:AB15)</f>
        <v>4480.1899999999996</v>
      </c>
      <c r="AD15" s="147" t="s">
        <v>131</v>
      </c>
      <c r="AE15" s="47"/>
      <c r="AF15" s="154"/>
    </row>
    <row r="16" spans="1:32" ht="23.25" customHeight="1" thickBot="1" x14ac:dyDescent="0.25">
      <c r="A16" s="144" t="s">
        <v>132</v>
      </c>
      <c r="B16" s="46" t="s">
        <v>335</v>
      </c>
      <c r="C16" s="47" t="s">
        <v>281</v>
      </c>
      <c r="D16" s="167" t="s">
        <v>272</v>
      </c>
      <c r="E16" s="151" t="s">
        <v>175</v>
      </c>
      <c r="F16" s="398" t="s">
        <v>137</v>
      </c>
      <c r="G16" s="45">
        <v>344.63</v>
      </c>
      <c r="H16" s="369">
        <f>G16*F16</f>
        <v>4480.1899999999996</v>
      </c>
      <c r="I16" s="369"/>
      <c r="J16" s="369"/>
      <c r="K16" s="369"/>
      <c r="L16" s="369"/>
      <c r="M16" s="369"/>
      <c r="N16" s="369"/>
      <c r="O16" s="369"/>
      <c r="P16" s="369"/>
      <c r="Q16" s="369"/>
      <c r="R16" s="369"/>
      <c r="S16" s="369"/>
      <c r="T16" s="369"/>
      <c r="U16" s="369"/>
      <c r="V16" s="369"/>
      <c r="W16" s="369"/>
      <c r="X16" s="369"/>
      <c r="Y16" s="369"/>
      <c r="Z16" s="369"/>
      <c r="AA16" s="369"/>
      <c r="AB16" s="369"/>
      <c r="AC16" s="369">
        <f>SUM(H16:AB16)</f>
        <v>4480.1899999999996</v>
      </c>
      <c r="AD16" s="147" t="s">
        <v>132</v>
      </c>
      <c r="AE16" s="47"/>
      <c r="AF16" s="154"/>
    </row>
    <row r="17" spans="1:32" ht="23.25" customHeight="1" x14ac:dyDescent="0.2">
      <c r="A17" s="144" t="s">
        <v>65</v>
      </c>
      <c r="B17" s="46"/>
      <c r="C17" s="47"/>
      <c r="D17" s="167"/>
      <c r="E17" s="151"/>
      <c r="F17" s="398"/>
      <c r="G17" s="45"/>
      <c r="H17" s="45"/>
      <c r="I17" s="45"/>
      <c r="J17" s="45"/>
      <c r="K17" s="45"/>
      <c r="L17" s="45"/>
      <c r="M17" s="45"/>
      <c r="N17" s="45"/>
      <c r="O17" s="45"/>
      <c r="P17" s="45"/>
      <c r="Q17" s="45"/>
      <c r="R17" s="45"/>
      <c r="S17" s="45"/>
      <c r="T17" s="45"/>
      <c r="U17" s="45"/>
      <c r="V17" s="45"/>
      <c r="W17" s="45"/>
      <c r="X17" s="45"/>
      <c r="Y17" s="45"/>
      <c r="Z17" s="45"/>
      <c r="AA17" s="45"/>
      <c r="AB17" s="45"/>
      <c r="AC17" s="45"/>
      <c r="AD17" s="147" t="s">
        <v>65</v>
      </c>
      <c r="AE17" s="47"/>
      <c r="AF17" s="154"/>
    </row>
    <row r="18" spans="1:32" ht="24" customHeight="1" x14ac:dyDescent="0.2">
      <c r="A18" s="144" t="s">
        <v>134</v>
      </c>
      <c r="B18" s="374"/>
      <c r="C18" s="45"/>
      <c r="D18" s="167"/>
      <c r="E18" s="151"/>
      <c r="F18" s="398"/>
      <c r="G18" s="45"/>
      <c r="H18" s="45"/>
      <c r="I18" s="45"/>
      <c r="J18" s="45"/>
      <c r="K18" s="45"/>
      <c r="L18" s="45"/>
      <c r="M18" s="45"/>
      <c r="N18" s="45"/>
      <c r="O18" s="45"/>
      <c r="P18" s="45"/>
      <c r="Q18" s="45"/>
      <c r="R18" s="45"/>
      <c r="S18" s="45"/>
      <c r="T18" s="45"/>
      <c r="U18" s="45"/>
      <c r="V18" s="45"/>
      <c r="W18" s="45"/>
      <c r="X18" s="45"/>
      <c r="Y18" s="45"/>
      <c r="Z18" s="45"/>
      <c r="AA18" s="45"/>
      <c r="AB18" s="45"/>
      <c r="AC18" s="45"/>
      <c r="AD18" s="147" t="s">
        <v>134</v>
      </c>
      <c r="AE18" s="47"/>
      <c r="AF18" s="154"/>
    </row>
    <row r="19" spans="1:32" ht="24" customHeight="1" x14ac:dyDescent="0.2">
      <c r="A19" s="144" t="s">
        <v>135</v>
      </c>
      <c r="B19" s="44"/>
      <c r="C19" s="45"/>
      <c r="D19" s="167"/>
      <c r="E19" s="151"/>
      <c r="F19" s="398"/>
      <c r="G19" s="45"/>
      <c r="H19" s="45"/>
      <c r="I19" s="45"/>
      <c r="J19" s="45"/>
      <c r="K19" s="45"/>
      <c r="L19" s="45"/>
      <c r="M19" s="45"/>
      <c r="N19" s="45"/>
      <c r="O19" s="45"/>
      <c r="P19" s="45"/>
      <c r="Q19" s="45"/>
      <c r="R19" s="45"/>
      <c r="S19" s="45"/>
      <c r="T19" s="45"/>
      <c r="U19" s="45"/>
      <c r="V19" s="45"/>
      <c r="W19" s="45"/>
      <c r="X19" s="45"/>
      <c r="Y19" s="45"/>
      <c r="Z19" s="45"/>
      <c r="AA19" s="45"/>
      <c r="AB19" s="45"/>
      <c r="AC19" s="45"/>
      <c r="AD19" s="147" t="s">
        <v>135</v>
      </c>
      <c r="AE19" s="47"/>
      <c r="AF19" s="154"/>
    </row>
    <row r="20" spans="1:32" ht="24" customHeight="1" x14ac:dyDescent="0.2">
      <c r="A20" s="144" t="s">
        <v>136</v>
      </c>
      <c r="B20" s="44"/>
      <c r="C20" s="45"/>
      <c r="D20" s="167"/>
      <c r="E20" s="151"/>
      <c r="F20" s="398"/>
      <c r="G20" s="45"/>
      <c r="H20" s="45"/>
      <c r="I20" s="45"/>
      <c r="J20" s="45"/>
      <c r="K20" s="45"/>
      <c r="L20" s="45"/>
      <c r="M20" s="45"/>
      <c r="N20" s="45"/>
      <c r="O20" s="45"/>
      <c r="P20" s="45"/>
      <c r="Q20" s="45"/>
      <c r="R20" s="45"/>
      <c r="S20" s="45"/>
      <c r="T20" s="45"/>
      <c r="U20" s="45"/>
      <c r="V20" s="45"/>
      <c r="W20" s="45"/>
      <c r="X20" s="45"/>
      <c r="Y20" s="45"/>
      <c r="Z20" s="45"/>
      <c r="AA20" s="45"/>
      <c r="AB20" s="45"/>
      <c r="AC20" s="45"/>
      <c r="AD20" s="147" t="s">
        <v>136</v>
      </c>
      <c r="AE20" s="47"/>
      <c r="AF20" s="154"/>
    </row>
    <row r="21" spans="1:32" ht="24" customHeight="1" x14ac:dyDescent="0.2">
      <c r="A21" s="144" t="s">
        <v>137</v>
      </c>
      <c r="B21" s="44"/>
      <c r="C21" s="45"/>
      <c r="D21" s="167"/>
      <c r="E21" s="151"/>
      <c r="F21" s="398"/>
      <c r="G21" s="45"/>
      <c r="H21" s="45"/>
      <c r="I21" s="45"/>
      <c r="J21" s="45"/>
      <c r="K21" s="45"/>
      <c r="L21" s="45"/>
      <c r="M21" s="45"/>
      <c r="N21" s="45"/>
      <c r="O21" s="45"/>
      <c r="P21" s="45"/>
      <c r="Q21" s="45"/>
      <c r="R21" s="45"/>
      <c r="S21" s="45"/>
      <c r="T21" s="45"/>
      <c r="U21" s="45"/>
      <c r="V21" s="45"/>
      <c r="W21" s="45"/>
      <c r="X21" s="45"/>
      <c r="Y21" s="45"/>
      <c r="Z21" s="45"/>
      <c r="AA21" s="45"/>
      <c r="AB21" s="45"/>
      <c r="AC21" s="45"/>
      <c r="AD21" s="147" t="s">
        <v>137</v>
      </c>
      <c r="AE21" s="47"/>
      <c r="AF21" s="154"/>
    </row>
    <row r="22" spans="1:32" ht="24" customHeight="1" x14ac:dyDescent="0.2">
      <c r="A22" s="144" t="s">
        <v>139</v>
      </c>
      <c r="B22" s="408"/>
      <c r="C22" s="45"/>
      <c r="D22" s="167"/>
      <c r="E22" s="151"/>
      <c r="F22" s="398"/>
      <c r="G22" s="45"/>
      <c r="H22" s="192"/>
      <c r="I22" s="192"/>
      <c r="J22" s="192"/>
      <c r="K22" s="192"/>
      <c r="L22" s="192"/>
      <c r="M22" s="192"/>
      <c r="N22" s="192"/>
      <c r="O22" s="192"/>
      <c r="P22" s="192"/>
      <c r="Q22" s="192"/>
      <c r="R22" s="192"/>
      <c r="S22" s="192"/>
      <c r="T22" s="192"/>
      <c r="U22" s="192"/>
      <c r="V22" s="192"/>
      <c r="W22" s="192"/>
      <c r="X22" s="192"/>
      <c r="Y22" s="192"/>
      <c r="Z22" s="192"/>
      <c r="AA22" s="192"/>
      <c r="AB22" s="192"/>
      <c r="AC22" s="192"/>
      <c r="AD22" s="147" t="s">
        <v>139</v>
      </c>
      <c r="AE22" s="47"/>
      <c r="AF22" s="154"/>
    </row>
    <row r="23" spans="1:32" ht="24" customHeight="1" x14ac:dyDescent="0.2">
      <c r="A23" s="144" t="s">
        <v>141</v>
      </c>
      <c r="B23" s="46"/>
      <c r="C23" s="47"/>
      <c r="D23" s="167"/>
      <c r="E23" s="151"/>
      <c r="F23" s="398"/>
      <c r="G23" s="45"/>
      <c r="H23" s="45"/>
      <c r="I23" s="45"/>
      <c r="J23" s="45"/>
      <c r="K23" s="45"/>
      <c r="L23" s="45"/>
      <c r="M23" s="45"/>
      <c r="N23" s="45"/>
      <c r="O23" s="45"/>
      <c r="P23" s="45"/>
      <c r="Q23" s="45"/>
      <c r="R23" s="45"/>
      <c r="S23" s="45"/>
      <c r="T23" s="45"/>
      <c r="U23" s="45"/>
      <c r="V23" s="45"/>
      <c r="W23" s="45"/>
      <c r="X23" s="45"/>
      <c r="Y23" s="45"/>
      <c r="Z23" s="45"/>
      <c r="AA23" s="45"/>
      <c r="AB23" s="45"/>
      <c r="AC23" s="45"/>
      <c r="AD23" s="147" t="s">
        <v>141</v>
      </c>
      <c r="AE23" s="47"/>
      <c r="AF23" s="154"/>
    </row>
    <row r="24" spans="1:32" ht="24" customHeight="1" x14ac:dyDescent="0.2">
      <c r="A24" s="144" t="s">
        <v>143</v>
      </c>
      <c r="B24" s="46"/>
      <c r="C24" s="47"/>
      <c r="D24" s="167"/>
      <c r="E24" s="151"/>
      <c r="F24" s="397"/>
      <c r="G24" s="47"/>
      <c r="H24" s="47"/>
      <c r="I24" s="47"/>
      <c r="J24" s="47"/>
      <c r="K24" s="47"/>
      <c r="L24" s="47"/>
      <c r="M24" s="47"/>
      <c r="N24" s="47"/>
      <c r="O24" s="47"/>
      <c r="P24" s="47"/>
      <c r="Q24" s="47"/>
      <c r="R24" s="47"/>
      <c r="S24" s="47"/>
      <c r="T24" s="47"/>
      <c r="U24" s="47"/>
      <c r="V24" s="47"/>
      <c r="W24" s="47"/>
      <c r="X24" s="47"/>
      <c r="Y24" s="47"/>
      <c r="Z24" s="47"/>
      <c r="AA24" s="47"/>
      <c r="AB24" s="47"/>
      <c r="AC24" s="47"/>
      <c r="AD24" s="147" t="s">
        <v>143</v>
      </c>
      <c r="AE24" s="47"/>
      <c r="AF24" s="154"/>
    </row>
    <row r="25" spans="1:32" ht="24" customHeight="1" x14ac:dyDescent="0.2">
      <c r="A25" s="144" t="s">
        <v>144</v>
      </c>
      <c r="B25" s="46"/>
      <c r="C25" s="47"/>
      <c r="D25" s="167"/>
      <c r="E25" s="151"/>
      <c r="F25" s="397"/>
      <c r="G25" s="47"/>
      <c r="H25" s="47"/>
      <c r="I25" s="47"/>
      <c r="J25" s="47"/>
      <c r="K25" s="47"/>
      <c r="L25" s="47"/>
      <c r="M25" s="47"/>
      <c r="N25" s="47"/>
      <c r="O25" s="47"/>
      <c r="P25" s="47"/>
      <c r="Q25" s="47"/>
      <c r="R25" s="47"/>
      <c r="S25" s="47"/>
      <c r="T25" s="47"/>
      <c r="U25" s="47"/>
      <c r="V25" s="47"/>
      <c r="W25" s="47"/>
      <c r="X25" s="47"/>
      <c r="Y25" s="47"/>
      <c r="Z25" s="47"/>
      <c r="AA25" s="47"/>
      <c r="AB25" s="47"/>
      <c r="AC25" s="47"/>
      <c r="AD25" s="147" t="s">
        <v>144</v>
      </c>
      <c r="AE25" s="47"/>
      <c r="AF25" s="154"/>
    </row>
    <row r="26" spans="1:32" ht="24" customHeight="1" x14ac:dyDescent="0.2">
      <c r="A26" s="144" t="s">
        <v>145</v>
      </c>
      <c r="B26" s="46"/>
      <c r="C26" s="47"/>
      <c r="D26" s="167"/>
      <c r="E26" s="151"/>
      <c r="F26" s="397"/>
      <c r="G26" s="47"/>
      <c r="H26" s="47"/>
      <c r="I26" s="47"/>
      <c r="J26" s="47"/>
      <c r="K26" s="47"/>
      <c r="L26" s="47"/>
      <c r="M26" s="47"/>
      <c r="N26" s="47"/>
      <c r="O26" s="47"/>
      <c r="P26" s="47"/>
      <c r="Q26" s="47"/>
      <c r="R26" s="47"/>
      <c r="S26" s="47"/>
      <c r="T26" s="47"/>
      <c r="U26" s="47"/>
      <c r="V26" s="47"/>
      <c r="W26" s="47"/>
      <c r="X26" s="47"/>
      <c r="Y26" s="47"/>
      <c r="Z26" s="47"/>
      <c r="AA26" s="47"/>
      <c r="AB26" s="47"/>
      <c r="AC26" s="47"/>
      <c r="AD26" s="147" t="s">
        <v>145</v>
      </c>
      <c r="AE26" s="47"/>
      <c r="AF26" s="154"/>
    </row>
    <row r="27" spans="1:32" ht="24" customHeight="1" thickBot="1" x14ac:dyDescent="0.25">
      <c r="A27" s="144" t="s">
        <v>146</v>
      </c>
      <c r="B27" s="46"/>
      <c r="C27" s="47"/>
      <c r="D27" s="167"/>
      <c r="E27" s="151"/>
      <c r="F27" s="397"/>
      <c r="G27" s="47"/>
      <c r="H27" s="369"/>
      <c r="I27" s="373"/>
      <c r="J27" s="369"/>
      <c r="K27" s="369"/>
      <c r="L27" s="369"/>
      <c r="M27" s="369"/>
      <c r="N27" s="369"/>
      <c r="O27" s="369"/>
      <c r="P27" s="369"/>
      <c r="Q27" s="369"/>
      <c r="R27" s="369"/>
      <c r="S27" s="369"/>
      <c r="T27" s="369"/>
      <c r="U27" s="369"/>
      <c r="V27" s="369"/>
      <c r="W27" s="369"/>
      <c r="X27" s="369"/>
      <c r="Y27" s="369"/>
      <c r="Z27" s="369"/>
      <c r="AA27" s="369"/>
      <c r="AB27" s="369"/>
      <c r="AC27" s="369"/>
      <c r="AD27" s="147" t="s">
        <v>146</v>
      </c>
      <c r="AE27" s="47"/>
      <c r="AF27" s="154"/>
    </row>
    <row r="28" spans="1:32" ht="24" customHeight="1" thickBot="1" x14ac:dyDescent="0.25">
      <c r="A28" s="144" t="s">
        <v>147</v>
      </c>
      <c r="B28" s="403" t="s">
        <v>388</v>
      </c>
      <c r="C28" s="34"/>
      <c r="D28" s="34"/>
      <c r="E28" s="34"/>
      <c r="F28" s="400"/>
      <c r="G28" s="156"/>
      <c r="H28" s="365">
        <f>SUM(H12:H16)</f>
        <v>22056.319999999996</v>
      </c>
      <c r="I28" s="365"/>
      <c r="J28" s="365"/>
      <c r="K28" s="365"/>
      <c r="L28" s="365"/>
      <c r="M28" s="366"/>
      <c r="N28" s="365"/>
      <c r="O28" s="365"/>
      <c r="P28" s="365"/>
      <c r="Q28" s="365"/>
      <c r="R28" s="365"/>
      <c r="S28" s="365"/>
      <c r="T28" s="365"/>
      <c r="U28" s="365"/>
      <c r="V28" s="365"/>
      <c r="W28" s="365"/>
      <c r="X28" s="365"/>
      <c r="Y28" s="365"/>
      <c r="Z28" s="365"/>
      <c r="AA28" s="365"/>
      <c r="AB28" s="365"/>
      <c r="AC28" s="365">
        <f>SUM(AC12:AC16)</f>
        <v>22056.319999999996</v>
      </c>
      <c r="AD28" s="147" t="s">
        <v>147</v>
      </c>
      <c r="AE28" s="158"/>
      <c r="AF28" s="159"/>
    </row>
    <row r="29" spans="1:32" ht="17.25" customHeight="1" thickTop="1" x14ac:dyDescent="0.15">
      <c r="A29" s="806" t="s">
        <v>49</v>
      </c>
      <c r="B29" s="806"/>
      <c r="C29" s="806"/>
      <c r="D29" s="806"/>
      <c r="E29" s="806"/>
      <c r="F29" s="806"/>
      <c r="G29" s="806"/>
      <c r="I29" s="116" t="s">
        <v>50</v>
      </c>
      <c r="K29" s="160" t="s">
        <v>37</v>
      </c>
      <c r="AB29" s="807" t="s">
        <v>212</v>
      </c>
      <c r="AC29" s="808"/>
      <c r="AD29" s="808"/>
      <c r="AE29" s="808"/>
    </row>
    <row r="30" spans="1:32" ht="17.25" customHeight="1" x14ac:dyDescent="0.15">
      <c r="A30" s="807"/>
      <c r="B30" s="807"/>
      <c r="C30" s="807"/>
      <c r="D30" s="807"/>
      <c r="E30" s="807"/>
      <c r="F30" s="807"/>
      <c r="G30" s="807"/>
      <c r="H30" s="160"/>
      <c r="AB30" s="808"/>
      <c r="AC30" s="808"/>
      <c r="AD30" s="808"/>
      <c r="AE30" s="808"/>
    </row>
    <row r="31" spans="1:32" ht="23.25" customHeight="1" x14ac:dyDescent="0.2">
      <c r="A31" s="807"/>
      <c r="B31" s="807"/>
      <c r="C31" s="807"/>
      <c r="D31" s="807"/>
      <c r="E31" s="807"/>
      <c r="F31" s="807"/>
      <c r="G31" s="807"/>
      <c r="I31" s="161"/>
      <c r="J31" s="809" t="s">
        <v>200</v>
      </c>
      <c r="K31" s="809"/>
      <c r="L31" s="809"/>
      <c r="M31" s="809"/>
      <c r="N31" s="809"/>
      <c r="O31" s="809"/>
      <c r="P31" s="809"/>
      <c r="Q31" s="162"/>
      <c r="AB31" s="808"/>
      <c r="AC31" s="808"/>
      <c r="AD31" s="808"/>
      <c r="AE31" s="808"/>
    </row>
    <row r="32" spans="1:32" ht="17.25" customHeight="1" x14ac:dyDescent="0.2">
      <c r="J32" s="810" t="s">
        <v>79</v>
      </c>
      <c r="K32" s="810"/>
      <c r="L32" s="810"/>
      <c r="M32" s="810"/>
      <c r="N32" s="810"/>
      <c r="O32" s="810"/>
      <c r="P32" s="811"/>
      <c r="AB32" s="808"/>
      <c r="AC32" s="808"/>
      <c r="AD32" s="808"/>
      <c r="AE32" s="808"/>
    </row>
    <row r="33" spans="1:32" ht="17.25" customHeight="1" x14ac:dyDescent="0.2">
      <c r="D33" s="823" t="s">
        <v>260</v>
      </c>
      <c r="E33" s="823"/>
      <c r="F33" s="823"/>
      <c r="G33" s="823"/>
      <c r="H33" s="367"/>
      <c r="J33" s="810" t="s">
        <v>51</v>
      </c>
      <c r="K33" s="810"/>
      <c r="L33" s="810"/>
      <c r="M33" s="810"/>
      <c r="N33" s="810"/>
      <c r="O33" s="810"/>
      <c r="P33" s="811"/>
      <c r="AB33" s="808"/>
      <c r="AC33" s="808"/>
      <c r="AD33" s="808"/>
      <c r="AE33" s="808"/>
    </row>
    <row r="34" spans="1:32" ht="17.25" customHeight="1" x14ac:dyDescent="0.2">
      <c r="D34" s="818" t="s">
        <v>411</v>
      </c>
      <c r="E34" s="818"/>
      <c r="F34" s="818"/>
      <c r="G34" s="818"/>
      <c r="AB34" s="808"/>
      <c r="AC34" s="808"/>
      <c r="AD34" s="808"/>
      <c r="AE34" s="808"/>
    </row>
    <row r="35" spans="1:32" ht="9.75" customHeight="1" x14ac:dyDescent="0.15">
      <c r="AB35" s="808"/>
      <c r="AC35" s="808"/>
      <c r="AD35" s="808"/>
      <c r="AE35" s="808"/>
    </row>
    <row r="36" spans="1:32" ht="17.25" customHeight="1" x14ac:dyDescent="0.15">
      <c r="A36" s="164" t="s">
        <v>52</v>
      </c>
    </row>
    <row r="37" spans="1:32" ht="6" customHeight="1" x14ac:dyDescent="0.15">
      <c r="AB37" s="165"/>
      <c r="AC37" s="165"/>
      <c r="AD37" s="165"/>
      <c r="AE37" s="165"/>
    </row>
    <row r="38" spans="1:32" ht="11.25" customHeight="1" x14ac:dyDescent="0.15">
      <c r="E38" s="116" t="s">
        <v>53</v>
      </c>
      <c r="AB38" s="801" t="s">
        <v>213</v>
      </c>
      <c r="AC38" s="802"/>
      <c r="AD38" s="802"/>
      <c r="AE38" s="802"/>
    </row>
    <row r="39" spans="1:32" ht="11.25" customHeight="1" x14ac:dyDescent="0.15">
      <c r="AB39" s="802"/>
      <c r="AC39" s="802"/>
      <c r="AD39" s="802"/>
      <c r="AE39" s="802"/>
    </row>
    <row r="40" spans="1:32" ht="17.25" customHeight="1" x14ac:dyDescent="0.15">
      <c r="A40" s="164" t="s">
        <v>54</v>
      </c>
      <c r="AB40" s="802"/>
      <c r="AC40" s="802"/>
      <c r="AD40" s="802"/>
      <c r="AE40" s="802"/>
    </row>
    <row r="41" spans="1:32" ht="6.75" customHeight="1" x14ac:dyDescent="0.15">
      <c r="AB41" s="802"/>
      <c r="AC41" s="802"/>
      <c r="AD41" s="802"/>
      <c r="AE41" s="802"/>
    </row>
    <row r="42" spans="1:32" ht="16.5" customHeight="1" x14ac:dyDescent="0.15">
      <c r="C42" s="116" t="s">
        <v>56</v>
      </c>
      <c r="E42" s="116" t="s">
        <v>57</v>
      </c>
      <c r="AB42" s="802"/>
      <c r="AC42" s="802"/>
      <c r="AD42" s="802"/>
      <c r="AE42" s="802"/>
    </row>
    <row r="43" spans="1:32" ht="17.25" customHeight="1" x14ac:dyDescent="0.15">
      <c r="C43" s="803" t="s">
        <v>58</v>
      </c>
      <c r="D43" s="803"/>
      <c r="E43" s="803"/>
      <c r="AF43" s="166" t="s">
        <v>53</v>
      </c>
    </row>
  </sheetData>
  <mergeCells count="51">
    <mergeCell ref="D12:E12"/>
    <mergeCell ref="F4:F5"/>
    <mergeCell ref="AB38:AE42"/>
    <mergeCell ref="C43:E43"/>
    <mergeCell ref="A29:G31"/>
    <mergeCell ref="AB29:AE35"/>
    <mergeCell ref="J31:P31"/>
    <mergeCell ref="J32:P32"/>
    <mergeCell ref="J33:P33"/>
    <mergeCell ref="D34:G34"/>
    <mergeCell ref="J5:J8"/>
    <mergeCell ref="K5:K8"/>
    <mergeCell ref="L5:L8"/>
    <mergeCell ref="AE6:AE8"/>
    <mergeCell ref="S8:S9"/>
    <mergeCell ref="T8:T9"/>
    <mergeCell ref="AB7:AB8"/>
    <mergeCell ref="AC5:AC9"/>
    <mergeCell ref="AD5:AD9"/>
    <mergeCell ref="R6:U6"/>
    <mergeCell ref="X6:X8"/>
    <mergeCell ref="Y6:Y8"/>
    <mergeCell ref="N5:V5"/>
    <mergeCell ref="N6:N7"/>
    <mergeCell ref="O6:O7"/>
    <mergeCell ref="U8:U9"/>
    <mergeCell ref="AA6:AA8"/>
    <mergeCell ref="D33:G33"/>
    <mergeCell ref="A1:AF1"/>
    <mergeCell ref="A2:AF3"/>
    <mergeCell ref="A4:A7"/>
    <mergeCell ref="B4:B9"/>
    <mergeCell ref="C4:C9"/>
    <mergeCell ref="D4:E4"/>
    <mergeCell ref="G4:G5"/>
    <mergeCell ref="H4:H7"/>
    <mergeCell ref="I4:W4"/>
    <mergeCell ref="D5:D7"/>
    <mergeCell ref="E5:E7"/>
    <mergeCell ref="I5:I8"/>
    <mergeCell ref="AF6:AF8"/>
    <mergeCell ref="P7:P8"/>
    <mergeCell ref="G6:G7"/>
    <mergeCell ref="M6:M9"/>
    <mergeCell ref="R8:R9"/>
    <mergeCell ref="P6:Q6"/>
    <mergeCell ref="Z6:Z8"/>
    <mergeCell ref="Q7:Q8"/>
    <mergeCell ref="R7:U7"/>
    <mergeCell ref="V7:V8"/>
    <mergeCell ref="W7:W8"/>
  </mergeCells>
  <pageMargins left="0.64" right="0.28000000000000003" top="0.37" bottom="0.15" header="0.37" footer="0.15"/>
  <pageSetup paperSize="5"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9FF33"/>
  </sheetPr>
  <dimension ref="A1:AF51"/>
  <sheetViews>
    <sheetView workbookViewId="0">
      <selection sqref="A1:XFD1048576"/>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16.28515625" style="116" customWidth="1"/>
    <col min="7" max="7" width="5.85546875" style="131"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17.25" customHeight="1" thickTop="1" x14ac:dyDescent="0.25">
      <c r="A4" s="761" t="s">
        <v>1</v>
      </c>
      <c r="B4" s="763" t="s">
        <v>2</v>
      </c>
      <c r="C4" s="765" t="s">
        <v>3</v>
      </c>
      <c r="D4" s="820" t="s">
        <v>4</v>
      </c>
      <c r="E4" s="820"/>
      <c r="F4" s="769"/>
      <c r="G4" s="294"/>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770"/>
      <c r="G5" s="295"/>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15</v>
      </c>
      <c r="AE5" s="124"/>
      <c r="AF5" s="124"/>
    </row>
    <row r="6" spans="1:32" s="125" customFormat="1" ht="17.25" customHeight="1" x14ac:dyDescent="0.15">
      <c r="A6" s="762"/>
      <c r="B6" s="764"/>
      <c r="C6" s="766"/>
      <c r="D6" s="762"/>
      <c r="E6" s="762"/>
      <c r="F6" s="779" t="s">
        <v>206</v>
      </c>
      <c r="G6" s="291"/>
      <c r="H6" s="772"/>
      <c r="I6" s="777"/>
      <c r="J6" s="785"/>
      <c r="K6" s="785"/>
      <c r="L6" s="785"/>
      <c r="M6" s="781" t="s">
        <v>160</v>
      </c>
      <c r="N6" s="774" t="s">
        <v>37</v>
      </c>
      <c r="O6" s="774" t="s">
        <v>18</v>
      </c>
      <c r="P6" s="821" t="s">
        <v>19</v>
      </c>
      <c r="Q6" s="822"/>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15">
      <c r="A7" s="762"/>
      <c r="B7" s="764"/>
      <c r="C7" s="766"/>
      <c r="D7" s="762"/>
      <c r="E7" s="762"/>
      <c r="F7" s="780"/>
      <c r="G7" s="292"/>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1" t="s">
        <v>205</v>
      </c>
      <c r="G8" s="299" t="s">
        <v>374</v>
      </c>
      <c r="H8" s="134"/>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20"/>
      <c r="G9" s="300" t="s">
        <v>375</v>
      </c>
      <c r="H9" s="134"/>
      <c r="I9" s="134" t="s">
        <v>308</v>
      </c>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c r="B11" s="301" t="s">
        <v>336</v>
      </c>
      <c r="C11" s="47"/>
      <c r="D11" s="167"/>
      <c r="E11" s="15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c r="AE11" s="148"/>
      <c r="AF11" s="149"/>
    </row>
    <row r="12" spans="1:32" s="143" customFormat="1" ht="22.5" customHeight="1" x14ac:dyDescent="0.2">
      <c r="A12" s="144"/>
      <c r="B12" s="46" t="s">
        <v>337</v>
      </c>
      <c r="C12" s="47" t="s">
        <v>281</v>
      </c>
      <c r="D12" s="804" t="s">
        <v>402</v>
      </c>
      <c r="E12" s="805"/>
      <c r="F12" s="47">
        <v>344.63</v>
      </c>
      <c r="G12" s="296">
        <v>14</v>
      </c>
      <c r="H12" s="47">
        <f>F12*14</f>
        <v>4824.82</v>
      </c>
      <c r="I12" s="47"/>
      <c r="J12" s="47"/>
      <c r="K12" s="47"/>
      <c r="L12" s="47"/>
      <c r="M12" s="47"/>
      <c r="N12" s="47"/>
      <c r="O12" s="47"/>
      <c r="P12" s="47"/>
      <c r="Q12" s="47"/>
      <c r="R12" s="47"/>
      <c r="S12" s="47"/>
      <c r="T12" s="47"/>
      <c r="U12" s="47"/>
      <c r="V12" s="47"/>
      <c r="W12" s="47"/>
      <c r="X12" s="47"/>
      <c r="Y12" s="47"/>
      <c r="Z12" s="47"/>
      <c r="AA12" s="47"/>
      <c r="AB12" s="47"/>
      <c r="AC12" s="47">
        <f>SUM(H12:AB12)</f>
        <v>4824.82</v>
      </c>
      <c r="AD12" s="147"/>
      <c r="AE12" s="152"/>
      <c r="AF12" s="153"/>
    </row>
    <row r="13" spans="1:32" ht="22.5" customHeight="1" x14ac:dyDescent="0.2">
      <c r="A13" s="144"/>
      <c r="B13" s="46" t="s">
        <v>338</v>
      </c>
      <c r="C13" s="47" t="s">
        <v>281</v>
      </c>
      <c r="D13" s="167" t="s">
        <v>272</v>
      </c>
      <c r="E13" s="151" t="s">
        <v>175</v>
      </c>
      <c r="F13" s="47">
        <v>344.63</v>
      </c>
      <c r="G13" s="296">
        <v>14</v>
      </c>
      <c r="H13" s="47">
        <f>F13*14</f>
        <v>4824.82</v>
      </c>
      <c r="I13" s="47"/>
      <c r="J13" s="47"/>
      <c r="K13" s="47"/>
      <c r="L13" s="47"/>
      <c r="M13" s="47"/>
      <c r="N13" s="47"/>
      <c r="O13" s="47"/>
      <c r="P13" s="47"/>
      <c r="Q13" s="47"/>
      <c r="R13" s="47"/>
      <c r="S13" s="47"/>
      <c r="T13" s="47"/>
      <c r="U13" s="47"/>
      <c r="V13" s="47"/>
      <c r="W13" s="47"/>
      <c r="X13" s="47"/>
      <c r="Y13" s="47"/>
      <c r="Z13" s="47"/>
      <c r="AA13" s="47"/>
      <c r="AB13" s="47"/>
      <c r="AC13" s="47">
        <f>SUM(H13:AB13)</f>
        <v>4824.82</v>
      </c>
      <c r="AD13" s="147"/>
      <c r="AE13" s="47"/>
      <c r="AF13" s="154"/>
    </row>
    <row r="14" spans="1:32" ht="19.5" customHeight="1" x14ac:dyDescent="0.2">
      <c r="A14" s="144"/>
      <c r="B14" s="46" t="s">
        <v>339</v>
      </c>
      <c r="C14" s="47" t="s">
        <v>281</v>
      </c>
      <c r="D14" s="167" t="s">
        <v>272</v>
      </c>
      <c r="E14" s="151" t="s">
        <v>175</v>
      </c>
      <c r="F14" s="47">
        <v>344.63</v>
      </c>
      <c r="G14" s="296">
        <v>14</v>
      </c>
      <c r="H14" s="47">
        <f>F14*14</f>
        <v>4824.82</v>
      </c>
      <c r="I14" s="47"/>
      <c r="J14" s="47"/>
      <c r="K14" s="47"/>
      <c r="L14" s="47"/>
      <c r="M14" s="47"/>
      <c r="N14" s="47"/>
      <c r="O14" s="47"/>
      <c r="P14" s="47"/>
      <c r="Q14" s="47"/>
      <c r="R14" s="47"/>
      <c r="S14" s="47"/>
      <c r="T14" s="47"/>
      <c r="U14" s="47"/>
      <c r="V14" s="47"/>
      <c r="W14" s="47"/>
      <c r="X14" s="47"/>
      <c r="Y14" s="47"/>
      <c r="Z14" s="47"/>
      <c r="AA14" s="47"/>
      <c r="AB14" s="47"/>
      <c r="AC14" s="47">
        <f>SUM(H14:AB14)</f>
        <v>4824.82</v>
      </c>
      <c r="AD14" s="147"/>
      <c r="AE14" s="47"/>
      <c r="AF14" s="154"/>
    </row>
    <row r="15" spans="1:32" ht="22.5" customHeight="1" thickBot="1" x14ac:dyDescent="0.25">
      <c r="A15" s="144"/>
      <c r="B15" s="46" t="s">
        <v>340</v>
      </c>
      <c r="C15" s="47" t="s">
        <v>281</v>
      </c>
      <c r="D15" s="167" t="s">
        <v>272</v>
      </c>
      <c r="E15" s="151" t="s">
        <v>175</v>
      </c>
      <c r="F15" s="47">
        <v>344.63</v>
      </c>
      <c r="G15" s="296">
        <v>10</v>
      </c>
      <c r="H15" s="369">
        <f>F15*10</f>
        <v>3446.3</v>
      </c>
      <c r="I15" s="373"/>
      <c r="J15" s="369"/>
      <c r="K15" s="369"/>
      <c r="L15" s="369"/>
      <c r="M15" s="369"/>
      <c r="N15" s="369"/>
      <c r="O15" s="369"/>
      <c r="P15" s="369"/>
      <c r="Q15" s="369"/>
      <c r="R15" s="369"/>
      <c r="S15" s="369"/>
      <c r="T15" s="369"/>
      <c r="U15" s="369"/>
      <c r="V15" s="369"/>
      <c r="W15" s="369"/>
      <c r="X15" s="369"/>
      <c r="Y15" s="369"/>
      <c r="Z15" s="369"/>
      <c r="AA15" s="369"/>
      <c r="AB15" s="369"/>
      <c r="AC15" s="369">
        <f>SUM(H15:AB15)</f>
        <v>3446.3</v>
      </c>
      <c r="AD15" s="147"/>
      <c r="AE15" s="47"/>
      <c r="AF15" s="154"/>
    </row>
    <row r="16" spans="1:32" ht="22.5" customHeight="1" x14ac:dyDescent="0.2">
      <c r="A16" s="144"/>
      <c r="B16" s="301"/>
      <c r="C16" s="47"/>
      <c r="D16" s="167"/>
      <c r="E16" s="151"/>
      <c r="F16" s="47"/>
      <c r="G16" s="296"/>
      <c r="H16" s="368"/>
      <c r="I16" s="368"/>
      <c r="J16" s="368"/>
      <c r="K16" s="368"/>
      <c r="L16" s="368"/>
      <c r="M16" s="368"/>
      <c r="N16" s="368"/>
      <c r="O16" s="368"/>
      <c r="P16" s="368"/>
      <c r="Q16" s="368"/>
      <c r="R16" s="368"/>
      <c r="S16" s="368"/>
      <c r="T16" s="368"/>
      <c r="U16" s="368"/>
      <c r="V16" s="368"/>
      <c r="W16" s="368"/>
      <c r="X16" s="368"/>
      <c r="Y16" s="368"/>
      <c r="Z16" s="368"/>
      <c r="AA16" s="368"/>
      <c r="AB16" s="368"/>
      <c r="AC16" s="368"/>
      <c r="AD16" s="147"/>
      <c r="AE16" s="47"/>
      <c r="AF16" s="154"/>
    </row>
    <row r="17" spans="1:32" ht="19.5" customHeight="1" x14ac:dyDescent="0.2">
      <c r="A17" s="144"/>
      <c r="B17" s="301"/>
      <c r="C17" s="47"/>
      <c r="D17" s="167"/>
      <c r="E17" s="151"/>
      <c r="F17" s="47"/>
      <c r="G17" s="296"/>
      <c r="H17" s="368"/>
      <c r="I17" s="368"/>
      <c r="J17" s="368"/>
      <c r="K17" s="368"/>
      <c r="L17" s="368"/>
      <c r="M17" s="368"/>
      <c r="N17" s="368"/>
      <c r="O17" s="368"/>
      <c r="P17" s="368"/>
      <c r="Q17" s="368"/>
      <c r="R17" s="368"/>
      <c r="S17" s="368"/>
      <c r="T17" s="368"/>
      <c r="U17" s="368"/>
      <c r="V17" s="368"/>
      <c r="W17" s="368"/>
      <c r="X17" s="368"/>
      <c r="Y17" s="368"/>
      <c r="Z17" s="368"/>
      <c r="AA17" s="368"/>
      <c r="AB17" s="368"/>
      <c r="AC17" s="368"/>
      <c r="AD17" s="147"/>
      <c r="AE17" s="47"/>
      <c r="AF17" s="154"/>
    </row>
    <row r="18" spans="1:32" ht="22.5" customHeight="1" x14ac:dyDescent="0.2">
      <c r="A18" s="144"/>
      <c r="B18" s="46"/>
      <c r="C18" s="47"/>
      <c r="D18" s="167"/>
      <c r="E18" s="151"/>
      <c r="F18" s="47"/>
      <c r="G18" s="296"/>
      <c r="H18" s="47"/>
      <c r="I18" s="47"/>
      <c r="J18" s="47"/>
      <c r="K18" s="47"/>
      <c r="L18" s="47"/>
      <c r="M18" s="47"/>
      <c r="N18" s="47"/>
      <c r="O18" s="47"/>
      <c r="P18" s="47"/>
      <c r="Q18" s="47"/>
      <c r="R18" s="47"/>
      <c r="S18" s="47"/>
      <c r="T18" s="47"/>
      <c r="U18" s="47"/>
      <c r="V18" s="47"/>
      <c r="W18" s="47"/>
      <c r="X18" s="47"/>
      <c r="Y18" s="47"/>
      <c r="Z18" s="47"/>
      <c r="AA18" s="47"/>
      <c r="AB18" s="47"/>
      <c r="AC18" s="47"/>
      <c r="AD18" s="147"/>
      <c r="AE18" s="47"/>
      <c r="AF18" s="154"/>
    </row>
    <row r="19" spans="1:32" ht="22.5" customHeight="1" x14ac:dyDescent="0.2">
      <c r="A19" s="144"/>
      <c r="B19" s="46"/>
      <c r="C19" s="47"/>
      <c r="D19" s="167"/>
      <c r="E19" s="151"/>
      <c r="F19" s="47"/>
      <c r="G19" s="296"/>
      <c r="H19" s="47"/>
      <c r="I19" s="47"/>
      <c r="J19" s="47"/>
      <c r="K19" s="47"/>
      <c r="L19" s="47"/>
      <c r="M19" s="47"/>
      <c r="N19" s="47"/>
      <c r="O19" s="47"/>
      <c r="P19" s="47"/>
      <c r="Q19" s="47"/>
      <c r="R19" s="47"/>
      <c r="S19" s="47"/>
      <c r="T19" s="47"/>
      <c r="U19" s="47"/>
      <c r="V19" s="47"/>
      <c r="W19" s="47"/>
      <c r="X19" s="47"/>
      <c r="Y19" s="47"/>
      <c r="Z19" s="47"/>
      <c r="AA19" s="47"/>
      <c r="AB19" s="47"/>
      <c r="AC19" s="47"/>
      <c r="AD19" s="147"/>
      <c r="AE19" s="47"/>
      <c r="AF19" s="154"/>
    </row>
    <row r="20" spans="1:32" ht="22.5" customHeight="1" x14ac:dyDescent="0.2">
      <c r="A20" s="144"/>
      <c r="B20" s="46"/>
      <c r="C20" s="47"/>
      <c r="D20" s="167"/>
      <c r="E20" s="151"/>
      <c r="F20" s="47"/>
      <c r="G20" s="296"/>
      <c r="H20" s="45"/>
      <c r="I20" s="45"/>
      <c r="J20" s="45"/>
      <c r="K20" s="45"/>
      <c r="L20" s="45"/>
      <c r="M20" s="45"/>
      <c r="N20" s="45"/>
      <c r="O20" s="45"/>
      <c r="P20" s="45"/>
      <c r="Q20" s="45"/>
      <c r="R20" s="45"/>
      <c r="S20" s="45"/>
      <c r="T20" s="45"/>
      <c r="U20" s="45"/>
      <c r="V20" s="45"/>
      <c r="W20" s="45"/>
      <c r="X20" s="45"/>
      <c r="Y20" s="45"/>
      <c r="Z20" s="45"/>
      <c r="AA20" s="45"/>
      <c r="AB20" s="45"/>
      <c r="AC20" s="45"/>
      <c r="AD20" s="147"/>
      <c r="AE20" s="47"/>
      <c r="AF20" s="154"/>
    </row>
    <row r="21" spans="1:32" ht="22.5" customHeight="1" x14ac:dyDescent="0.2">
      <c r="A21" s="144"/>
      <c r="B21" s="46"/>
      <c r="C21" s="47"/>
      <c r="D21" s="167"/>
      <c r="E21" s="151"/>
      <c r="F21" s="47"/>
      <c r="G21" s="296"/>
      <c r="H21" s="45"/>
      <c r="I21" s="402"/>
      <c r="J21" s="45"/>
      <c r="K21" s="45"/>
      <c r="L21" s="45"/>
      <c r="M21" s="45"/>
      <c r="N21" s="45"/>
      <c r="O21" s="45"/>
      <c r="P21" s="45"/>
      <c r="Q21" s="45"/>
      <c r="R21" s="45"/>
      <c r="S21" s="45"/>
      <c r="T21" s="45"/>
      <c r="U21" s="45"/>
      <c r="V21" s="45"/>
      <c r="W21" s="45"/>
      <c r="X21" s="45"/>
      <c r="Y21" s="45"/>
      <c r="Z21" s="45"/>
      <c r="AA21" s="45"/>
      <c r="AB21" s="45"/>
      <c r="AC21" s="45"/>
      <c r="AD21" s="147"/>
      <c r="AE21" s="47"/>
      <c r="AF21" s="154"/>
    </row>
    <row r="22" spans="1:32" ht="19.5" customHeight="1" x14ac:dyDescent="0.2">
      <c r="A22" s="144"/>
      <c r="B22" s="301"/>
      <c r="C22" s="47"/>
      <c r="D22" s="167"/>
      <c r="E22" s="151"/>
      <c r="F22" s="47"/>
      <c r="G22" s="296"/>
      <c r="H22" s="45"/>
      <c r="I22" s="45"/>
      <c r="J22" s="45"/>
      <c r="K22" s="45"/>
      <c r="L22" s="45"/>
      <c r="M22" s="45"/>
      <c r="N22" s="45"/>
      <c r="O22" s="45"/>
      <c r="P22" s="45"/>
      <c r="Q22" s="45"/>
      <c r="R22" s="45"/>
      <c r="S22" s="45"/>
      <c r="T22" s="45"/>
      <c r="U22" s="45"/>
      <c r="V22" s="45"/>
      <c r="W22" s="45"/>
      <c r="X22" s="45"/>
      <c r="Y22" s="45"/>
      <c r="Z22" s="45"/>
      <c r="AA22" s="45"/>
      <c r="AB22" s="45"/>
      <c r="AC22" s="45"/>
      <c r="AD22" s="147"/>
      <c r="AE22" s="47"/>
      <c r="AF22" s="154"/>
    </row>
    <row r="23" spans="1:32" ht="22.5" customHeight="1" x14ac:dyDescent="0.2">
      <c r="A23" s="144" t="s">
        <v>137</v>
      </c>
      <c r="B23" s="46"/>
      <c r="C23" s="47"/>
      <c r="D23" s="167"/>
      <c r="E23" s="151"/>
      <c r="F23" s="47"/>
      <c r="G23" s="296"/>
      <c r="H23" s="45"/>
      <c r="I23" s="45"/>
      <c r="J23" s="45"/>
      <c r="K23" s="45"/>
      <c r="L23" s="45"/>
      <c r="M23" s="45"/>
      <c r="N23" s="45"/>
      <c r="O23" s="45"/>
      <c r="P23" s="45"/>
      <c r="Q23" s="45"/>
      <c r="R23" s="45"/>
      <c r="S23" s="45"/>
      <c r="T23" s="45"/>
      <c r="U23" s="45"/>
      <c r="V23" s="45"/>
      <c r="W23" s="45"/>
      <c r="X23" s="45"/>
      <c r="Y23" s="45"/>
      <c r="Z23" s="45"/>
      <c r="AA23" s="45"/>
      <c r="AB23" s="45"/>
      <c r="AC23" s="45"/>
      <c r="AD23" s="147" t="s">
        <v>137</v>
      </c>
      <c r="AE23" s="47"/>
      <c r="AF23" s="154"/>
    </row>
    <row r="24" spans="1:32" ht="19.5" customHeight="1" x14ac:dyDescent="0.2">
      <c r="A24" s="144" t="s">
        <v>138</v>
      </c>
      <c r="B24" s="301"/>
      <c r="C24" s="47"/>
      <c r="D24" s="167"/>
      <c r="E24" s="151"/>
      <c r="F24" s="47"/>
      <c r="G24" s="296"/>
      <c r="H24" s="45"/>
      <c r="I24" s="45"/>
      <c r="J24" s="45"/>
      <c r="K24" s="45"/>
      <c r="L24" s="45"/>
      <c r="M24" s="45"/>
      <c r="N24" s="45"/>
      <c r="O24" s="45"/>
      <c r="P24" s="45"/>
      <c r="Q24" s="45"/>
      <c r="R24" s="45"/>
      <c r="S24" s="45"/>
      <c r="T24" s="45"/>
      <c r="U24" s="45"/>
      <c r="V24" s="45"/>
      <c r="W24" s="45"/>
      <c r="X24" s="45"/>
      <c r="Y24" s="45"/>
      <c r="Z24" s="45"/>
      <c r="AA24" s="45"/>
      <c r="AB24" s="45"/>
      <c r="AC24" s="45"/>
      <c r="AD24" s="147" t="s">
        <v>138</v>
      </c>
      <c r="AE24" s="47"/>
      <c r="AF24" s="154"/>
    </row>
    <row r="25" spans="1:32" ht="22.5" customHeight="1" x14ac:dyDescent="0.2">
      <c r="A25" s="144" t="s">
        <v>139</v>
      </c>
      <c r="B25" s="46"/>
      <c r="C25" s="47"/>
      <c r="D25" s="167"/>
      <c r="E25" s="151"/>
      <c r="F25" s="47"/>
      <c r="G25" s="296"/>
      <c r="H25" s="47"/>
      <c r="I25" s="47"/>
      <c r="J25" s="47"/>
      <c r="K25" s="47"/>
      <c r="L25" s="47"/>
      <c r="M25" s="47"/>
      <c r="N25" s="47"/>
      <c r="O25" s="47"/>
      <c r="P25" s="47"/>
      <c r="Q25" s="47"/>
      <c r="R25" s="47"/>
      <c r="S25" s="47"/>
      <c r="T25" s="47"/>
      <c r="U25" s="47"/>
      <c r="V25" s="47"/>
      <c r="W25" s="47"/>
      <c r="X25" s="47"/>
      <c r="Y25" s="47"/>
      <c r="Z25" s="47"/>
      <c r="AA25" s="47"/>
      <c r="AB25" s="47"/>
      <c r="AC25" s="47"/>
      <c r="AD25" s="147" t="s">
        <v>139</v>
      </c>
      <c r="AE25" s="47"/>
      <c r="AF25" s="154"/>
    </row>
    <row r="26" spans="1:32" ht="22.5" customHeight="1" x14ac:dyDescent="0.2">
      <c r="A26" s="144" t="s">
        <v>140</v>
      </c>
      <c r="B26" s="46"/>
      <c r="C26" s="47"/>
      <c r="D26" s="167"/>
      <c r="E26" s="151"/>
      <c r="F26" s="47"/>
      <c r="G26" s="296"/>
      <c r="H26" s="47"/>
      <c r="I26" s="47"/>
      <c r="J26" s="47"/>
      <c r="K26" s="47"/>
      <c r="L26" s="47"/>
      <c r="M26" s="47"/>
      <c r="N26" s="47"/>
      <c r="O26" s="47"/>
      <c r="P26" s="47"/>
      <c r="Q26" s="47"/>
      <c r="R26" s="47"/>
      <c r="S26" s="47"/>
      <c r="T26" s="47"/>
      <c r="U26" s="47"/>
      <c r="V26" s="47"/>
      <c r="W26" s="47"/>
      <c r="X26" s="47"/>
      <c r="Y26" s="47"/>
      <c r="Z26" s="47"/>
      <c r="AA26" s="47"/>
      <c r="AB26" s="47"/>
      <c r="AC26" s="47"/>
      <c r="AD26" s="147" t="s">
        <v>140</v>
      </c>
      <c r="AE26" s="47"/>
      <c r="AF26" s="154"/>
    </row>
    <row r="27" spans="1:32" ht="22.5" customHeight="1" x14ac:dyDescent="0.2">
      <c r="A27" s="144" t="s">
        <v>141</v>
      </c>
      <c r="B27" s="46"/>
      <c r="C27" s="47"/>
      <c r="D27" s="167"/>
      <c r="E27" s="151"/>
      <c r="F27" s="47"/>
      <c r="G27" s="296"/>
      <c r="H27" s="47"/>
      <c r="I27" s="47"/>
      <c r="J27" s="47"/>
      <c r="K27" s="47"/>
      <c r="L27" s="47"/>
      <c r="M27" s="47"/>
      <c r="N27" s="47"/>
      <c r="O27" s="47"/>
      <c r="P27" s="47"/>
      <c r="Q27" s="47"/>
      <c r="R27" s="47"/>
      <c r="S27" s="47"/>
      <c r="T27" s="47"/>
      <c r="U27" s="47"/>
      <c r="V27" s="47"/>
      <c r="W27" s="47"/>
      <c r="X27" s="47"/>
      <c r="Y27" s="47"/>
      <c r="Z27" s="47"/>
      <c r="AA27" s="47"/>
      <c r="AB27" s="47"/>
      <c r="AC27" s="47"/>
      <c r="AD27" s="147" t="s">
        <v>141</v>
      </c>
      <c r="AE27" s="47"/>
      <c r="AF27" s="154"/>
    </row>
    <row r="28" spans="1:32" ht="22.5" customHeight="1" x14ac:dyDescent="0.2">
      <c r="A28" s="144" t="s">
        <v>142</v>
      </c>
      <c r="B28" s="46"/>
      <c r="C28" s="47"/>
      <c r="D28" s="167"/>
      <c r="E28" s="151"/>
      <c r="F28" s="47"/>
      <c r="G28" s="296"/>
      <c r="H28" s="47"/>
      <c r="I28" s="47"/>
      <c r="J28" s="47"/>
      <c r="K28" s="47"/>
      <c r="L28" s="47"/>
      <c r="M28" s="47"/>
      <c r="N28" s="47"/>
      <c r="O28" s="47"/>
      <c r="P28" s="47"/>
      <c r="Q28" s="47"/>
      <c r="R28" s="47"/>
      <c r="S28" s="47"/>
      <c r="T28" s="47"/>
      <c r="U28" s="47"/>
      <c r="V28" s="47"/>
      <c r="W28" s="47"/>
      <c r="X28" s="47"/>
      <c r="Y28" s="47"/>
      <c r="Z28" s="47"/>
      <c r="AA28" s="47"/>
      <c r="AB28" s="47"/>
      <c r="AC28" s="47"/>
      <c r="AD28" s="147" t="s">
        <v>142</v>
      </c>
      <c r="AE28" s="47"/>
      <c r="AF28" s="154"/>
    </row>
    <row r="29" spans="1:32" ht="22.5" customHeight="1" thickBot="1" x14ac:dyDescent="0.25">
      <c r="A29" s="144" t="s">
        <v>143</v>
      </c>
      <c r="B29" s="46"/>
      <c r="C29" s="47"/>
      <c r="D29" s="167"/>
      <c r="E29" s="151"/>
      <c r="F29" s="47"/>
      <c r="G29" s="296"/>
      <c r="H29" s="369"/>
      <c r="I29" s="369"/>
      <c r="J29" s="369"/>
      <c r="K29" s="369"/>
      <c r="L29" s="369"/>
      <c r="M29" s="369"/>
      <c r="N29" s="369"/>
      <c r="O29" s="369"/>
      <c r="P29" s="369"/>
      <c r="Q29" s="369"/>
      <c r="R29" s="369"/>
      <c r="S29" s="369"/>
      <c r="T29" s="369"/>
      <c r="U29" s="369"/>
      <c r="V29" s="369"/>
      <c r="W29" s="369"/>
      <c r="X29" s="369"/>
      <c r="Y29" s="369"/>
      <c r="Z29" s="369"/>
      <c r="AA29" s="369"/>
      <c r="AB29" s="369"/>
      <c r="AC29" s="369"/>
      <c r="AD29" s="147" t="s">
        <v>143</v>
      </c>
      <c r="AE29" s="47"/>
      <c r="AF29" s="154"/>
    </row>
    <row r="30" spans="1:32" ht="19.5" customHeight="1" x14ac:dyDescent="0.2">
      <c r="A30" s="144" t="s">
        <v>144</v>
      </c>
      <c r="B30" s="301"/>
      <c r="C30" s="47"/>
      <c r="D30" s="167"/>
      <c r="E30" s="151"/>
      <c r="F30" s="47"/>
      <c r="G30" s="296"/>
      <c r="H30" s="368"/>
      <c r="I30" s="368"/>
      <c r="J30" s="368"/>
      <c r="K30" s="368"/>
      <c r="L30" s="368"/>
      <c r="M30" s="368"/>
      <c r="N30" s="368"/>
      <c r="O30" s="368"/>
      <c r="P30" s="368"/>
      <c r="Q30" s="368"/>
      <c r="R30" s="368"/>
      <c r="S30" s="368"/>
      <c r="T30" s="368"/>
      <c r="U30" s="368"/>
      <c r="V30" s="368"/>
      <c r="W30" s="368"/>
      <c r="X30" s="368"/>
      <c r="Y30" s="368"/>
      <c r="Z30" s="368"/>
      <c r="AA30" s="368"/>
      <c r="AB30" s="368"/>
      <c r="AC30" s="368"/>
      <c r="AD30" s="147" t="s">
        <v>144</v>
      </c>
      <c r="AE30" s="47"/>
      <c r="AF30" s="154"/>
    </row>
    <row r="31" spans="1:32" ht="22.5" customHeight="1" x14ac:dyDescent="0.2">
      <c r="A31" s="144" t="s">
        <v>145</v>
      </c>
      <c r="B31" s="46"/>
      <c r="C31" s="47"/>
      <c r="D31" s="167"/>
      <c r="E31" s="151"/>
      <c r="F31" s="47"/>
      <c r="G31" s="296"/>
      <c r="H31" s="47"/>
      <c r="I31" s="47"/>
      <c r="J31" s="47"/>
      <c r="K31" s="47"/>
      <c r="L31" s="47"/>
      <c r="M31" s="47"/>
      <c r="N31" s="47"/>
      <c r="O31" s="47"/>
      <c r="P31" s="47"/>
      <c r="Q31" s="47"/>
      <c r="R31" s="47"/>
      <c r="S31" s="47"/>
      <c r="T31" s="47"/>
      <c r="U31" s="47"/>
      <c r="V31" s="47"/>
      <c r="W31" s="47"/>
      <c r="X31" s="47"/>
      <c r="Y31" s="47"/>
      <c r="Z31" s="47"/>
      <c r="AA31" s="47"/>
      <c r="AB31" s="47"/>
      <c r="AC31" s="47"/>
      <c r="AD31" s="147" t="s">
        <v>145</v>
      </c>
      <c r="AE31" s="47"/>
      <c r="AF31" s="154"/>
    </row>
    <row r="32" spans="1:32" ht="22.5" customHeight="1" x14ac:dyDescent="0.2">
      <c r="A32" s="144" t="s">
        <v>146</v>
      </c>
      <c r="B32" s="46"/>
      <c r="C32" s="47"/>
      <c r="D32" s="167"/>
      <c r="E32" s="151"/>
      <c r="F32" s="47"/>
      <c r="G32" s="296"/>
      <c r="H32" s="47"/>
      <c r="I32" s="47"/>
      <c r="J32" s="47"/>
      <c r="K32" s="47"/>
      <c r="L32" s="47"/>
      <c r="M32" s="47"/>
      <c r="N32" s="47"/>
      <c r="O32" s="47"/>
      <c r="P32" s="47"/>
      <c r="Q32" s="47"/>
      <c r="R32" s="47"/>
      <c r="S32" s="47"/>
      <c r="T32" s="47"/>
      <c r="U32" s="47"/>
      <c r="V32" s="47"/>
      <c r="W32" s="47"/>
      <c r="X32" s="47"/>
      <c r="Y32" s="47"/>
      <c r="Z32" s="47"/>
      <c r="AA32" s="47"/>
      <c r="AB32" s="47"/>
      <c r="AC32" s="47"/>
      <c r="AD32" s="147" t="s">
        <v>146</v>
      </c>
      <c r="AE32" s="47"/>
      <c r="AF32" s="154"/>
    </row>
    <row r="33" spans="1:32" ht="22.5" customHeight="1" x14ac:dyDescent="0.2">
      <c r="A33" s="144" t="s">
        <v>147</v>
      </c>
      <c r="B33" s="46"/>
      <c r="C33" s="47"/>
      <c r="D33" s="167"/>
      <c r="E33" s="151"/>
      <c r="F33" s="47"/>
      <c r="G33" s="296"/>
      <c r="H33" s="47"/>
      <c r="I33" s="47"/>
      <c r="J33" s="47"/>
      <c r="K33" s="47"/>
      <c r="L33" s="47"/>
      <c r="M33" s="47"/>
      <c r="N33" s="47"/>
      <c r="O33" s="47"/>
      <c r="P33" s="47"/>
      <c r="Q33" s="47"/>
      <c r="R33" s="47"/>
      <c r="S33" s="47"/>
      <c r="T33" s="47"/>
      <c r="U33" s="47"/>
      <c r="V33" s="47"/>
      <c r="W33" s="47"/>
      <c r="X33" s="47"/>
      <c r="Y33" s="47"/>
      <c r="Z33" s="47"/>
      <c r="AA33" s="47"/>
      <c r="AB33" s="47"/>
      <c r="AC33" s="47"/>
      <c r="AD33" s="147" t="s">
        <v>147</v>
      </c>
      <c r="AE33" s="47"/>
      <c r="AF33" s="154"/>
    </row>
    <row r="34" spans="1:32" ht="22.5" customHeight="1" thickBot="1" x14ac:dyDescent="0.25">
      <c r="A34" s="144" t="s">
        <v>148</v>
      </c>
      <c r="B34" s="46"/>
      <c r="C34" s="47"/>
      <c r="D34" s="167"/>
      <c r="E34" s="151"/>
      <c r="F34" s="47"/>
      <c r="G34" s="296"/>
      <c r="H34" s="369"/>
      <c r="I34" s="373"/>
      <c r="J34" s="369"/>
      <c r="K34" s="369"/>
      <c r="L34" s="369"/>
      <c r="M34" s="369"/>
      <c r="N34" s="369"/>
      <c r="O34" s="369"/>
      <c r="P34" s="369"/>
      <c r="Q34" s="369"/>
      <c r="R34" s="369"/>
      <c r="S34" s="369"/>
      <c r="T34" s="369"/>
      <c r="U34" s="369"/>
      <c r="V34" s="369"/>
      <c r="W34" s="369"/>
      <c r="X34" s="369"/>
      <c r="Y34" s="369"/>
      <c r="Z34" s="369"/>
      <c r="AA34" s="369"/>
      <c r="AB34" s="369"/>
      <c r="AC34" s="369"/>
      <c r="AD34" s="147" t="s">
        <v>148</v>
      </c>
      <c r="AE34" s="47"/>
      <c r="AF34" s="154"/>
    </row>
    <row r="35" spans="1:32" ht="15.75" customHeight="1" x14ac:dyDescent="0.2">
      <c r="A35" s="144" t="s">
        <v>149</v>
      </c>
      <c r="B35" s="150"/>
      <c r="C35" s="145"/>
      <c r="D35" s="151"/>
      <c r="E35" s="151"/>
      <c r="F35" s="47"/>
      <c r="G35" s="296"/>
      <c r="H35" s="368"/>
      <c r="I35" s="368"/>
      <c r="J35" s="368"/>
      <c r="K35" s="368"/>
      <c r="L35" s="368"/>
      <c r="M35" s="368"/>
      <c r="N35" s="368"/>
      <c r="O35" s="368"/>
      <c r="P35" s="368"/>
      <c r="Q35" s="368"/>
      <c r="R35" s="368"/>
      <c r="S35" s="368"/>
      <c r="T35" s="368"/>
      <c r="U35" s="368"/>
      <c r="V35" s="368"/>
      <c r="W35" s="368"/>
      <c r="X35" s="368"/>
      <c r="Y35" s="368"/>
      <c r="Z35" s="368"/>
      <c r="AA35" s="368"/>
      <c r="AB35" s="368"/>
      <c r="AC35" s="368"/>
      <c r="AD35" s="147" t="s">
        <v>149</v>
      </c>
      <c r="AE35" s="47"/>
      <c r="AF35" s="154"/>
    </row>
    <row r="36" spans="1:32" ht="17.25" customHeight="1" thickBot="1" x14ac:dyDescent="0.25">
      <c r="A36" s="144" t="s">
        <v>150</v>
      </c>
      <c r="B36" s="31" t="s">
        <v>373</v>
      </c>
      <c r="C36" s="34"/>
      <c r="D36" s="34"/>
      <c r="E36" s="34"/>
      <c r="F36" s="156"/>
      <c r="G36" s="297"/>
      <c r="H36" s="156">
        <f>SUM(H11:H35)</f>
        <v>17920.759999999998</v>
      </c>
      <c r="I36" s="156"/>
      <c r="J36" s="156"/>
      <c r="K36" s="156"/>
      <c r="L36" s="156"/>
      <c r="M36" s="157"/>
      <c r="N36" s="156"/>
      <c r="O36" s="156"/>
      <c r="P36" s="156"/>
      <c r="Q36" s="156"/>
      <c r="R36" s="156"/>
      <c r="S36" s="156"/>
      <c r="T36" s="156"/>
      <c r="U36" s="156"/>
      <c r="V36" s="156"/>
      <c r="W36" s="156"/>
      <c r="X36" s="156"/>
      <c r="Y36" s="156"/>
      <c r="Z36" s="156"/>
      <c r="AA36" s="156"/>
      <c r="AB36" s="156"/>
      <c r="AC36" s="156">
        <f>SUM(AC11:AC34)</f>
        <v>17920.759999999998</v>
      </c>
      <c r="AD36" s="147" t="s">
        <v>150</v>
      </c>
      <c r="AE36" s="158"/>
      <c r="AF36" s="159"/>
    </row>
    <row r="37" spans="1:32" ht="17.25" customHeight="1" thickTop="1" x14ac:dyDescent="0.15">
      <c r="A37" s="806" t="s">
        <v>49</v>
      </c>
      <c r="B37" s="806"/>
      <c r="C37" s="806"/>
      <c r="D37" s="806"/>
      <c r="E37" s="806"/>
      <c r="F37" s="806"/>
      <c r="G37" s="298"/>
      <c r="I37" s="116" t="s">
        <v>50</v>
      </c>
      <c r="K37" s="160" t="s">
        <v>37</v>
      </c>
      <c r="AB37" s="807" t="s">
        <v>212</v>
      </c>
      <c r="AC37" s="808"/>
      <c r="AD37" s="808"/>
      <c r="AE37" s="808"/>
    </row>
    <row r="38" spans="1:32" ht="17.25" customHeight="1" x14ac:dyDescent="0.15">
      <c r="A38" s="807"/>
      <c r="B38" s="807"/>
      <c r="C38" s="807"/>
      <c r="D38" s="807"/>
      <c r="E38" s="807"/>
      <c r="F38" s="807"/>
      <c r="G38" s="298"/>
      <c r="H38" s="160"/>
      <c r="AB38" s="808"/>
      <c r="AC38" s="808"/>
      <c r="AD38" s="808"/>
      <c r="AE38" s="808"/>
    </row>
    <row r="39" spans="1:32" ht="24.75" customHeight="1" x14ac:dyDescent="0.2">
      <c r="A39" s="807"/>
      <c r="B39" s="807"/>
      <c r="C39" s="807"/>
      <c r="D39" s="807"/>
      <c r="E39" s="807"/>
      <c r="F39" s="807"/>
      <c r="G39" s="298"/>
      <c r="I39" s="161"/>
      <c r="J39" s="809" t="s">
        <v>200</v>
      </c>
      <c r="K39" s="809"/>
      <c r="L39" s="809"/>
      <c r="M39" s="809"/>
      <c r="N39" s="809"/>
      <c r="O39" s="809"/>
      <c r="P39" s="809"/>
      <c r="Q39" s="162"/>
      <c r="AB39" s="808"/>
      <c r="AC39" s="808"/>
      <c r="AD39" s="808"/>
      <c r="AE39" s="808"/>
    </row>
    <row r="40" spans="1:32" ht="17.25" customHeight="1" x14ac:dyDescent="0.2">
      <c r="J40" s="810" t="s">
        <v>79</v>
      </c>
      <c r="K40" s="810"/>
      <c r="L40" s="810"/>
      <c r="M40" s="810"/>
      <c r="N40" s="810"/>
      <c r="O40" s="810"/>
      <c r="P40" s="811"/>
      <c r="AB40" s="808"/>
      <c r="AC40" s="808"/>
      <c r="AD40" s="808"/>
      <c r="AE40" s="808"/>
    </row>
    <row r="41" spans="1:32" ht="17.25" customHeight="1" x14ac:dyDescent="0.2">
      <c r="D41" s="809" t="s">
        <v>199</v>
      </c>
      <c r="E41" s="809"/>
      <c r="F41" s="809"/>
      <c r="G41" s="367"/>
      <c r="H41" s="367"/>
      <c r="J41" s="810" t="s">
        <v>51</v>
      </c>
      <c r="K41" s="810"/>
      <c r="L41" s="810"/>
      <c r="M41" s="810"/>
      <c r="N41" s="810"/>
      <c r="O41" s="810"/>
      <c r="P41" s="811"/>
      <c r="AB41" s="808"/>
      <c r="AC41" s="808"/>
      <c r="AD41" s="808"/>
      <c r="AE41" s="808"/>
    </row>
    <row r="42" spans="1:32" ht="17.25" customHeight="1" x14ac:dyDescent="0.2">
      <c r="D42" s="818" t="s">
        <v>384</v>
      </c>
      <c r="E42" s="818"/>
      <c r="F42" s="818"/>
      <c r="G42" s="298"/>
      <c r="AB42" s="808"/>
      <c r="AC42" s="808"/>
      <c r="AD42" s="808"/>
      <c r="AE42" s="808"/>
    </row>
    <row r="43" spans="1:32" ht="17.25" customHeight="1" x14ac:dyDescent="0.15">
      <c r="AB43" s="808"/>
      <c r="AC43" s="808"/>
      <c r="AD43" s="808"/>
      <c r="AE43" s="808"/>
    </row>
    <row r="44" spans="1:32" ht="17.25" customHeight="1" x14ac:dyDescent="0.15">
      <c r="A44" s="164" t="s">
        <v>52</v>
      </c>
    </row>
    <row r="45" spans="1:32" ht="6" customHeight="1" x14ac:dyDescent="0.15">
      <c r="AB45" s="165"/>
      <c r="AC45" s="165"/>
      <c r="AD45" s="165"/>
      <c r="AE45" s="165"/>
    </row>
    <row r="46" spans="1:32" ht="11.25" customHeight="1" x14ac:dyDescent="0.15">
      <c r="E46" s="116" t="s">
        <v>53</v>
      </c>
      <c r="AB46" s="801" t="s">
        <v>213</v>
      </c>
      <c r="AC46" s="802"/>
      <c r="AD46" s="802"/>
      <c r="AE46" s="802"/>
    </row>
    <row r="47" spans="1:32" ht="11.25" customHeight="1" x14ac:dyDescent="0.15">
      <c r="AB47" s="802"/>
      <c r="AC47" s="802"/>
      <c r="AD47" s="802"/>
      <c r="AE47" s="802"/>
    </row>
    <row r="48" spans="1:32" ht="17.25" customHeight="1" x14ac:dyDescent="0.15">
      <c r="A48" s="164" t="s">
        <v>54</v>
      </c>
      <c r="AB48" s="802"/>
      <c r="AC48" s="802"/>
      <c r="AD48" s="802"/>
      <c r="AE48" s="802"/>
    </row>
    <row r="49" spans="3:32" ht="6.75" customHeight="1" x14ac:dyDescent="0.15">
      <c r="AB49" s="802"/>
      <c r="AC49" s="802"/>
      <c r="AD49" s="802"/>
      <c r="AE49" s="802"/>
    </row>
    <row r="50" spans="3:32" ht="16.5" customHeight="1" x14ac:dyDescent="0.15">
      <c r="C50" s="116" t="s">
        <v>56</v>
      </c>
      <c r="E50" s="116" t="s">
        <v>57</v>
      </c>
      <c r="AB50" s="802"/>
      <c r="AC50" s="802"/>
      <c r="AD50" s="802"/>
      <c r="AE50" s="802"/>
    </row>
    <row r="51" spans="3:32" ht="17.25" customHeight="1" x14ac:dyDescent="0.15">
      <c r="C51" s="803" t="s">
        <v>58</v>
      </c>
      <c r="D51" s="803"/>
      <c r="E51" s="803"/>
      <c r="AF51" s="166" t="s">
        <v>53</v>
      </c>
    </row>
  </sheetData>
  <mergeCells count="50">
    <mergeCell ref="D12:E12"/>
    <mergeCell ref="D41:F41"/>
    <mergeCell ref="AB46:AE50"/>
    <mergeCell ref="C51:E51"/>
    <mergeCell ref="A37:F39"/>
    <mergeCell ref="AB37:AE43"/>
    <mergeCell ref="J39:P39"/>
    <mergeCell ref="J40:P40"/>
    <mergeCell ref="J41:P41"/>
    <mergeCell ref="D42:F42"/>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T8:T9"/>
    <mergeCell ref="P6:Q6"/>
    <mergeCell ref="Z6:Z8"/>
    <mergeCell ref="AA6:AA8"/>
    <mergeCell ref="J5:J8"/>
    <mergeCell ref="K5:K8"/>
    <mergeCell ref="L5:L8"/>
    <mergeCell ref="U8:U9"/>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s>
  <pageMargins left="0.66" right="0.28000000000000003" top="0.37" bottom="0.15" header="0.37" footer="0.15"/>
  <pageSetup paperSize="8" scale="8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F45"/>
  <sheetViews>
    <sheetView topLeftCell="A10" workbookViewId="0">
      <selection activeCell="C24" sqref="C24"/>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12.7109375" style="116" customWidth="1"/>
    <col min="7" max="7" width="5.85546875" style="131"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17.25" customHeight="1" thickTop="1" x14ac:dyDescent="0.25">
      <c r="A4" s="761" t="s">
        <v>1</v>
      </c>
      <c r="B4" s="763" t="s">
        <v>2</v>
      </c>
      <c r="C4" s="765" t="s">
        <v>3</v>
      </c>
      <c r="D4" s="820" t="s">
        <v>4</v>
      </c>
      <c r="E4" s="820"/>
      <c r="F4" s="769"/>
      <c r="G4" s="294"/>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770"/>
      <c r="G5" s="295"/>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15</v>
      </c>
      <c r="AE5" s="124"/>
      <c r="AF5" s="124"/>
    </row>
    <row r="6" spans="1:32" s="125" customFormat="1" ht="17.25" customHeight="1" x14ac:dyDescent="0.15">
      <c r="A6" s="762"/>
      <c r="B6" s="764"/>
      <c r="C6" s="766"/>
      <c r="D6" s="762"/>
      <c r="E6" s="762"/>
      <c r="F6" s="779" t="s">
        <v>206</v>
      </c>
      <c r="G6" s="291"/>
      <c r="H6" s="772"/>
      <c r="I6" s="777"/>
      <c r="J6" s="785"/>
      <c r="K6" s="785"/>
      <c r="L6" s="785"/>
      <c r="M6" s="781" t="s">
        <v>160</v>
      </c>
      <c r="N6" s="774" t="s">
        <v>37</v>
      </c>
      <c r="O6" s="774" t="s">
        <v>18</v>
      </c>
      <c r="P6" s="821" t="s">
        <v>19</v>
      </c>
      <c r="Q6" s="822"/>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15">
      <c r="A7" s="762"/>
      <c r="B7" s="764"/>
      <c r="C7" s="766"/>
      <c r="D7" s="762"/>
      <c r="E7" s="762"/>
      <c r="F7" s="780"/>
      <c r="G7" s="292"/>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1" t="s">
        <v>205</v>
      </c>
      <c r="G8" s="299" t="s">
        <v>374</v>
      </c>
      <c r="H8" s="134"/>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20"/>
      <c r="G9" s="300" t="s">
        <v>375</v>
      </c>
      <c r="H9" s="134"/>
      <c r="I9" s="134" t="s">
        <v>308</v>
      </c>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c r="B11" s="301" t="s">
        <v>404</v>
      </c>
      <c r="C11" s="47"/>
      <c r="D11" s="167"/>
      <c r="E11" s="15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c r="AE11" s="148"/>
      <c r="AF11" s="149"/>
    </row>
    <row r="12" spans="1:32" s="143" customFormat="1" ht="22.5" customHeight="1" x14ac:dyDescent="0.2">
      <c r="A12" s="144" t="s">
        <v>38</v>
      </c>
      <c r="B12" s="46" t="s">
        <v>405</v>
      </c>
      <c r="C12" s="47" t="s">
        <v>281</v>
      </c>
      <c r="D12" s="804" t="s">
        <v>402</v>
      </c>
      <c r="E12" s="805"/>
      <c r="F12" s="47">
        <v>344.63</v>
      </c>
      <c r="G12" s="296">
        <v>13</v>
      </c>
      <c r="H12" s="47">
        <f>F12*G12</f>
        <v>4480.1899999999996</v>
      </c>
      <c r="I12" s="47"/>
      <c r="J12" s="47"/>
      <c r="K12" s="47"/>
      <c r="L12" s="47"/>
      <c r="M12" s="47"/>
      <c r="N12" s="47"/>
      <c r="O12" s="47"/>
      <c r="P12" s="47"/>
      <c r="Q12" s="47"/>
      <c r="R12" s="47"/>
      <c r="S12" s="47"/>
      <c r="T12" s="47"/>
      <c r="U12" s="47"/>
      <c r="V12" s="47"/>
      <c r="W12" s="47"/>
      <c r="X12" s="47"/>
      <c r="Y12" s="47"/>
      <c r="Z12" s="47"/>
      <c r="AA12" s="47"/>
      <c r="AB12" s="47"/>
      <c r="AC12" s="47">
        <f>SUM(H12:K12)</f>
        <v>4480.1899999999996</v>
      </c>
      <c r="AD12" s="147" t="s">
        <v>38</v>
      </c>
      <c r="AE12" s="152"/>
      <c r="AF12" s="153"/>
    </row>
    <row r="13" spans="1:32" ht="22.5" customHeight="1" x14ac:dyDescent="0.2">
      <c r="A13" s="144" t="s">
        <v>127</v>
      </c>
      <c r="B13" s="46" t="s">
        <v>406</v>
      </c>
      <c r="C13" s="47" t="s">
        <v>281</v>
      </c>
      <c r="D13" s="167" t="s">
        <v>272</v>
      </c>
      <c r="E13" s="151" t="s">
        <v>175</v>
      </c>
      <c r="F13" s="47">
        <v>344.63</v>
      </c>
      <c r="G13" s="296">
        <v>11</v>
      </c>
      <c r="H13" s="47">
        <f>F13*G13</f>
        <v>3790.93</v>
      </c>
      <c r="I13" s="47"/>
      <c r="J13" s="47"/>
      <c r="K13" s="47"/>
      <c r="L13" s="47"/>
      <c r="M13" s="47"/>
      <c r="N13" s="47"/>
      <c r="O13" s="47"/>
      <c r="P13" s="47"/>
      <c r="Q13" s="47"/>
      <c r="R13" s="47"/>
      <c r="S13" s="47"/>
      <c r="T13" s="47"/>
      <c r="U13" s="47"/>
      <c r="V13" s="47"/>
      <c r="W13" s="47"/>
      <c r="X13" s="47"/>
      <c r="Y13" s="47"/>
      <c r="Z13" s="47"/>
      <c r="AA13" s="47"/>
      <c r="AB13" s="47"/>
      <c r="AC13" s="47">
        <f>SUM(H13:K13)</f>
        <v>3790.93</v>
      </c>
      <c r="AD13" s="147" t="s">
        <v>127</v>
      </c>
      <c r="AE13" s="47"/>
      <c r="AF13" s="154"/>
    </row>
    <row r="14" spans="1:32" ht="19.5" customHeight="1" x14ac:dyDescent="0.2">
      <c r="A14" s="144" t="s">
        <v>128</v>
      </c>
      <c r="B14" s="46" t="s">
        <v>339</v>
      </c>
      <c r="C14" s="47" t="s">
        <v>281</v>
      </c>
      <c r="D14" s="167" t="s">
        <v>272</v>
      </c>
      <c r="E14" s="151" t="s">
        <v>175</v>
      </c>
      <c r="F14" s="47">
        <v>344.63</v>
      </c>
      <c r="G14" s="296">
        <v>15</v>
      </c>
      <c r="H14" s="47">
        <f>F14*G14</f>
        <v>5169.45</v>
      </c>
      <c r="I14" s="47"/>
      <c r="J14" s="47"/>
      <c r="K14" s="47"/>
      <c r="L14" s="47"/>
      <c r="M14" s="47"/>
      <c r="N14" s="47"/>
      <c r="O14" s="47"/>
      <c r="P14" s="47"/>
      <c r="Q14" s="47"/>
      <c r="R14" s="47"/>
      <c r="S14" s="47"/>
      <c r="T14" s="47"/>
      <c r="U14" s="47"/>
      <c r="V14" s="47"/>
      <c r="W14" s="47"/>
      <c r="X14" s="47"/>
      <c r="Y14" s="47"/>
      <c r="Z14" s="47"/>
      <c r="AA14" s="47"/>
      <c r="AB14" s="47"/>
      <c r="AC14" s="47">
        <f>SUM(H14:K14)</f>
        <v>5169.45</v>
      </c>
      <c r="AD14" s="147" t="s">
        <v>128</v>
      </c>
      <c r="AE14" s="47"/>
      <c r="AF14" s="154"/>
    </row>
    <row r="15" spans="1:32" ht="22.5" customHeight="1" x14ac:dyDescent="0.2">
      <c r="A15" s="144" t="s">
        <v>129</v>
      </c>
      <c r="B15" s="46" t="s">
        <v>407</v>
      </c>
      <c r="C15" s="47" t="s">
        <v>281</v>
      </c>
      <c r="D15" s="167" t="s">
        <v>272</v>
      </c>
      <c r="E15" s="151" t="s">
        <v>175</v>
      </c>
      <c r="F15" s="47">
        <v>344.63</v>
      </c>
      <c r="G15" s="296">
        <v>13</v>
      </c>
      <c r="H15" s="47">
        <f>F15*G15</f>
        <v>4480.1899999999996</v>
      </c>
      <c r="I15" s="402"/>
      <c r="J15" s="45"/>
      <c r="K15" s="45"/>
      <c r="L15" s="45"/>
      <c r="M15" s="45"/>
      <c r="N15" s="45"/>
      <c r="O15" s="45"/>
      <c r="P15" s="45"/>
      <c r="Q15" s="45"/>
      <c r="R15" s="45"/>
      <c r="S15" s="45"/>
      <c r="T15" s="45"/>
      <c r="U15" s="45"/>
      <c r="V15" s="45"/>
      <c r="W15" s="45"/>
      <c r="X15" s="45"/>
      <c r="Y15" s="45"/>
      <c r="Z15" s="45"/>
      <c r="AA15" s="45"/>
      <c r="AB15" s="45"/>
      <c r="AC15" s="47">
        <f>SUM(H15:K15)</f>
        <v>4480.1899999999996</v>
      </c>
      <c r="AD15" s="147" t="s">
        <v>129</v>
      </c>
      <c r="AE15" s="47"/>
      <c r="AF15" s="154"/>
    </row>
    <row r="16" spans="1:32" ht="22.5" customHeight="1" thickBot="1" x14ac:dyDescent="0.25">
      <c r="A16" s="144" t="s">
        <v>130</v>
      </c>
      <c r="B16" s="46" t="s">
        <v>408</v>
      </c>
      <c r="C16" s="47" t="s">
        <v>281</v>
      </c>
      <c r="D16" s="167" t="s">
        <v>272</v>
      </c>
      <c r="E16" s="151" t="s">
        <v>175</v>
      </c>
      <c r="F16" s="369">
        <v>344.63</v>
      </c>
      <c r="G16" s="410">
        <v>13</v>
      </c>
      <c r="H16" s="369">
        <f>F16*G16</f>
        <v>4480.1899999999996</v>
      </c>
      <c r="I16" s="369"/>
      <c r="J16" s="369"/>
      <c r="K16" s="369"/>
      <c r="L16" s="369"/>
      <c r="M16" s="369"/>
      <c r="N16" s="369"/>
      <c r="O16" s="369"/>
      <c r="P16" s="369"/>
      <c r="Q16" s="369"/>
      <c r="R16" s="369"/>
      <c r="S16" s="369"/>
      <c r="T16" s="369"/>
      <c r="U16" s="369"/>
      <c r="V16" s="369"/>
      <c r="W16" s="369"/>
      <c r="X16" s="369"/>
      <c r="Y16" s="369"/>
      <c r="Z16" s="369"/>
      <c r="AA16" s="369"/>
      <c r="AB16" s="369"/>
      <c r="AC16" s="369">
        <f>SUM(H16:K16)</f>
        <v>4480.1899999999996</v>
      </c>
      <c r="AD16" s="147" t="s">
        <v>130</v>
      </c>
      <c r="AE16" s="47"/>
      <c r="AF16" s="154"/>
    </row>
    <row r="17" spans="1:32" ht="19.5" customHeight="1" x14ac:dyDescent="0.2">
      <c r="A17" s="144" t="s">
        <v>131</v>
      </c>
      <c r="B17" s="301"/>
      <c r="C17" s="47"/>
      <c r="D17" s="167"/>
      <c r="E17" s="151"/>
      <c r="F17" s="368"/>
      <c r="G17" s="409"/>
      <c r="H17" s="191"/>
      <c r="I17" s="191"/>
      <c r="J17" s="191"/>
      <c r="K17" s="191"/>
      <c r="L17" s="191"/>
      <c r="M17" s="191"/>
      <c r="N17" s="191"/>
      <c r="O17" s="191"/>
      <c r="P17" s="191"/>
      <c r="Q17" s="191"/>
      <c r="R17" s="191"/>
      <c r="S17" s="191"/>
      <c r="T17" s="191"/>
      <c r="U17" s="191"/>
      <c r="V17" s="191"/>
      <c r="W17" s="191"/>
      <c r="X17" s="191"/>
      <c r="Y17" s="191"/>
      <c r="Z17" s="191"/>
      <c r="AA17" s="191"/>
      <c r="AB17" s="191"/>
      <c r="AC17" s="191"/>
      <c r="AD17" s="147" t="s">
        <v>131</v>
      </c>
      <c r="AE17" s="47"/>
      <c r="AF17" s="154"/>
    </row>
    <row r="18" spans="1:32" ht="22.5" customHeight="1" x14ac:dyDescent="0.2">
      <c r="A18" s="144" t="s">
        <v>132</v>
      </c>
      <c r="B18" s="46"/>
      <c r="C18" s="47"/>
      <c r="D18" s="167"/>
      <c r="E18" s="151"/>
      <c r="F18" s="47"/>
      <c r="G18" s="296"/>
      <c r="H18" s="47"/>
      <c r="I18" s="47"/>
      <c r="J18" s="47"/>
      <c r="K18" s="47"/>
      <c r="L18" s="47"/>
      <c r="M18" s="47"/>
      <c r="N18" s="47"/>
      <c r="O18" s="47"/>
      <c r="P18" s="47"/>
      <c r="Q18" s="47"/>
      <c r="R18" s="47"/>
      <c r="S18" s="47"/>
      <c r="T18" s="47"/>
      <c r="U18" s="47"/>
      <c r="V18" s="47"/>
      <c r="W18" s="47"/>
      <c r="X18" s="47"/>
      <c r="Y18" s="47"/>
      <c r="Z18" s="47"/>
      <c r="AA18" s="47"/>
      <c r="AB18" s="47"/>
      <c r="AC18" s="47"/>
      <c r="AD18" s="147" t="s">
        <v>132</v>
      </c>
      <c r="AE18" s="47"/>
      <c r="AF18" s="154"/>
    </row>
    <row r="19" spans="1:32" ht="22.5" customHeight="1" x14ac:dyDescent="0.2">
      <c r="A19" s="144" t="s">
        <v>133</v>
      </c>
      <c r="B19" s="46"/>
      <c r="C19" s="47"/>
      <c r="D19" s="167"/>
      <c r="E19" s="151"/>
      <c r="F19" s="47"/>
      <c r="G19" s="296"/>
      <c r="H19" s="47"/>
      <c r="I19" s="47"/>
      <c r="J19" s="47"/>
      <c r="K19" s="47"/>
      <c r="L19" s="47"/>
      <c r="M19" s="47"/>
      <c r="N19" s="47"/>
      <c r="O19" s="47"/>
      <c r="P19" s="47"/>
      <c r="Q19" s="47"/>
      <c r="R19" s="47"/>
      <c r="S19" s="47"/>
      <c r="T19" s="47"/>
      <c r="U19" s="47"/>
      <c r="V19" s="47"/>
      <c r="W19" s="47"/>
      <c r="X19" s="47"/>
      <c r="Y19" s="47"/>
      <c r="Z19" s="47"/>
      <c r="AA19" s="47"/>
      <c r="AB19" s="47"/>
      <c r="AC19" s="47"/>
      <c r="AD19" s="147" t="s">
        <v>133</v>
      </c>
      <c r="AE19" s="47"/>
      <c r="AF19" s="154"/>
    </row>
    <row r="20" spans="1:32" ht="22.5" customHeight="1" x14ac:dyDescent="0.2">
      <c r="A20" s="144" t="s">
        <v>65</v>
      </c>
      <c r="B20" s="46"/>
      <c r="C20" s="47"/>
      <c r="D20" s="167"/>
      <c r="E20" s="151"/>
      <c r="F20" s="47"/>
      <c r="G20" s="296"/>
      <c r="H20" s="45"/>
      <c r="I20" s="45"/>
      <c r="J20" s="45"/>
      <c r="K20" s="45"/>
      <c r="L20" s="45"/>
      <c r="M20" s="45"/>
      <c r="N20" s="45"/>
      <c r="O20" s="45"/>
      <c r="P20" s="45"/>
      <c r="Q20" s="45"/>
      <c r="R20" s="45"/>
      <c r="S20" s="45"/>
      <c r="T20" s="45"/>
      <c r="U20" s="45"/>
      <c r="V20" s="45"/>
      <c r="W20" s="45"/>
      <c r="X20" s="45"/>
      <c r="Y20" s="45"/>
      <c r="Z20" s="45"/>
      <c r="AA20" s="45"/>
      <c r="AB20" s="45"/>
      <c r="AC20" s="45"/>
      <c r="AD20" s="147" t="s">
        <v>65</v>
      </c>
      <c r="AE20" s="47"/>
      <c r="AF20" s="154"/>
    </row>
    <row r="21" spans="1:32" ht="22.5" customHeight="1" x14ac:dyDescent="0.2">
      <c r="A21" s="144" t="s">
        <v>134</v>
      </c>
      <c r="B21" s="46"/>
      <c r="C21" s="47"/>
      <c r="D21" s="167"/>
      <c r="E21" s="151"/>
      <c r="F21" s="47"/>
      <c r="G21" s="296"/>
      <c r="H21" s="45"/>
      <c r="I21" s="402"/>
      <c r="J21" s="45"/>
      <c r="K21" s="45"/>
      <c r="L21" s="45"/>
      <c r="M21" s="45"/>
      <c r="N21" s="45"/>
      <c r="O21" s="45"/>
      <c r="P21" s="45"/>
      <c r="Q21" s="45"/>
      <c r="R21" s="45"/>
      <c r="S21" s="45"/>
      <c r="T21" s="45"/>
      <c r="U21" s="45"/>
      <c r="V21" s="45"/>
      <c r="W21" s="45"/>
      <c r="X21" s="45"/>
      <c r="Y21" s="45"/>
      <c r="Z21" s="45"/>
      <c r="AA21" s="45"/>
      <c r="AB21" s="45"/>
      <c r="AC21" s="45"/>
      <c r="AD21" s="147" t="s">
        <v>134</v>
      </c>
      <c r="AE21" s="47"/>
      <c r="AF21" s="154"/>
    </row>
    <row r="22" spans="1:32" ht="19.5" customHeight="1" x14ac:dyDescent="0.2">
      <c r="A22" s="144" t="s">
        <v>135</v>
      </c>
      <c r="B22" s="301"/>
      <c r="C22" s="47"/>
      <c r="D22" s="167"/>
      <c r="E22" s="151"/>
      <c r="F22" s="47"/>
      <c r="G22" s="296"/>
      <c r="H22" s="45"/>
      <c r="I22" s="45"/>
      <c r="J22" s="45"/>
      <c r="K22" s="45"/>
      <c r="L22" s="45"/>
      <c r="M22" s="45"/>
      <c r="N22" s="45"/>
      <c r="O22" s="45"/>
      <c r="P22" s="45"/>
      <c r="Q22" s="45"/>
      <c r="R22" s="45"/>
      <c r="S22" s="45"/>
      <c r="T22" s="45"/>
      <c r="U22" s="45"/>
      <c r="V22" s="45"/>
      <c r="W22" s="45"/>
      <c r="X22" s="45"/>
      <c r="Y22" s="45"/>
      <c r="Z22" s="45"/>
      <c r="AA22" s="45"/>
      <c r="AB22" s="45"/>
      <c r="AC22" s="45"/>
      <c r="AD22" s="147" t="s">
        <v>135</v>
      </c>
      <c r="AE22" s="47"/>
      <c r="AF22" s="154"/>
    </row>
    <row r="23" spans="1:32" ht="22.5" customHeight="1" x14ac:dyDescent="0.2">
      <c r="A23" s="144" t="s">
        <v>136</v>
      </c>
      <c r="B23" s="46"/>
      <c r="C23" s="47"/>
      <c r="D23" s="167"/>
      <c r="E23" s="151"/>
      <c r="F23" s="47"/>
      <c r="G23" s="296"/>
      <c r="H23" s="45"/>
      <c r="I23" s="45"/>
      <c r="J23" s="45"/>
      <c r="K23" s="45"/>
      <c r="L23" s="45"/>
      <c r="M23" s="45"/>
      <c r="N23" s="45"/>
      <c r="O23" s="45"/>
      <c r="P23" s="45"/>
      <c r="Q23" s="45"/>
      <c r="R23" s="45"/>
      <c r="S23" s="45"/>
      <c r="T23" s="45"/>
      <c r="U23" s="45"/>
      <c r="V23" s="45"/>
      <c r="W23" s="45"/>
      <c r="X23" s="45"/>
      <c r="Y23" s="45"/>
      <c r="Z23" s="45"/>
      <c r="AA23" s="45"/>
      <c r="AB23" s="45"/>
      <c r="AC23" s="45"/>
      <c r="AD23" s="147" t="s">
        <v>136</v>
      </c>
      <c r="AE23" s="47"/>
      <c r="AF23" s="154"/>
    </row>
    <row r="24" spans="1:32" ht="19.5" customHeight="1" x14ac:dyDescent="0.2">
      <c r="A24" s="144" t="s">
        <v>137</v>
      </c>
      <c r="B24" s="301"/>
      <c r="C24" s="47"/>
      <c r="D24" s="167"/>
      <c r="E24" s="151"/>
      <c r="F24" s="47"/>
      <c r="G24" s="296"/>
      <c r="H24" s="45"/>
      <c r="I24" s="45"/>
      <c r="J24" s="45"/>
      <c r="K24" s="45"/>
      <c r="L24" s="45"/>
      <c r="M24" s="45"/>
      <c r="N24" s="45"/>
      <c r="O24" s="45"/>
      <c r="P24" s="45"/>
      <c r="Q24" s="45"/>
      <c r="R24" s="45"/>
      <c r="S24" s="45"/>
      <c r="T24" s="45"/>
      <c r="U24" s="45"/>
      <c r="V24" s="45"/>
      <c r="W24" s="45"/>
      <c r="X24" s="45"/>
      <c r="Y24" s="45"/>
      <c r="Z24" s="45"/>
      <c r="AA24" s="45"/>
      <c r="AB24" s="45"/>
      <c r="AC24" s="45"/>
      <c r="AD24" s="147" t="s">
        <v>137</v>
      </c>
      <c r="AE24" s="47"/>
      <c r="AF24" s="154"/>
    </row>
    <row r="25" spans="1:32" ht="19.5" customHeight="1" x14ac:dyDescent="0.2">
      <c r="A25" s="144" t="s">
        <v>138</v>
      </c>
      <c r="B25" s="301"/>
      <c r="C25" s="47"/>
      <c r="D25" s="167"/>
      <c r="E25" s="151"/>
      <c r="F25" s="47"/>
      <c r="G25" s="296"/>
      <c r="H25" s="45"/>
      <c r="I25" s="45"/>
      <c r="J25" s="45"/>
      <c r="K25" s="45"/>
      <c r="L25" s="45"/>
      <c r="M25" s="45"/>
      <c r="N25" s="45"/>
      <c r="O25" s="45"/>
      <c r="P25" s="45"/>
      <c r="Q25" s="45"/>
      <c r="R25" s="45"/>
      <c r="S25" s="45"/>
      <c r="T25" s="45"/>
      <c r="U25" s="45"/>
      <c r="V25" s="45"/>
      <c r="W25" s="45"/>
      <c r="X25" s="45"/>
      <c r="Y25" s="45"/>
      <c r="Z25" s="45"/>
      <c r="AA25" s="45"/>
      <c r="AB25" s="45"/>
      <c r="AC25" s="45"/>
      <c r="AD25" s="147" t="s">
        <v>138</v>
      </c>
      <c r="AE25" s="47"/>
      <c r="AF25" s="154"/>
    </row>
    <row r="26" spans="1:32" ht="22.5" customHeight="1" x14ac:dyDescent="0.2">
      <c r="A26" s="144" t="s">
        <v>139</v>
      </c>
      <c r="B26" s="46"/>
      <c r="C26" s="47"/>
      <c r="D26" s="167"/>
      <c r="E26" s="151"/>
      <c r="F26" s="47"/>
      <c r="G26" s="296"/>
      <c r="H26" s="45"/>
      <c r="I26" s="45"/>
      <c r="J26" s="45"/>
      <c r="K26" s="45"/>
      <c r="L26" s="45"/>
      <c r="M26" s="45"/>
      <c r="N26" s="45"/>
      <c r="O26" s="45"/>
      <c r="P26" s="45"/>
      <c r="Q26" s="45"/>
      <c r="R26" s="45"/>
      <c r="S26" s="45"/>
      <c r="T26" s="45"/>
      <c r="U26" s="45"/>
      <c r="V26" s="45"/>
      <c r="W26" s="45"/>
      <c r="X26" s="45"/>
      <c r="Y26" s="45"/>
      <c r="Z26" s="45"/>
      <c r="AA26" s="45"/>
      <c r="AB26" s="45"/>
      <c r="AC26" s="45"/>
      <c r="AD26" s="147" t="s">
        <v>139</v>
      </c>
      <c r="AE26" s="47"/>
      <c r="AF26" s="154"/>
    </row>
    <row r="27" spans="1:32" ht="22.5" customHeight="1" x14ac:dyDescent="0.2">
      <c r="A27" s="144" t="s">
        <v>140</v>
      </c>
      <c r="B27" s="46"/>
      <c r="C27" s="47"/>
      <c r="D27" s="167"/>
      <c r="E27" s="151"/>
      <c r="F27" s="47"/>
      <c r="G27" s="296"/>
      <c r="H27" s="45"/>
      <c r="I27" s="45"/>
      <c r="J27" s="45"/>
      <c r="K27" s="45"/>
      <c r="L27" s="45"/>
      <c r="M27" s="45"/>
      <c r="N27" s="45"/>
      <c r="O27" s="45"/>
      <c r="P27" s="45"/>
      <c r="Q27" s="45"/>
      <c r="R27" s="45"/>
      <c r="S27" s="45"/>
      <c r="T27" s="45"/>
      <c r="U27" s="45"/>
      <c r="V27" s="45"/>
      <c r="W27" s="45"/>
      <c r="X27" s="45"/>
      <c r="Y27" s="45"/>
      <c r="Z27" s="45"/>
      <c r="AA27" s="45"/>
      <c r="AB27" s="45"/>
      <c r="AC27" s="45"/>
      <c r="AD27" s="147" t="s">
        <v>140</v>
      </c>
      <c r="AE27" s="47"/>
      <c r="AF27" s="154"/>
    </row>
    <row r="28" spans="1:32" ht="22.5" customHeight="1" x14ac:dyDescent="0.2">
      <c r="A28" s="144" t="s">
        <v>141</v>
      </c>
      <c r="B28" s="46"/>
      <c r="C28" s="47"/>
      <c r="D28" s="167"/>
      <c r="E28" s="151"/>
      <c r="F28" s="47"/>
      <c r="G28" s="296"/>
      <c r="H28" s="45"/>
      <c r="I28" s="45"/>
      <c r="J28" s="45"/>
      <c r="K28" s="45"/>
      <c r="L28" s="45"/>
      <c r="M28" s="45"/>
      <c r="N28" s="45"/>
      <c r="O28" s="45"/>
      <c r="P28" s="45"/>
      <c r="Q28" s="45"/>
      <c r="R28" s="45"/>
      <c r="S28" s="45"/>
      <c r="T28" s="45"/>
      <c r="U28" s="45"/>
      <c r="V28" s="45"/>
      <c r="W28" s="45"/>
      <c r="X28" s="45"/>
      <c r="Y28" s="45"/>
      <c r="Z28" s="45"/>
      <c r="AA28" s="45"/>
      <c r="AB28" s="45"/>
      <c r="AC28" s="45"/>
      <c r="AD28" s="147" t="s">
        <v>141</v>
      </c>
      <c r="AE28" s="47"/>
      <c r="AF28" s="154"/>
    </row>
    <row r="29" spans="1:32" ht="22.5" customHeight="1" thickBot="1" x14ac:dyDescent="0.25">
      <c r="A29" s="144" t="s">
        <v>142</v>
      </c>
      <c r="B29" s="46"/>
      <c r="C29" s="47"/>
      <c r="D29" s="167"/>
      <c r="E29" s="151"/>
      <c r="F29" s="47"/>
      <c r="G29" s="296"/>
      <c r="H29" s="369"/>
      <c r="I29" s="373"/>
      <c r="J29" s="369"/>
      <c r="K29" s="369"/>
      <c r="L29" s="369"/>
      <c r="M29" s="369"/>
      <c r="N29" s="369"/>
      <c r="O29" s="369"/>
      <c r="P29" s="369"/>
      <c r="Q29" s="369"/>
      <c r="R29" s="369"/>
      <c r="S29" s="369"/>
      <c r="T29" s="369"/>
      <c r="U29" s="369"/>
      <c r="V29" s="369"/>
      <c r="W29" s="369"/>
      <c r="X29" s="369"/>
      <c r="Y29" s="369"/>
      <c r="Z29" s="369"/>
      <c r="AA29" s="369"/>
      <c r="AB29" s="369"/>
      <c r="AC29" s="369"/>
      <c r="AD29" s="147" t="s">
        <v>142</v>
      </c>
      <c r="AE29" s="47"/>
      <c r="AF29" s="154"/>
    </row>
    <row r="30" spans="1:32" ht="17.25" customHeight="1" thickBot="1" x14ac:dyDescent="0.25">
      <c r="A30" s="144" t="s">
        <v>143</v>
      </c>
      <c r="B30" s="31" t="s">
        <v>373</v>
      </c>
      <c r="C30" s="34"/>
      <c r="D30" s="34"/>
      <c r="E30" s="34"/>
      <c r="F30" s="156"/>
      <c r="G30" s="297"/>
      <c r="H30" s="156">
        <f>SUM(H11:H29)</f>
        <v>22400.949999999997</v>
      </c>
      <c r="I30" s="156"/>
      <c r="J30" s="156"/>
      <c r="K30" s="156"/>
      <c r="L30" s="156"/>
      <c r="M30" s="157"/>
      <c r="N30" s="156"/>
      <c r="O30" s="156"/>
      <c r="P30" s="156"/>
      <c r="Q30" s="156"/>
      <c r="R30" s="156"/>
      <c r="S30" s="156"/>
      <c r="T30" s="156"/>
      <c r="U30" s="156"/>
      <c r="V30" s="156"/>
      <c r="W30" s="156"/>
      <c r="X30" s="156"/>
      <c r="Y30" s="156"/>
      <c r="Z30" s="156"/>
      <c r="AA30" s="156"/>
      <c r="AB30" s="156"/>
      <c r="AC30" s="156">
        <f>SUM(AC11:AC29)</f>
        <v>22400.949999999997</v>
      </c>
      <c r="AD30" s="147" t="s">
        <v>143</v>
      </c>
      <c r="AE30" s="158"/>
      <c r="AF30" s="159"/>
    </row>
    <row r="31" spans="1:32" ht="17.25" customHeight="1" thickTop="1" x14ac:dyDescent="0.15">
      <c r="A31" s="806" t="s">
        <v>49</v>
      </c>
      <c r="B31" s="806"/>
      <c r="C31" s="806"/>
      <c r="D31" s="806"/>
      <c r="E31" s="806"/>
      <c r="F31" s="806"/>
      <c r="G31" s="298"/>
      <c r="I31" s="116" t="s">
        <v>50</v>
      </c>
      <c r="K31" s="160" t="s">
        <v>37</v>
      </c>
      <c r="AB31" s="807" t="s">
        <v>212</v>
      </c>
      <c r="AC31" s="808"/>
      <c r="AD31" s="808"/>
      <c r="AE31" s="808"/>
    </row>
    <row r="32" spans="1:32" ht="8.25" customHeight="1" x14ac:dyDescent="0.15">
      <c r="A32" s="807"/>
      <c r="B32" s="807"/>
      <c r="C32" s="807"/>
      <c r="D32" s="807"/>
      <c r="E32" s="807"/>
      <c r="F32" s="807"/>
      <c r="G32" s="298"/>
      <c r="H32" s="160"/>
      <c r="AB32" s="808"/>
      <c r="AC32" s="808"/>
      <c r="AD32" s="808"/>
      <c r="AE32" s="808"/>
    </row>
    <row r="33" spans="1:32" ht="29.25" customHeight="1" x14ac:dyDescent="0.2">
      <c r="A33" s="807"/>
      <c r="B33" s="807"/>
      <c r="C33" s="807"/>
      <c r="D33" s="807"/>
      <c r="E33" s="807"/>
      <c r="F33" s="807"/>
      <c r="G33" s="298"/>
      <c r="I33" s="161"/>
      <c r="J33" s="809" t="s">
        <v>200</v>
      </c>
      <c r="K33" s="809"/>
      <c r="L33" s="809"/>
      <c r="M33" s="809"/>
      <c r="N33" s="809"/>
      <c r="O33" s="809"/>
      <c r="P33" s="809"/>
      <c r="Q33" s="162"/>
      <c r="AB33" s="808"/>
      <c r="AC33" s="808"/>
      <c r="AD33" s="808"/>
      <c r="AE33" s="808"/>
    </row>
    <row r="34" spans="1:32" ht="12" customHeight="1" x14ac:dyDescent="0.2">
      <c r="J34" s="810" t="s">
        <v>79</v>
      </c>
      <c r="K34" s="810"/>
      <c r="L34" s="810"/>
      <c r="M34" s="810"/>
      <c r="N34" s="810"/>
      <c r="O34" s="810"/>
      <c r="P34" s="811"/>
      <c r="AB34" s="808"/>
      <c r="AC34" s="808"/>
      <c r="AD34" s="808"/>
      <c r="AE34" s="808"/>
    </row>
    <row r="35" spans="1:32" ht="24.75" customHeight="1" x14ac:dyDescent="0.2">
      <c r="D35" s="809" t="s">
        <v>260</v>
      </c>
      <c r="E35" s="809"/>
      <c r="F35" s="809"/>
      <c r="G35" s="367"/>
      <c r="H35" s="367"/>
      <c r="J35" s="810" t="s">
        <v>51</v>
      </c>
      <c r="K35" s="810"/>
      <c r="L35" s="810"/>
      <c r="M35" s="810"/>
      <c r="N35" s="810"/>
      <c r="O35" s="810"/>
      <c r="P35" s="811"/>
      <c r="AB35" s="808"/>
      <c r="AC35" s="808"/>
      <c r="AD35" s="808"/>
      <c r="AE35" s="808"/>
    </row>
    <row r="36" spans="1:32" ht="29.25" customHeight="1" x14ac:dyDescent="0.2">
      <c r="D36" s="818" t="s">
        <v>411</v>
      </c>
      <c r="E36" s="818"/>
      <c r="F36" s="818"/>
      <c r="G36" s="298"/>
      <c r="AB36" s="808"/>
      <c r="AC36" s="808"/>
      <c r="AD36" s="808"/>
      <c r="AE36" s="808"/>
    </row>
    <row r="37" spans="1:32" ht="17.25" customHeight="1" x14ac:dyDescent="0.15">
      <c r="AB37" s="808"/>
      <c r="AC37" s="808"/>
      <c r="AD37" s="808"/>
      <c r="AE37" s="808"/>
    </row>
    <row r="38" spans="1:32" ht="17.25" customHeight="1" x14ac:dyDescent="0.15">
      <c r="A38" s="164" t="s">
        <v>52</v>
      </c>
    </row>
    <row r="39" spans="1:32" ht="6" customHeight="1" x14ac:dyDescent="0.15">
      <c r="AB39" s="165"/>
      <c r="AC39" s="165"/>
      <c r="AD39" s="165"/>
      <c r="AE39" s="165"/>
    </row>
    <row r="40" spans="1:32" ht="11.25" customHeight="1" x14ac:dyDescent="0.15">
      <c r="E40" s="116" t="s">
        <v>53</v>
      </c>
      <c r="AB40" s="801" t="s">
        <v>213</v>
      </c>
      <c r="AC40" s="802"/>
      <c r="AD40" s="802"/>
      <c r="AE40" s="802"/>
    </row>
    <row r="41" spans="1:32" ht="11.25" customHeight="1" x14ac:dyDescent="0.15">
      <c r="AB41" s="802"/>
      <c r="AC41" s="802"/>
      <c r="AD41" s="802"/>
      <c r="AE41" s="802"/>
    </row>
    <row r="42" spans="1:32" ht="17.25" customHeight="1" x14ac:dyDescent="0.15">
      <c r="A42" s="164" t="s">
        <v>54</v>
      </c>
      <c r="AB42" s="802"/>
      <c r="AC42" s="802"/>
      <c r="AD42" s="802"/>
      <c r="AE42" s="802"/>
    </row>
    <row r="43" spans="1:32" ht="6.75" customHeight="1" x14ac:dyDescent="0.15">
      <c r="AB43" s="802"/>
      <c r="AC43" s="802"/>
      <c r="AD43" s="802"/>
      <c r="AE43" s="802"/>
    </row>
    <row r="44" spans="1:32" ht="16.5" customHeight="1" x14ac:dyDescent="0.15">
      <c r="C44" s="116" t="s">
        <v>56</v>
      </c>
      <c r="E44" s="116" t="s">
        <v>57</v>
      </c>
      <c r="AB44" s="802"/>
      <c r="AC44" s="802"/>
      <c r="AD44" s="802"/>
      <c r="AE44" s="802"/>
    </row>
    <row r="45" spans="1:32" ht="17.25" customHeight="1" x14ac:dyDescent="0.15">
      <c r="C45" s="803" t="s">
        <v>58</v>
      </c>
      <c r="D45" s="803"/>
      <c r="E45" s="803"/>
      <c r="AF45" s="166" t="s">
        <v>53</v>
      </c>
    </row>
  </sheetData>
  <mergeCells count="50">
    <mergeCell ref="AB40:AE44"/>
    <mergeCell ref="C45:E45"/>
    <mergeCell ref="D12:E12"/>
    <mergeCell ref="A31:F33"/>
    <mergeCell ref="AB31:AE37"/>
    <mergeCell ref="J33:P33"/>
    <mergeCell ref="J34:P34"/>
    <mergeCell ref="D35:F35"/>
    <mergeCell ref="J35:P35"/>
    <mergeCell ref="D36:F36"/>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T8:T9"/>
    <mergeCell ref="P6:Q6"/>
    <mergeCell ref="Z6:Z8"/>
    <mergeCell ref="AA6:AA8"/>
    <mergeCell ref="J5:J8"/>
    <mergeCell ref="K5:K8"/>
    <mergeCell ref="L5:L8"/>
    <mergeCell ref="U8:U9"/>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s>
  <pageMargins left="0.7" right="0.7" top="0.75" bottom="0.75" header="0.3" footer="0.3"/>
  <pageSetup paperSize="5" scale="6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F42"/>
  <sheetViews>
    <sheetView workbookViewId="0">
      <selection activeCell="D23" sqref="D23"/>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9.85546875" style="116" customWidth="1"/>
    <col min="7" max="7" width="5.85546875" style="131" customWidth="1"/>
    <col min="8" max="8" width="16.7109375" style="116" customWidth="1"/>
    <col min="9" max="9" width="11"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17.25" customHeight="1" thickTop="1" x14ac:dyDescent="0.25">
      <c r="A4" s="761" t="s">
        <v>1</v>
      </c>
      <c r="B4" s="763" t="s">
        <v>2</v>
      </c>
      <c r="C4" s="765" t="s">
        <v>3</v>
      </c>
      <c r="D4" s="820" t="s">
        <v>4</v>
      </c>
      <c r="E4" s="820"/>
      <c r="F4" s="769"/>
      <c r="G4" s="294"/>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770"/>
      <c r="G5" s="295"/>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15</v>
      </c>
      <c r="AE5" s="124"/>
      <c r="AF5" s="124"/>
    </row>
    <row r="6" spans="1:32" s="125" customFormat="1" ht="17.25" customHeight="1" x14ac:dyDescent="0.15">
      <c r="A6" s="762"/>
      <c r="B6" s="764"/>
      <c r="C6" s="766"/>
      <c r="D6" s="762"/>
      <c r="E6" s="762"/>
      <c r="F6" s="779" t="s">
        <v>206</v>
      </c>
      <c r="G6" s="291"/>
      <c r="H6" s="772"/>
      <c r="I6" s="777"/>
      <c r="J6" s="785"/>
      <c r="K6" s="785"/>
      <c r="L6" s="785"/>
      <c r="M6" s="781" t="s">
        <v>160</v>
      </c>
      <c r="N6" s="774" t="s">
        <v>37</v>
      </c>
      <c r="O6" s="774" t="s">
        <v>18</v>
      </c>
      <c r="P6" s="821" t="s">
        <v>19</v>
      </c>
      <c r="Q6" s="822"/>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15">
      <c r="A7" s="762"/>
      <c r="B7" s="764"/>
      <c r="C7" s="766"/>
      <c r="D7" s="762"/>
      <c r="E7" s="762"/>
      <c r="F7" s="780"/>
      <c r="G7" s="292"/>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1" t="s">
        <v>205</v>
      </c>
      <c r="G8" s="299" t="s">
        <v>374</v>
      </c>
      <c r="H8" s="134"/>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20"/>
      <c r="G9" s="300" t="s">
        <v>375</v>
      </c>
      <c r="H9" s="134"/>
      <c r="I9" s="134" t="s">
        <v>394</v>
      </c>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t="s">
        <v>38</v>
      </c>
      <c r="B11" s="301">
        <v>4411</v>
      </c>
      <c r="C11" s="47"/>
      <c r="D11" s="804" t="s">
        <v>393</v>
      </c>
      <c r="E11" s="805"/>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t="s">
        <v>38</v>
      </c>
      <c r="AE11" s="148"/>
      <c r="AF11" s="149"/>
    </row>
    <row r="12" spans="1:32" s="143" customFormat="1" ht="22.5" customHeight="1" x14ac:dyDescent="0.2">
      <c r="A12" s="144" t="s">
        <v>127</v>
      </c>
      <c r="B12" s="46" t="s">
        <v>315</v>
      </c>
      <c r="C12" s="47" t="s">
        <v>281</v>
      </c>
      <c r="D12" s="167" t="s">
        <v>272</v>
      </c>
      <c r="E12" s="151" t="s">
        <v>175</v>
      </c>
      <c r="F12" s="47">
        <v>430.82</v>
      </c>
      <c r="G12" s="296">
        <v>12</v>
      </c>
      <c r="H12" s="47">
        <f>F12*G12</f>
        <v>5169.84</v>
      </c>
      <c r="I12" s="47"/>
      <c r="J12" s="47"/>
      <c r="K12" s="47"/>
      <c r="L12" s="47"/>
      <c r="M12" s="47"/>
      <c r="N12" s="47"/>
      <c r="O12" s="47"/>
      <c r="P12" s="47"/>
      <c r="Q12" s="47"/>
      <c r="R12" s="47"/>
      <c r="S12" s="47"/>
      <c r="T12" s="47"/>
      <c r="U12" s="47"/>
      <c r="V12" s="47"/>
      <c r="W12" s="47"/>
      <c r="X12" s="47"/>
      <c r="Y12" s="47"/>
      <c r="Z12" s="47"/>
      <c r="AA12" s="47"/>
      <c r="AB12" s="47"/>
      <c r="AC12" s="47">
        <f>SUM(H12:K12)</f>
        <v>5169.84</v>
      </c>
      <c r="AD12" s="147" t="s">
        <v>127</v>
      </c>
      <c r="AE12" s="152"/>
      <c r="AF12" s="153"/>
    </row>
    <row r="13" spans="1:32" ht="22.5" customHeight="1" x14ac:dyDescent="0.2">
      <c r="A13" s="144" t="s">
        <v>128</v>
      </c>
      <c r="B13" s="46" t="s">
        <v>316</v>
      </c>
      <c r="C13" s="47" t="s">
        <v>281</v>
      </c>
      <c r="D13" s="167" t="s">
        <v>272</v>
      </c>
      <c r="E13" s="151" t="s">
        <v>175</v>
      </c>
      <c r="F13" s="47">
        <v>430.82</v>
      </c>
      <c r="G13" s="296">
        <v>12</v>
      </c>
      <c r="H13" s="47">
        <f t="shared" ref="H13:H18" si="0">F13*G13</f>
        <v>5169.84</v>
      </c>
      <c r="I13" s="47">
        <v>1270.5</v>
      </c>
      <c r="J13" s="47"/>
      <c r="K13" s="47"/>
      <c r="L13" s="47"/>
      <c r="M13" s="47"/>
      <c r="N13" s="47"/>
      <c r="O13" s="47"/>
      <c r="P13" s="47"/>
      <c r="Q13" s="47"/>
      <c r="R13" s="47"/>
      <c r="S13" s="47"/>
      <c r="T13" s="47"/>
      <c r="U13" s="47"/>
      <c r="V13" s="47"/>
      <c r="W13" s="47"/>
      <c r="X13" s="47"/>
      <c r="Y13" s="47"/>
      <c r="Z13" s="47"/>
      <c r="AA13" s="47"/>
      <c r="AB13" s="47"/>
      <c r="AC13" s="47">
        <f t="shared" ref="AC13:AC18" si="1">SUM(H13:K13)</f>
        <v>6440.34</v>
      </c>
      <c r="AD13" s="147" t="s">
        <v>128</v>
      </c>
      <c r="AE13" s="47"/>
      <c r="AF13" s="154"/>
    </row>
    <row r="14" spans="1:32" ht="19.5" customHeight="1" x14ac:dyDescent="0.2">
      <c r="A14" s="144" t="s">
        <v>129</v>
      </c>
      <c r="B14" s="46" t="s">
        <v>317</v>
      </c>
      <c r="C14" s="47" t="s">
        <v>281</v>
      </c>
      <c r="D14" s="167" t="s">
        <v>272</v>
      </c>
      <c r="E14" s="151" t="s">
        <v>175</v>
      </c>
      <c r="F14" s="47">
        <v>430.82</v>
      </c>
      <c r="G14" s="296">
        <v>14</v>
      </c>
      <c r="H14" s="47">
        <f t="shared" si="0"/>
        <v>6031.48</v>
      </c>
      <c r="I14" s="47">
        <v>1270.5</v>
      </c>
      <c r="J14" s="47"/>
      <c r="K14" s="47"/>
      <c r="L14" s="47"/>
      <c r="M14" s="47"/>
      <c r="N14" s="47"/>
      <c r="O14" s="47"/>
      <c r="P14" s="47"/>
      <c r="Q14" s="47"/>
      <c r="R14" s="47"/>
      <c r="S14" s="47"/>
      <c r="T14" s="47"/>
      <c r="U14" s="47"/>
      <c r="V14" s="47"/>
      <c r="W14" s="47"/>
      <c r="X14" s="47"/>
      <c r="Y14" s="47"/>
      <c r="Z14" s="47"/>
      <c r="AA14" s="47"/>
      <c r="AB14" s="47"/>
      <c r="AC14" s="47">
        <f t="shared" si="1"/>
        <v>7301.98</v>
      </c>
      <c r="AD14" s="147" t="s">
        <v>129</v>
      </c>
      <c r="AE14" s="47"/>
      <c r="AF14" s="154"/>
    </row>
    <row r="15" spans="1:32" ht="22.5" customHeight="1" x14ac:dyDescent="0.2">
      <c r="A15" s="144" t="s">
        <v>130</v>
      </c>
      <c r="B15" s="46" t="s">
        <v>318</v>
      </c>
      <c r="C15" s="47" t="s">
        <v>281</v>
      </c>
      <c r="D15" s="167" t="s">
        <v>272</v>
      </c>
      <c r="E15" s="151" t="s">
        <v>175</v>
      </c>
      <c r="F15" s="47">
        <v>430.82</v>
      </c>
      <c r="G15" s="296">
        <v>13</v>
      </c>
      <c r="H15" s="47">
        <f t="shared" si="0"/>
        <v>5600.66</v>
      </c>
      <c r="I15" s="47">
        <v>1270.5</v>
      </c>
      <c r="J15" s="47"/>
      <c r="K15" s="47"/>
      <c r="L15" s="47"/>
      <c r="M15" s="47"/>
      <c r="N15" s="47"/>
      <c r="O15" s="47"/>
      <c r="P15" s="47"/>
      <c r="Q15" s="47"/>
      <c r="R15" s="47"/>
      <c r="S15" s="47"/>
      <c r="T15" s="47"/>
      <c r="U15" s="47"/>
      <c r="V15" s="47"/>
      <c r="W15" s="47"/>
      <c r="X15" s="47"/>
      <c r="Y15" s="47"/>
      <c r="Z15" s="47"/>
      <c r="AA15" s="47"/>
      <c r="AB15" s="47"/>
      <c r="AC15" s="47">
        <f t="shared" si="1"/>
        <v>6871.16</v>
      </c>
      <c r="AD15" s="147" t="s">
        <v>130</v>
      </c>
      <c r="AE15" s="47"/>
      <c r="AF15" s="154"/>
    </row>
    <row r="16" spans="1:32" ht="22.5" customHeight="1" x14ac:dyDescent="0.2">
      <c r="A16" s="144" t="s">
        <v>131</v>
      </c>
      <c r="B16" s="46" t="s">
        <v>319</v>
      </c>
      <c r="C16" s="47" t="s">
        <v>281</v>
      </c>
      <c r="D16" s="167" t="s">
        <v>272</v>
      </c>
      <c r="E16" s="151" t="s">
        <v>175</v>
      </c>
      <c r="F16" s="47">
        <v>430.82</v>
      </c>
      <c r="G16" s="296">
        <v>12</v>
      </c>
      <c r="H16" s="47">
        <f t="shared" si="0"/>
        <v>5169.84</v>
      </c>
      <c r="I16" s="47">
        <v>1270.5</v>
      </c>
      <c r="J16" s="45"/>
      <c r="K16" s="45"/>
      <c r="L16" s="45"/>
      <c r="M16" s="45"/>
      <c r="N16" s="45"/>
      <c r="O16" s="45"/>
      <c r="P16" s="45"/>
      <c r="Q16" s="45"/>
      <c r="R16" s="45"/>
      <c r="S16" s="45"/>
      <c r="T16" s="45"/>
      <c r="U16" s="45"/>
      <c r="V16" s="45"/>
      <c r="W16" s="45"/>
      <c r="X16" s="45"/>
      <c r="Y16" s="45"/>
      <c r="Z16" s="45"/>
      <c r="AA16" s="45"/>
      <c r="AB16" s="45"/>
      <c r="AC16" s="47">
        <f t="shared" si="1"/>
        <v>6440.34</v>
      </c>
      <c r="AD16" s="147" t="s">
        <v>131</v>
      </c>
      <c r="AE16" s="47"/>
      <c r="AF16" s="154"/>
    </row>
    <row r="17" spans="1:32" ht="19.5" customHeight="1" x14ac:dyDescent="0.2">
      <c r="A17" s="144" t="s">
        <v>132</v>
      </c>
      <c r="B17" s="46" t="s">
        <v>371</v>
      </c>
      <c r="C17" s="47" t="s">
        <v>281</v>
      </c>
      <c r="D17" s="167" t="s">
        <v>272</v>
      </c>
      <c r="E17" s="151" t="s">
        <v>175</v>
      </c>
      <c r="F17" s="47">
        <v>430.82</v>
      </c>
      <c r="G17" s="296">
        <v>13</v>
      </c>
      <c r="H17" s="47">
        <f t="shared" si="0"/>
        <v>5600.66</v>
      </c>
      <c r="I17" s="47">
        <v>1270.5</v>
      </c>
      <c r="J17" s="45"/>
      <c r="K17" s="45"/>
      <c r="L17" s="45"/>
      <c r="M17" s="45"/>
      <c r="N17" s="45"/>
      <c r="O17" s="45"/>
      <c r="P17" s="45"/>
      <c r="Q17" s="45"/>
      <c r="R17" s="45"/>
      <c r="S17" s="45"/>
      <c r="T17" s="45"/>
      <c r="U17" s="45"/>
      <c r="V17" s="45"/>
      <c r="W17" s="45"/>
      <c r="X17" s="45"/>
      <c r="Y17" s="45"/>
      <c r="Z17" s="45"/>
      <c r="AA17" s="45"/>
      <c r="AB17" s="45"/>
      <c r="AC17" s="47">
        <f t="shared" si="1"/>
        <v>6871.16</v>
      </c>
      <c r="AD17" s="147" t="s">
        <v>132</v>
      </c>
      <c r="AE17" s="47"/>
      <c r="AF17" s="154"/>
    </row>
    <row r="18" spans="1:32" ht="22.5" customHeight="1" thickBot="1" x14ac:dyDescent="0.25">
      <c r="A18" s="144" t="s">
        <v>133</v>
      </c>
      <c r="B18" s="46" t="s">
        <v>320</v>
      </c>
      <c r="C18" s="47" t="s">
        <v>281</v>
      </c>
      <c r="D18" s="167" t="s">
        <v>272</v>
      </c>
      <c r="E18" s="151" t="s">
        <v>175</v>
      </c>
      <c r="F18" s="369">
        <v>430.82</v>
      </c>
      <c r="G18" s="410">
        <v>12</v>
      </c>
      <c r="H18" s="369">
        <f t="shared" si="0"/>
        <v>5169.84</v>
      </c>
      <c r="I18" s="369"/>
      <c r="J18" s="369"/>
      <c r="K18" s="369"/>
      <c r="L18" s="369"/>
      <c r="M18" s="369"/>
      <c r="N18" s="369"/>
      <c r="O18" s="369"/>
      <c r="P18" s="369"/>
      <c r="Q18" s="369"/>
      <c r="R18" s="369"/>
      <c r="S18" s="369"/>
      <c r="T18" s="369"/>
      <c r="U18" s="369"/>
      <c r="V18" s="369"/>
      <c r="W18" s="369"/>
      <c r="X18" s="369"/>
      <c r="Y18" s="369"/>
      <c r="Z18" s="369"/>
      <c r="AA18" s="369"/>
      <c r="AB18" s="369"/>
      <c r="AC18" s="369">
        <f t="shared" si="1"/>
        <v>5169.84</v>
      </c>
      <c r="AD18" s="147" t="s">
        <v>133</v>
      </c>
      <c r="AE18" s="47"/>
      <c r="AF18" s="154"/>
    </row>
    <row r="19" spans="1:32" ht="22.5" customHeight="1" x14ac:dyDescent="0.2">
      <c r="A19" s="144" t="s">
        <v>65</v>
      </c>
      <c r="B19" s="46"/>
      <c r="C19" s="47"/>
      <c r="D19" s="167"/>
      <c r="E19" s="151"/>
      <c r="F19" s="368"/>
      <c r="G19" s="409"/>
      <c r="H19" s="191"/>
      <c r="I19" s="191"/>
      <c r="J19" s="191"/>
      <c r="K19" s="191"/>
      <c r="L19" s="191"/>
      <c r="M19" s="191"/>
      <c r="N19" s="191"/>
      <c r="O19" s="191"/>
      <c r="P19" s="191"/>
      <c r="Q19" s="191"/>
      <c r="R19" s="191"/>
      <c r="S19" s="191"/>
      <c r="T19" s="191"/>
      <c r="U19" s="191"/>
      <c r="V19" s="191"/>
      <c r="W19" s="191"/>
      <c r="X19" s="191"/>
      <c r="Y19" s="191"/>
      <c r="Z19" s="191"/>
      <c r="AA19" s="191"/>
      <c r="AB19" s="191"/>
      <c r="AC19" s="368"/>
      <c r="AD19" s="147" t="s">
        <v>65</v>
      </c>
      <c r="AE19" s="47"/>
      <c r="AF19" s="154"/>
    </row>
    <row r="20" spans="1:32" ht="22.5" customHeight="1" x14ac:dyDescent="0.2">
      <c r="A20" s="144" t="s">
        <v>134</v>
      </c>
      <c r="B20" s="46"/>
      <c r="C20" s="47"/>
      <c r="D20" s="167"/>
      <c r="E20" s="151"/>
      <c r="F20" s="47"/>
      <c r="G20" s="296"/>
      <c r="H20" s="45"/>
      <c r="I20" s="45"/>
      <c r="J20" s="45"/>
      <c r="K20" s="45"/>
      <c r="L20" s="45"/>
      <c r="M20" s="45"/>
      <c r="N20" s="45"/>
      <c r="O20" s="45"/>
      <c r="P20" s="45"/>
      <c r="Q20" s="45"/>
      <c r="R20" s="45"/>
      <c r="S20" s="45"/>
      <c r="T20" s="45"/>
      <c r="U20" s="45"/>
      <c r="V20" s="45"/>
      <c r="W20" s="45"/>
      <c r="X20" s="45"/>
      <c r="Y20" s="45"/>
      <c r="Z20" s="45"/>
      <c r="AA20" s="45"/>
      <c r="AB20" s="45"/>
      <c r="AC20" s="45"/>
      <c r="AD20" s="147" t="s">
        <v>134</v>
      </c>
      <c r="AE20" s="47"/>
      <c r="AF20" s="154"/>
    </row>
    <row r="21" spans="1:32" ht="22.5" customHeight="1" x14ac:dyDescent="0.2">
      <c r="A21" s="144" t="s">
        <v>135</v>
      </c>
      <c r="B21" s="46"/>
      <c r="C21" s="47"/>
      <c r="D21" s="167"/>
      <c r="E21" s="151"/>
      <c r="F21" s="47"/>
      <c r="G21" s="296"/>
      <c r="H21" s="45"/>
      <c r="I21" s="402"/>
      <c r="J21" s="45"/>
      <c r="K21" s="45"/>
      <c r="L21" s="45"/>
      <c r="M21" s="45"/>
      <c r="N21" s="45"/>
      <c r="O21" s="45"/>
      <c r="P21" s="45"/>
      <c r="Q21" s="45"/>
      <c r="R21" s="45"/>
      <c r="S21" s="45"/>
      <c r="T21" s="45"/>
      <c r="U21" s="45"/>
      <c r="V21" s="45"/>
      <c r="W21" s="45"/>
      <c r="X21" s="45"/>
      <c r="Y21" s="45"/>
      <c r="Z21" s="45"/>
      <c r="AA21" s="45"/>
      <c r="AB21" s="45"/>
      <c r="AC21" s="45"/>
      <c r="AD21" s="147" t="s">
        <v>135</v>
      </c>
      <c r="AE21" s="47"/>
      <c r="AF21" s="154"/>
    </row>
    <row r="22" spans="1:32" ht="22.5" customHeight="1" x14ac:dyDescent="0.2">
      <c r="A22" s="144" t="s">
        <v>137</v>
      </c>
      <c r="B22" s="46"/>
      <c r="C22" s="47"/>
      <c r="D22" s="167"/>
      <c r="E22" s="151"/>
      <c r="F22" s="47"/>
      <c r="G22" s="296"/>
      <c r="H22" s="45"/>
      <c r="I22" s="45"/>
      <c r="J22" s="45"/>
      <c r="K22" s="45"/>
      <c r="L22" s="45"/>
      <c r="M22" s="45"/>
      <c r="N22" s="45"/>
      <c r="O22" s="45"/>
      <c r="P22" s="45"/>
      <c r="Q22" s="45"/>
      <c r="R22" s="45"/>
      <c r="S22" s="45"/>
      <c r="T22" s="45"/>
      <c r="U22" s="45"/>
      <c r="V22" s="45"/>
      <c r="W22" s="45"/>
      <c r="X22" s="45"/>
      <c r="Y22" s="45"/>
      <c r="Z22" s="45"/>
      <c r="AA22" s="45"/>
      <c r="AB22" s="45"/>
      <c r="AC22" s="45"/>
      <c r="AD22" s="147" t="s">
        <v>137</v>
      </c>
      <c r="AE22" s="47"/>
      <c r="AF22" s="154"/>
    </row>
    <row r="23" spans="1:32" ht="19.5" customHeight="1" x14ac:dyDescent="0.2">
      <c r="A23" s="144" t="s">
        <v>138</v>
      </c>
      <c r="B23" s="301"/>
      <c r="C23" s="47"/>
      <c r="D23" s="167"/>
      <c r="E23" s="151"/>
      <c r="F23" s="47"/>
      <c r="G23" s="296"/>
      <c r="H23" s="45"/>
      <c r="I23" s="45"/>
      <c r="J23" s="45"/>
      <c r="K23" s="45"/>
      <c r="L23" s="45"/>
      <c r="M23" s="45"/>
      <c r="N23" s="45"/>
      <c r="O23" s="45"/>
      <c r="P23" s="45"/>
      <c r="Q23" s="45"/>
      <c r="R23" s="45"/>
      <c r="S23" s="45"/>
      <c r="T23" s="45"/>
      <c r="U23" s="45"/>
      <c r="V23" s="45"/>
      <c r="W23" s="45"/>
      <c r="X23" s="45"/>
      <c r="Y23" s="45"/>
      <c r="Z23" s="45"/>
      <c r="AA23" s="45"/>
      <c r="AB23" s="45"/>
      <c r="AC23" s="45"/>
      <c r="AD23" s="147" t="s">
        <v>138</v>
      </c>
      <c r="AE23" s="47"/>
      <c r="AF23" s="154"/>
    </row>
    <row r="24" spans="1:32" ht="22.5" customHeight="1" x14ac:dyDescent="0.2">
      <c r="A24" s="144" t="s">
        <v>139</v>
      </c>
      <c r="B24" s="46"/>
      <c r="C24" s="47"/>
      <c r="D24" s="167"/>
      <c r="E24" s="151"/>
      <c r="F24" s="47"/>
      <c r="G24" s="296"/>
      <c r="H24" s="47"/>
      <c r="I24" s="47"/>
      <c r="J24" s="47"/>
      <c r="K24" s="47"/>
      <c r="L24" s="47"/>
      <c r="M24" s="47"/>
      <c r="N24" s="47"/>
      <c r="O24" s="47"/>
      <c r="P24" s="47"/>
      <c r="Q24" s="47"/>
      <c r="R24" s="47"/>
      <c r="S24" s="47"/>
      <c r="T24" s="47"/>
      <c r="U24" s="47"/>
      <c r="V24" s="47"/>
      <c r="W24" s="47"/>
      <c r="X24" s="47"/>
      <c r="Y24" s="47"/>
      <c r="Z24" s="47"/>
      <c r="AA24" s="47"/>
      <c r="AB24" s="47"/>
      <c r="AC24" s="47"/>
      <c r="AD24" s="147" t="s">
        <v>139</v>
      </c>
      <c r="AE24" s="47"/>
      <c r="AF24" s="154"/>
    </row>
    <row r="25" spans="1:32" ht="22.5" customHeight="1" x14ac:dyDescent="0.2">
      <c r="A25" s="144" t="s">
        <v>147</v>
      </c>
      <c r="B25" s="46"/>
      <c r="C25" s="47"/>
      <c r="D25" s="167"/>
      <c r="E25" s="151"/>
      <c r="F25" s="47"/>
      <c r="G25" s="296"/>
      <c r="H25" s="47"/>
      <c r="I25" s="47"/>
      <c r="J25" s="47"/>
      <c r="K25" s="47"/>
      <c r="L25" s="47"/>
      <c r="M25" s="47"/>
      <c r="N25" s="47"/>
      <c r="O25" s="47"/>
      <c r="P25" s="47"/>
      <c r="Q25" s="47"/>
      <c r="R25" s="47"/>
      <c r="S25" s="47"/>
      <c r="T25" s="47"/>
      <c r="U25" s="47"/>
      <c r="V25" s="47"/>
      <c r="W25" s="47"/>
      <c r="X25" s="47"/>
      <c r="Y25" s="47"/>
      <c r="Z25" s="47"/>
      <c r="AA25" s="47"/>
      <c r="AB25" s="47"/>
      <c r="AC25" s="47"/>
      <c r="AD25" s="147" t="s">
        <v>147</v>
      </c>
      <c r="AE25" s="47"/>
      <c r="AF25" s="154"/>
    </row>
    <row r="26" spans="1:32" ht="22.5" customHeight="1" thickBot="1" x14ac:dyDescent="0.25">
      <c r="A26" s="144" t="s">
        <v>148</v>
      </c>
      <c r="B26" s="46"/>
      <c r="C26" s="47"/>
      <c r="D26" s="167"/>
      <c r="E26" s="151"/>
      <c r="F26" s="369"/>
      <c r="G26" s="410"/>
      <c r="H26" s="369"/>
      <c r="I26" s="373"/>
      <c r="J26" s="369"/>
      <c r="K26" s="369"/>
      <c r="L26" s="369"/>
      <c r="M26" s="369"/>
      <c r="N26" s="369"/>
      <c r="O26" s="369"/>
      <c r="P26" s="369"/>
      <c r="Q26" s="369"/>
      <c r="R26" s="369"/>
      <c r="S26" s="369"/>
      <c r="T26" s="369"/>
      <c r="U26" s="369"/>
      <c r="V26" s="369"/>
      <c r="W26" s="369"/>
      <c r="X26" s="369"/>
      <c r="Y26" s="369"/>
      <c r="Z26" s="369"/>
      <c r="AA26" s="369"/>
      <c r="AB26" s="369"/>
      <c r="AC26" s="369"/>
      <c r="AD26" s="147" t="s">
        <v>148</v>
      </c>
      <c r="AE26" s="47"/>
      <c r="AF26" s="154"/>
    </row>
    <row r="27" spans="1:32" ht="17.25" customHeight="1" thickBot="1" x14ac:dyDescent="0.25">
      <c r="A27" s="144" t="s">
        <v>150</v>
      </c>
      <c r="B27" s="31" t="s">
        <v>373</v>
      </c>
      <c r="C27" s="34"/>
      <c r="D27" s="34"/>
      <c r="E27" s="34"/>
      <c r="F27" s="365"/>
      <c r="G27" s="411"/>
      <c r="H27" s="156">
        <f>SUM(H12:H26)</f>
        <v>37912.160000000003</v>
      </c>
      <c r="I27" s="156">
        <f>SUM(I12:I26)</f>
        <v>6352.5</v>
      </c>
      <c r="J27" s="156"/>
      <c r="K27" s="156"/>
      <c r="L27" s="156"/>
      <c r="M27" s="157"/>
      <c r="N27" s="156"/>
      <c r="O27" s="156"/>
      <c r="P27" s="156"/>
      <c r="Q27" s="156"/>
      <c r="R27" s="156"/>
      <c r="S27" s="156"/>
      <c r="T27" s="156"/>
      <c r="U27" s="156"/>
      <c r="V27" s="156"/>
      <c r="W27" s="156"/>
      <c r="X27" s="156"/>
      <c r="Y27" s="156"/>
      <c r="Z27" s="156"/>
      <c r="AA27" s="156"/>
      <c r="AB27" s="156"/>
      <c r="AC27" s="156">
        <f>SUM(AC11:AC26)</f>
        <v>44264.66</v>
      </c>
      <c r="AD27" s="147" t="s">
        <v>150</v>
      </c>
      <c r="AE27" s="158"/>
      <c r="AF27" s="159"/>
    </row>
    <row r="28" spans="1:32" ht="17.25" customHeight="1" thickTop="1" x14ac:dyDescent="0.15">
      <c r="A28" s="806" t="s">
        <v>49</v>
      </c>
      <c r="B28" s="806"/>
      <c r="C28" s="806"/>
      <c r="D28" s="806"/>
      <c r="E28" s="806"/>
      <c r="F28" s="806"/>
      <c r="G28" s="298"/>
      <c r="I28" s="116" t="s">
        <v>50</v>
      </c>
      <c r="K28" s="160" t="s">
        <v>37</v>
      </c>
      <c r="AB28" s="807" t="s">
        <v>212</v>
      </c>
      <c r="AC28" s="808"/>
      <c r="AD28" s="808"/>
      <c r="AE28" s="808"/>
    </row>
    <row r="29" spans="1:32" ht="17.25" customHeight="1" x14ac:dyDescent="0.15">
      <c r="A29" s="807"/>
      <c r="B29" s="807"/>
      <c r="C29" s="807"/>
      <c r="D29" s="807"/>
      <c r="E29" s="807"/>
      <c r="F29" s="807"/>
      <c r="G29" s="298"/>
      <c r="H29" s="160"/>
      <c r="AB29" s="808"/>
      <c r="AC29" s="808"/>
      <c r="AD29" s="808"/>
      <c r="AE29" s="808"/>
    </row>
    <row r="30" spans="1:32" ht="24.75" customHeight="1" x14ac:dyDescent="0.2">
      <c r="A30" s="807"/>
      <c r="B30" s="807"/>
      <c r="C30" s="807"/>
      <c r="D30" s="807"/>
      <c r="E30" s="807"/>
      <c r="F30" s="807"/>
      <c r="G30" s="298"/>
      <c r="I30" s="161"/>
      <c r="J30" s="809" t="s">
        <v>200</v>
      </c>
      <c r="K30" s="809"/>
      <c r="L30" s="809"/>
      <c r="M30" s="809"/>
      <c r="N30" s="809"/>
      <c r="O30" s="809"/>
      <c r="P30" s="809"/>
      <c r="Q30" s="162"/>
      <c r="AB30" s="808"/>
      <c r="AC30" s="808"/>
      <c r="AD30" s="808"/>
      <c r="AE30" s="808"/>
    </row>
    <row r="31" spans="1:32" ht="17.25" customHeight="1" x14ac:dyDescent="0.2">
      <c r="J31" s="810" t="s">
        <v>79</v>
      </c>
      <c r="K31" s="810"/>
      <c r="L31" s="810"/>
      <c r="M31" s="810"/>
      <c r="N31" s="810"/>
      <c r="O31" s="810"/>
      <c r="P31" s="811"/>
      <c r="AB31" s="808"/>
      <c r="AC31" s="808"/>
      <c r="AD31" s="808"/>
      <c r="AE31" s="808"/>
    </row>
    <row r="32" spans="1:32" ht="17.25" customHeight="1" x14ac:dyDescent="0.2">
      <c r="D32" s="809" t="s">
        <v>399</v>
      </c>
      <c r="E32" s="809"/>
      <c r="F32" s="809"/>
      <c r="G32" s="367"/>
      <c r="H32" s="367"/>
      <c r="J32" s="810" t="s">
        <v>51</v>
      </c>
      <c r="K32" s="810"/>
      <c r="L32" s="810"/>
      <c r="M32" s="810"/>
      <c r="N32" s="810"/>
      <c r="O32" s="810"/>
      <c r="P32" s="811"/>
      <c r="AB32" s="808"/>
      <c r="AC32" s="808"/>
      <c r="AD32" s="808"/>
      <c r="AE32" s="808"/>
    </row>
    <row r="33" spans="1:32" ht="17.25" customHeight="1" x14ac:dyDescent="0.2">
      <c r="D33" s="818" t="s">
        <v>400</v>
      </c>
      <c r="E33" s="818"/>
      <c r="F33" s="818"/>
      <c r="G33" s="298"/>
      <c r="AB33" s="808"/>
      <c r="AC33" s="808"/>
      <c r="AD33" s="808"/>
      <c r="AE33" s="808"/>
    </row>
    <row r="34" spans="1:32" ht="17.25" customHeight="1" x14ac:dyDescent="0.15">
      <c r="AB34" s="808"/>
      <c r="AC34" s="808"/>
      <c r="AD34" s="808"/>
      <c r="AE34" s="808"/>
    </row>
    <row r="35" spans="1:32" ht="17.25" customHeight="1" x14ac:dyDescent="0.15">
      <c r="A35" s="164" t="s">
        <v>52</v>
      </c>
    </row>
    <row r="36" spans="1:32" ht="6" customHeight="1" x14ac:dyDescent="0.15">
      <c r="AB36" s="165"/>
      <c r="AC36" s="165"/>
      <c r="AD36" s="165"/>
      <c r="AE36" s="165"/>
    </row>
    <row r="37" spans="1:32" ht="11.25" customHeight="1" x14ac:dyDescent="0.15">
      <c r="E37" s="116" t="s">
        <v>53</v>
      </c>
      <c r="AB37" s="801" t="s">
        <v>213</v>
      </c>
      <c r="AC37" s="802"/>
      <c r="AD37" s="802"/>
      <c r="AE37" s="802"/>
    </row>
    <row r="38" spans="1:32" ht="11.25" customHeight="1" x14ac:dyDescent="0.15">
      <c r="AB38" s="802"/>
      <c r="AC38" s="802"/>
      <c r="AD38" s="802"/>
      <c r="AE38" s="802"/>
    </row>
    <row r="39" spans="1:32" ht="17.25" customHeight="1" x14ac:dyDescent="0.15">
      <c r="A39" s="164" t="s">
        <v>54</v>
      </c>
      <c r="AB39" s="802"/>
      <c r="AC39" s="802"/>
      <c r="AD39" s="802"/>
      <c r="AE39" s="802"/>
    </row>
    <row r="40" spans="1:32" ht="6.75" customHeight="1" x14ac:dyDescent="0.15">
      <c r="AB40" s="802"/>
      <c r="AC40" s="802"/>
      <c r="AD40" s="802"/>
      <c r="AE40" s="802"/>
    </row>
    <row r="41" spans="1:32" ht="16.5" customHeight="1" x14ac:dyDescent="0.15">
      <c r="C41" s="116" t="s">
        <v>56</v>
      </c>
      <c r="E41" s="116" t="s">
        <v>57</v>
      </c>
      <c r="AB41" s="802"/>
      <c r="AC41" s="802"/>
      <c r="AD41" s="802"/>
      <c r="AE41" s="802"/>
    </row>
    <row r="42" spans="1:32" ht="17.25" customHeight="1" x14ac:dyDescent="0.15">
      <c r="C42" s="803" t="s">
        <v>58</v>
      </c>
      <c r="D42" s="803"/>
      <c r="E42" s="803"/>
      <c r="AF42" s="166" t="s">
        <v>53</v>
      </c>
    </row>
  </sheetData>
  <mergeCells count="50">
    <mergeCell ref="AB37:AE41"/>
    <mergeCell ref="C42:E42"/>
    <mergeCell ref="D11:E11"/>
    <mergeCell ref="A28:F30"/>
    <mergeCell ref="AB28:AE34"/>
    <mergeCell ref="J30:P30"/>
    <mergeCell ref="J31:P31"/>
    <mergeCell ref="D32:F32"/>
    <mergeCell ref="J32:P32"/>
    <mergeCell ref="D33:F33"/>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T8:T9"/>
    <mergeCell ref="P6:Q6"/>
    <mergeCell ref="Z6:Z8"/>
    <mergeCell ref="AA6:AA8"/>
    <mergeCell ref="J5:J8"/>
    <mergeCell ref="K5:K8"/>
    <mergeCell ref="L5:L8"/>
    <mergeCell ref="U8:U9"/>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s>
  <pageMargins left="0.7" right="0.7" top="0.38" bottom="0.49" header="0.3" footer="0.3"/>
  <pageSetup paperSize="5" scale="7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F44"/>
  <sheetViews>
    <sheetView topLeftCell="A10" workbookViewId="0">
      <selection activeCell="G31" sqref="G31"/>
    </sheetView>
  </sheetViews>
  <sheetFormatPr defaultColWidth="9.140625" defaultRowHeight="17.25" customHeight="1" x14ac:dyDescent="0.15"/>
  <cols>
    <col min="1" max="1" width="3" style="163" customWidth="1"/>
    <col min="2" max="2" width="29.28515625" style="164" customWidth="1"/>
    <col min="3" max="3" width="19.85546875" style="116" customWidth="1"/>
    <col min="4" max="4" width="8.85546875" style="116" customWidth="1"/>
    <col min="5" max="5" width="9.42578125" style="116" customWidth="1"/>
    <col min="6" max="6" width="16.28515625" style="116" customWidth="1"/>
    <col min="7" max="7" width="5.85546875" style="131" customWidth="1"/>
    <col min="8" max="8" width="16.7109375" style="116" customWidth="1"/>
    <col min="9" max="9" width="9.85546875" style="116" customWidth="1"/>
    <col min="10" max="10" width="9.5703125" style="116" customWidth="1"/>
    <col min="11" max="11" width="8.85546875" style="116" customWidth="1"/>
    <col min="12" max="12" width="4.7109375" style="116" customWidth="1"/>
    <col min="13" max="13" width="3.42578125" style="116" hidden="1" customWidth="1"/>
    <col min="14" max="14" width="3.28515625" style="116" hidden="1" customWidth="1"/>
    <col min="15" max="15" width="5.42578125" style="116" customWidth="1"/>
    <col min="16" max="16" width="6" style="116" customWidth="1"/>
    <col min="17" max="17" width="7" style="116" hidden="1" customWidth="1"/>
    <col min="18" max="18" width="7.7109375" style="116" hidden="1" customWidth="1"/>
    <col min="19" max="19" width="7.28515625" style="116" customWidth="1"/>
    <col min="20" max="20" width="7" style="116" customWidth="1"/>
    <col min="21" max="21" width="4.7109375" style="116" customWidth="1"/>
    <col min="22" max="22" width="4.5703125" style="116" hidden="1" customWidth="1"/>
    <col min="23" max="23" width="5.28515625" style="116" hidden="1" customWidth="1"/>
    <col min="24" max="24" width="5.7109375" style="116" hidden="1" customWidth="1"/>
    <col min="25" max="25" width="5.5703125" style="116" hidden="1" customWidth="1"/>
    <col min="26" max="26" width="8.7109375" style="116" customWidth="1"/>
    <col min="27" max="27" width="5.28515625" style="116" customWidth="1"/>
    <col min="28" max="28" width="7" style="116" customWidth="1"/>
    <col min="29" max="29" width="14.28515625" style="116" customWidth="1"/>
    <col min="30" max="30" width="3.5703125" style="116" customWidth="1"/>
    <col min="31" max="31" width="26.7109375" style="116" customWidth="1"/>
    <col min="32" max="32" width="16.85546875" style="116" customWidth="1"/>
    <col min="33" max="16384" width="9.140625" style="116"/>
  </cols>
  <sheetData>
    <row r="1" spans="1:32" ht="24" customHeight="1" x14ac:dyDescent="0.35">
      <c r="A1" s="757" t="s">
        <v>341</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row>
    <row r="2" spans="1:32" ht="17.25" customHeight="1" x14ac:dyDescent="0.15">
      <c r="A2" s="759" t="s">
        <v>342</v>
      </c>
      <c r="B2" s="759"/>
      <c r="C2" s="759"/>
      <c r="D2" s="759"/>
      <c r="E2" s="759"/>
      <c r="F2" s="759"/>
      <c r="G2" s="759"/>
      <c r="H2" s="759"/>
      <c r="I2" s="759"/>
      <c r="J2" s="759"/>
      <c r="K2" s="759"/>
      <c r="L2" s="759"/>
      <c r="M2" s="759"/>
      <c r="N2" s="759"/>
      <c r="O2" s="759"/>
      <c r="P2" s="759"/>
      <c r="Q2" s="759"/>
      <c r="R2" s="759"/>
      <c r="S2" s="759"/>
      <c r="T2" s="759"/>
      <c r="U2" s="759"/>
      <c r="V2" s="759"/>
      <c r="W2" s="759"/>
      <c r="X2" s="759"/>
      <c r="Y2" s="759"/>
      <c r="Z2" s="759"/>
      <c r="AA2" s="759"/>
      <c r="AB2" s="759"/>
      <c r="AC2" s="759"/>
      <c r="AD2" s="759"/>
      <c r="AE2" s="759"/>
      <c r="AF2" s="759"/>
    </row>
    <row r="3" spans="1:32" ht="17.25" customHeight="1" thickBot="1" x14ac:dyDescent="0.2">
      <c r="A3" s="760"/>
      <c r="B3" s="760"/>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row>
    <row r="4" spans="1:32" s="120" customFormat="1" ht="17.25" customHeight="1" thickTop="1" x14ac:dyDescent="0.25">
      <c r="A4" s="761" t="s">
        <v>1</v>
      </c>
      <c r="B4" s="763" t="s">
        <v>2</v>
      </c>
      <c r="C4" s="765" t="s">
        <v>3</v>
      </c>
      <c r="D4" s="820" t="s">
        <v>4</v>
      </c>
      <c r="E4" s="820"/>
      <c r="F4" s="769"/>
      <c r="G4" s="294"/>
      <c r="H4" s="761" t="s">
        <v>5</v>
      </c>
      <c r="I4" s="773" t="s">
        <v>6</v>
      </c>
      <c r="J4" s="773"/>
      <c r="K4" s="773"/>
      <c r="L4" s="773"/>
      <c r="M4" s="773"/>
      <c r="N4" s="773"/>
      <c r="O4" s="773"/>
      <c r="P4" s="773"/>
      <c r="Q4" s="773"/>
      <c r="R4" s="773"/>
      <c r="S4" s="773"/>
      <c r="T4" s="773"/>
      <c r="U4" s="773"/>
      <c r="V4" s="773"/>
      <c r="W4" s="773"/>
      <c r="X4" s="117"/>
      <c r="Y4" s="117"/>
      <c r="Z4" s="117"/>
      <c r="AA4" s="117"/>
      <c r="AB4" s="118"/>
      <c r="AC4" s="119"/>
      <c r="AD4" s="119"/>
      <c r="AE4" s="119"/>
      <c r="AF4" s="119"/>
    </row>
    <row r="5" spans="1:32" s="125" customFormat="1" ht="17.25" customHeight="1" x14ac:dyDescent="0.2">
      <c r="A5" s="762"/>
      <c r="B5" s="764"/>
      <c r="C5" s="766"/>
      <c r="D5" s="774" t="s">
        <v>7</v>
      </c>
      <c r="E5" s="775" t="s">
        <v>8</v>
      </c>
      <c r="F5" s="770"/>
      <c r="G5" s="295"/>
      <c r="H5" s="771"/>
      <c r="I5" s="776" t="s">
        <v>257</v>
      </c>
      <c r="J5" s="784" t="s">
        <v>10</v>
      </c>
      <c r="K5" s="784" t="s">
        <v>11</v>
      </c>
      <c r="L5" s="784" t="s">
        <v>37</v>
      </c>
      <c r="M5" s="121"/>
      <c r="N5" s="798" t="s">
        <v>13</v>
      </c>
      <c r="O5" s="799"/>
      <c r="P5" s="799"/>
      <c r="Q5" s="799"/>
      <c r="R5" s="799"/>
      <c r="S5" s="799"/>
      <c r="T5" s="799"/>
      <c r="U5" s="799"/>
      <c r="V5" s="800"/>
      <c r="W5" s="122"/>
      <c r="X5" s="122"/>
      <c r="Y5" s="122"/>
      <c r="Z5" s="122"/>
      <c r="AA5" s="122"/>
      <c r="AB5" s="123"/>
      <c r="AC5" s="783" t="s">
        <v>14</v>
      </c>
      <c r="AD5" s="794" t="s">
        <v>15</v>
      </c>
      <c r="AE5" s="124"/>
      <c r="AF5" s="124"/>
    </row>
    <row r="6" spans="1:32" s="125" customFormat="1" ht="17.25" customHeight="1" x14ac:dyDescent="0.15">
      <c r="A6" s="762"/>
      <c r="B6" s="764"/>
      <c r="C6" s="766"/>
      <c r="D6" s="762"/>
      <c r="E6" s="762"/>
      <c r="F6" s="779" t="s">
        <v>206</v>
      </c>
      <c r="G6" s="291"/>
      <c r="H6" s="772"/>
      <c r="I6" s="777"/>
      <c r="J6" s="785"/>
      <c r="K6" s="785"/>
      <c r="L6" s="785"/>
      <c r="M6" s="781" t="s">
        <v>160</v>
      </c>
      <c r="N6" s="774" t="s">
        <v>37</v>
      </c>
      <c r="O6" s="774" t="s">
        <v>18</v>
      </c>
      <c r="P6" s="821" t="s">
        <v>19</v>
      </c>
      <c r="Q6" s="822"/>
      <c r="R6" s="796" t="s">
        <v>20</v>
      </c>
      <c r="S6" s="796"/>
      <c r="T6" s="796"/>
      <c r="U6" s="797"/>
      <c r="V6" s="126"/>
      <c r="W6" s="127"/>
      <c r="X6" s="783" t="s">
        <v>21</v>
      </c>
      <c r="Y6" s="783" t="s">
        <v>22</v>
      </c>
      <c r="Z6" s="783" t="s">
        <v>37</v>
      </c>
      <c r="AA6" s="783" t="s">
        <v>37</v>
      </c>
      <c r="AB6" s="128"/>
      <c r="AC6" s="783"/>
      <c r="AD6" s="794"/>
      <c r="AE6" s="783" t="s">
        <v>25</v>
      </c>
      <c r="AF6" s="783" t="s">
        <v>26</v>
      </c>
    </row>
    <row r="7" spans="1:32" s="125" customFormat="1" ht="17.25" customHeight="1" x14ac:dyDescent="0.15">
      <c r="A7" s="762"/>
      <c r="B7" s="764"/>
      <c r="C7" s="766"/>
      <c r="D7" s="762"/>
      <c r="E7" s="762"/>
      <c r="F7" s="780"/>
      <c r="G7" s="292"/>
      <c r="H7" s="772"/>
      <c r="I7" s="778"/>
      <c r="J7" s="767"/>
      <c r="K7" s="767"/>
      <c r="L7" s="767"/>
      <c r="M7" s="782"/>
      <c r="N7" s="772"/>
      <c r="O7" s="772"/>
      <c r="P7" s="789" t="s">
        <v>27</v>
      </c>
      <c r="Q7" s="789" t="s">
        <v>28</v>
      </c>
      <c r="R7" s="791" t="s">
        <v>29</v>
      </c>
      <c r="S7" s="791"/>
      <c r="T7" s="791"/>
      <c r="U7" s="791"/>
      <c r="V7" s="783" t="s">
        <v>30</v>
      </c>
      <c r="W7" s="792" t="s">
        <v>31</v>
      </c>
      <c r="X7" s="783"/>
      <c r="Y7" s="772"/>
      <c r="Z7" s="772"/>
      <c r="AA7" s="783"/>
      <c r="AB7" s="793" t="s">
        <v>32</v>
      </c>
      <c r="AC7" s="783"/>
      <c r="AD7" s="794"/>
      <c r="AE7" s="772"/>
      <c r="AF7" s="783"/>
    </row>
    <row r="8" spans="1:32" s="125" customFormat="1" ht="17.25" customHeight="1" x14ac:dyDescent="0.2">
      <c r="A8" s="128"/>
      <c r="B8" s="764"/>
      <c r="C8" s="767"/>
      <c r="D8" s="129"/>
      <c r="E8" s="130"/>
      <c r="F8" s="131" t="s">
        <v>205</v>
      </c>
      <c r="G8" s="299" t="s">
        <v>374</v>
      </c>
      <c r="H8" s="134"/>
      <c r="I8" s="778"/>
      <c r="J8" s="767"/>
      <c r="K8" s="767"/>
      <c r="L8" s="767"/>
      <c r="M8" s="782"/>
      <c r="N8" s="133"/>
      <c r="O8" s="133"/>
      <c r="P8" s="790"/>
      <c r="Q8" s="790"/>
      <c r="R8" s="774" t="s">
        <v>27</v>
      </c>
      <c r="S8" s="784" t="s">
        <v>28</v>
      </c>
      <c r="T8" s="774" t="s">
        <v>34</v>
      </c>
      <c r="U8" s="775" t="s">
        <v>31</v>
      </c>
      <c r="V8" s="783"/>
      <c r="W8" s="792"/>
      <c r="X8" s="783"/>
      <c r="Y8" s="772"/>
      <c r="Z8" s="772"/>
      <c r="AA8" s="783"/>
      <c r="AB8" s="793"/>
      <c r="AC8" s="783"/>
      <c r="AD8" s="795"/>
      <c r="AE8" s="772"/>
      <c r="AF8" s="783"/>
    </row>
    <row r="9" spans="1:32" s="125" customFormat="1" ht="17.25" customHeight="1" x14ac:dyDescent="0.2">
      <c r="A9" s="128"/>
      <c r="B9" s="764"/>
      <c r="C9" s="767"/>
      <c r="D9" s="129"/>
      <c r="E9" s="130"/>
      <c r="F9" s="120"/>
      <c r="G9" s="300" t="s">
        <v>375</v>
      </c>
      <c r="H9" s="134"/>
      <c r="I9" s="134" t="s">
        <v>308</v>
      </c>
      <c r="J9" s="134"/>
      <c r="K9" s="135"/>
      <c r="L9" s="136"/>
      <c r="M9" s="782"/>
      <c r="N9" s="133"/>
      <c r="O9" s="133"/>
      <c r="P9" s="130"/>
      <c r="Q9" s="137" t="s">
        <v>35</v>
      </c>
      <c r="R9" s="783"/>
      <c r="S9" s="785"/>
      <c r="T9" s="783"/>
      <c r="U9" s="788"/>
      <c r="V9" s="124"/>
      <c r="W9" s="127"/>
      <c r="X9" s="138"/>
      <c r="Y9" s="138"/>
      <c r="Z9" s="138"/>
      <c r="AA9" s="127"/>
      <c r="AB9" s="128"/>
      <c r="AC9" s="783"/>
      <c r="AD9" s="795"/>
      <c r="AE9" s="124"/>
      <c r="AF9" s="124"/>
    </row>
    <row r="10" spans="1:32" s="143" customFormat="1" ht="17.25" customHeight="1" thickBot="1" x14ac:dyDescent="0.3">
      <c r="A10" s="139">
        <v>1</v>
      </c>
      <c r="B10" s="139">
        <v>2</v>
      </c>
      <c r="C10" s="139">
        <v>3</v>
      </c>
      <c r="D10" s="139">
        <v>4</v>
      </c>
      <c r="E10" s="139">
        <v>5</v>
      </c>
      <c r="F10" s="139">
        <v>6</v>
      </c>
      <c r="G10" s="293"/>
      <c r="H10" s="139">
        <v>7</v>
      </c>
      <c r="I10" s="139">
        <v>8</v>
      </c>
      <c r="J10" s="139">
        <v>9</v>
      </c>
      <c r="K10" s="140">
        <v>10</v>
      </c>
      <c r="L10" s="139">
        <v>11</v>
      </c>
      <c r="M10" s="139">
        <v>12</v>
      </c>
      <c r="N10" s="139">
        <v>13</v>
      </c>
      <c r="O10" s="139">
        <v>12</v>
      </c>
      <c r="P10" s="139">
        <v>13</v>
      </c>
      <c r="Q10" s="139">
        <v>14</v>
      </c>
      <c r="R10" s="141">
        <v>15</v>
      </c>
      <c r="S10" s="141">
        <v>16</v>
      </c>
      <c r="T10" s="139">
        <v>17</v>
      </c>
      <c r="U10" s="139">
        <v>18</v>
      </c>
      <c r="V10" s="139">
        <v>21</v>
      </c>
      <c r="W10" s="139">
        <v>22</v>
      </c>
      <c r="X10" s="139">
        <v>23</v>
      </c>
      <c r="Y10" s="139">
        <v>24</v>
      </c>
      <c r="Z10" s="139">
        <v>19</v>
      </c>
      <c r="AA10" s="139">
        <v>20</v>
      </c>
      <c r="AB10" s="139">
        <v>21</v>
      </c>
      <c r="AC10" s="139">
        <v>22</v>
      </c>
      <c r="AD10" s="142">
        <v>23</v>
      </c>
      <c r="AE10" s="139">
        <v>24</v>
      </c>
      <c r="AF10" s="139">
        <v>25</v>
      </c>
    </row>
    <row r="11" spans="1:32" s="143" customFormat="1" ht="19.5" customHeight="1" thickTop="1" x14ac:dyDescent="0.2">
      <c r="A11" s="144"/>
      <c r="B11" s="301">
        <v>1016</v>
      </c>
      <c r="C11" s="47"/>
      <c r="D11" s="167"/>
      <c r="E11" s="151"/>
      <c r="F11" s="47"/>
      <c r="G11" s="296"/>
      <c r="H11" s="368"/>
      <c r="I11" s="368"/>
      <c r="J11" s="368"/>
      <c r="K11" s="368"/>
      <c r="L11" s="368"/>
      <c r="M11" s="368"/>
      <c r="N11" s="368"/>
      <c r="O11" s="368"/>
      <c r="P11" s="368"/>
      <c r="Q11" s="368"/>
      <c r="R11" s="368"/>
      <c r="S11" s="368"/>
      <c r="T11" s="368"/>
      <c r="U11" s="368"/>
      <c r="V11" s="368"/>
      <c r="W11" s="368"/>
      <c r="X11" s="368"/>
      <c r="Y11" s="368"/>
      <c r="Z11" s="368"/>
      <c r="AA11" s="368"/>
      <c r="AB11" s="368"/>
      <c r="AC11" s="368"/>
      <c r="AD11" s="147"/>
      <c r="AE11" s="148"/>
      <c r="AF11" s="149"/>
    </row>
    <row r="12" spans="1:32" s="143" customFormat="1" ht="22.5" customHeight="1" x14ac:dyDescent="0.2">
      <c r="A12" s="144" t="s">
        <v>38</v>
      </c>
      <c r="B12" s="46" t="s">
        <v>417</v>
      </c>
      <c r="C12" s="47" t="s">
        <v>281</v>
      </c>
      <c r="D12" s="804" t="s">
        <v>402</v>
      </c>
      <c r="E12" s="805"/>
      <c r="F12" s="47">
        <v>344.63</v>
      </c>
      <c r="G12" s="296">
        <v>12</v>
      </c>
      <c r="H12" s="47">
        <f>F12*G12</f>
        <v>4135.5599999999995</v>
      </c>
      <c r="I12" s="47"/>
      <c r="J12" s="47"/>
      <c r="K12" s="47"/>
      <c r="L12" s="47"/>
      <c r="M12" s="47"/>
      <c r="N12" s="47"/>
      <c r="O12" s="47"/>
      <c r="P12" s="47"/>
      <c r="Q12" s="47"/>
      <c r="R12" s="47"/>
      <c r="S12" s="47"/>
      <c r="T12" s="47"/>
      <c r="U12" s="47"/>
      <c r="V12" s="47"/>
      <c r="W12" s="47"/>
      <c r="X12" s="47"/>
      <c r="Y12" s="47"/>
      <c r="Z12" s="47"/>
      <c r="AA12" s="47"/>
      <c r="AB12" s="47"/>
      <c r="AC12" s="47">
        <f>SUM(H12:AB12)</f>
        <v>4135.5599999999995</v>
      </c>
      <c r="AD12" s="147"/>
      <c r="AE12" s="152"/>
      <c r="AF12" s="153"/>
    </row>
    <row r="13" spans="1:32" ht="22.5" customHeight="1" x14ac:dyDescent="0.2">
      <c r="A13" s="144" t="s">
        <v>127</v>
      </c>
      <c r="B13" s="46" t="s">
        <v>418</v>
      </c>
      <c r="C13" s="47" t="s">
        <v>281</v>
      </c>
      <c r="D13" s="167" t="s">
        <v>272</v>
      </c>
      <c r="E13" s="151" t="s">
        <v>175</v>
      </c>
      <c r="F13" s="47">
        <v>344.63</v>
      </c>
      <c r="G13" s="296">
        <v>7</v>
      </c>
      <c r="H13" s="47">
        <f>F13*G13</f>
        <v>2412.41</v>
      </c>
      <c r="I13" s="47"/>
      <c r="J13" s="47"/>
      <c r="K13" s="47"/>
      <c r="L13" s="47"/>
      <c r="M13" s="47"/>
      <c r="N13" s="47"/>
      <c r="O13" s="47"/>
      <c r="P13" s="47"/>
      <c r="Q13" s="47"/>
      <c r="R13" s="47"/>
      <c r="S13" s="47"/>
      <c r="T13" s="47"/>
      <c r="U13" s="47"/>
      <c r="V13" s="47"/>
      <c r="W13" s="47"/>
      <c r="X13" s="47"/>
      <c r="Y13" s="47"/>
      <c r="Z13" s="47"/>
      <c r="AA13" s="47"/>
      <c r="AB13" s="47"/>
      <c r="AC13" s="47">
        <f>SUM(H13:AB13)</f>
        <v>2412.41</v>
      </c>
      <c r="AD13" s="147"/>
      <c r="AE13" s="47"/>
      <c r="AF13" s="154"/>
    </row>
    <row r="14" spans="1:32" ht="19.5" customHeight="1" x14ac:dyDescent="0.2">
      <c r="A14" s="144"/>
      <c r="B14" s="301">
        <v>1021</v>
      </c>
      <c r="C14" s="47"/>
      <c r="D14" s="167"/>
      <c r="E14" s="151"/>
      <c r="F14" s="47"/>
      <c r="G14" s="296"/>
      <c r="H14" s="47"/>
      <c r="I14" s="47"/>
      <c r="J14" s="47"/>
      <c r="K14" s="47"/>
      <c r="L14" s="47"/>
      <c r="M14" s="47"/>
      <c r="N14" s="47"/>
      <c r="O14" s="47"/>
      <c r="P14" s="47"/>
      <c r="Q14" s="47"/>
      <c r="R14" s="47"/>
      <c r="S14" s="47"/>
      <c r="T14" s="47"/>
      <c r="U14" s="47"/>
      <c r="V14" s="47"/>
      <c r="W14" s="47"/>
      <c r="X14" s="47"/>
      <c r="Y14" s="47"/>
      <c r="Z14" s="47"/>
      <c r="AA14" s="47"/>
      <c r="AB14" s="47"/>
      <c r="AC14" s="47"/>
      <c r="AD14" s="147"/>
      <c r="AE14" s="47"/>
      <c r="AF14" s="154"/>
    </row>
    <row r="15" spans="1:32" ht="22.5" customHeight="1" thickBot="1" x14ac:dyDescent="0.25">
      <c r="A15" s="144" t="s">
        <v>128</v>
      </c>
      <c r="B15" s="46" t="s">
        <v>419</v>
      </c>
      <c r="C15" s="47" t="s">
        <v>281</v>
      </c>
      <c r="D15" s="167" t="s">
        <v>272</v>
      </c>
      <c r="E15" s="151" t="s">
        <v>175</v>
      </c>
      <c r="F15" s="47">
        <v>344.63</v>
      </c>
      <c r="G15" s="296">
        <v>12</v>
      </c>
      <c r="H15" s="369">
        <f>F15*G15</f>
        <v>4135.5599999999995</v>
      </c>
      <c r="I15" s="373"/>
      <c r="J15" s="369"/>
      <c r="K15" s="369"/>
      <c r="L15" s="369"/>
      <c r="M15" s="369"/>
      <c r="N15" s="369"/>
      <c r="O15" s="369"/>
      <c r="P15" s="369"/>
      <c r="Q15" s="369"/>
      <c r="R15" s="369"/>
      <c r="S15" s="369"/>
      <c r="T15" s="369"/>
      <c r="U15" s="369"/>
      <c r="V15" s="369"/>
      <c r="W15" s="369"/>
      <c r="X15" s="369"/>
      <c r="Y15" s="369"/>
      <c r="Z15" s="369"/>
      <c r="AA15" s="369"/>
      <c r="AB15" s="369"/>
      <c r="AC15" s="369">
        <f>SUM(H15:AB15)</f>
        <v>4135.5599999999995</v>
      </c>
      <c r="AD15" s="147"/>
      <c r="AE15" s="47"/>
      <c r="AF15" s="154"/>
    </row>
    <row r="16" spans="1:32" ht="22.5" customHeight="1" x14ac:dyDescent="0.2">
      <c r="A16" s="144"/>
      <c r="B16" s="301"/>
      <c r="C16" s="47"/>
      <c r="D16" s="167"/>
      <c r="E16" s="151"/>
      <c r="F16" s="47"/>
      <c r="G16" s="296"/>
      <c r="H16" s="368"/>
      <c r="I16" s="368"/>
      <c r="J16" s="368"/>
      <c r="K16" s="368"/>
      <c r="L16" s="368"/>
      <c r="M16" s="368"/>
      <c r="N16" s="368"/>
      <c r="O16" s="368"/>
      <c r="P16" s="368"/>
      <c r="Q16" s="368"/>
      <c r="R16" s="368"/>
      <c r="S16" s="368"/>
      <c r="T16" s="368"/>
      <c r="U16" s="368"/>
      <c r="V16" s="368"/>
      <c r="W16" s="368"/>
      <c r="X16" s="368"/>
      <c r="Y16" s="368"/>
      <c r="Z16" s="368"/>
      <c r="AA16" s="368"/>
      <c r="AB16" s="368"/>
      <c r="AC16" s="368"/>
      <c r="AD16" s="147"/>
      <c r="AE16" s="47"/>
      <c r="AF16" s="154"/>
    </row>
    <row r="17" spans="1:32" ht="19.5" customHeight="1" x14ac:dyDescent="0.2">
      <c r="A17" s="144"/>
      <c r="B17" s="301"/>
      <c r="C17" s="47"/>
      <c r="D17" s="167"/>
      <c r="E17" s="151"/>
      <c r="F17" s="47"/>
      <c r="G17" s="296"/>
      <c r="H17" s="45"/>
      <c r="I17" s="45"/>
      <c r="J17" s="45"/>
      <c r="K17" s="45"/>
      <c r="L17" s="45"/>
      <c r="M17" s="45"/>
      <c r="N17" s="45"/>
      <c r="O17" s="45"/>
      <c r="P17" s="45"/>
      <c r="Q17" s="45"/>
      <c r="R17" s="45"/>
      <c r="S17" s="45"/>
      <c r="T17" s="45"/>
      <c r="U17" s="45"/>
      <c r="V17" s="45"/>
      <c r="W17" s="45"/>
      <c r="X17" s="45"/>
      <c r="Y17" s="45"/>
      <c r="Z17" s="45"/>
      <c r="AA17" s="45"/>
      <c r="AB17" s="45"/>
      <c r="AC17" s="45"/>
      <c r="AD17" s="147"/>
      <c r="AE17" s="47"/>
      <c r="AF17" s="154"/>
    </row>
    <row r="18" spans="1:32" ht="22.5" customHeight="1" x14ac:dyDescent="0.2">
      <c r="A18" s="144"/>
      <c r="B18" s="46"/>
      <c r="C18" s="47"/>
      <c r="D18" s="167"/>
      <c r="E18" s="151"/>
      <c r="F18" s="47"/>
      <c r="G18" s="296"/>
      <c r="H18" s="45"/>
      <c r="I18" s="45"/>
      <c r="J18" s="45"/>
      <c r="K18" s="45"/>
      <c r="L18" s="45"/>
      <c r="M18" s="45"/>
      <c r="N18" s="45"/>
      <c r="O18" s="45"/>
      <c r="P18" s="45"/>
      <c r="Q18" s="45"/>
      <c r="R18" s="45"/>
      <c r="S18" s="45"/>
      <c r="T18" s="45"/>
      <c r="U18" s="45"/>
      <c r="V18" s="45"/>
      <c r="W18" s="45"/>
      <c r="X18" s="45"/>
      <c r="Y18" s="45"/>
      <c r="Z18" s="45"/>
      <c r="AA18" s="45"/>
      <c r="AB18" s="45"/>
      <c r="AC18" s="45"/>
      <c r="AD18" s="147"/>
      <c r="AE18" s="47"/>
      <c r="AF18" s="154"/>
    </row>
    <row r="19" spans="1:32" ht="22.5" customHeight="1" x14ac:dyDescent="0.2">
      <c r="A19" s="144"/>
      <c r="B19" s="46"/>
      <c r="C19" s="47"/>
      <c r="D19" s="167"/>
      <c r="E19" s="151"/>
      <c r="F19" s="47"/>
      <c r="G19" s="296"/>
      <c r="H19" s="47"/>
      <c r="I19" s="47"/>
      <c r="J19" s="47"/>
      <c r="K19" s="47"/>
      <c r="L19" s="47"/>
      <c r="M19" s="47"/>
      <c r="N19" s="47"/>
      <c r="O19" s="47"/>
      <c r="P19" s="47"/>
      <c r="Q19" s="47"/>
      <c r="R19" s="47"/>
      <c r="S19" s="47"/>
      <c r="T19" s="47"/>
      <c r="U19" s="47"/>
      <c r="V19" s="47"/>
      <c r="W19" s="47"/>
      <c r="X19" s="47"/>
      <c r="Y19" s="47"/>
      <c r="Z19" s="47"/>
      <c r="AA19" s="47"/>
      <c r="AB19" s="47"/>
      <c r="AC19" s="47"/>
      <c r="AD19" s="147"/>
      <c r="AE19" s="47"/>
      <c r="AF19" s="154"/>
    </row>
    <row r="20" spans="1:32" ht="22.5" customHeight="1" x14ac:dyDescent="0.2">
      <c r="A20" s="144"/>
      <c r="B20" s="46"/>
      <c r="C20" s="47"/>
      <c r="D20" s="167"/>
      <c r="E20" s="151"/>
      <c r="F20" s="47"/>
      <c r="G20" s="296"/>
      <c r="H20" s="45"/>
      <c r="I20" s="45"/>
      <c r="J20" s="45"/>
      <c r="K20" s="45"/>
      <c r="L20" s="45"/>
      <c r="M20" s="45"/>
      <c r="N20" s="45"/>
      <c r="O20" s="45"/>
      <c r="P20" s="45"/>
      <c r="Q20" s="45"/>
      <c r="R20" s="45"/>
      <c r="S20" s="45"/>
      <c r="T20" s="45"/>
      <c r="U20" s="45"/>
      <c r="V20" s="45"/>
      <c r="W20" s="45"/>
      <c r="X20" s="45"/>
      <c r="Y20" s="45"/>
      <c r="Z20" s="45"/>
      <c r="AA20" s="45"/>
      <c r="AB20" s="45"/>
      <c r="AC20" s="45"/>
      <c r="AD20" s="147"/>
      <c r="AE20" s="47"/>
      <c r="AF20" s="154"/>
    </row>
    <row r="21" spans="1:32" ht="22.5" customHeight="1" x14ac:dyDescent="0.2">
      <c r="A21" s="144"/>
      <c r="B21" s="46"/>
      <c r="C21" s="47"/>
      <c r="D21" s="167"/>
      <c r="E21" s="151"/>
      <c r="F21" s="47"/>
      <c r="G21" s="296"/>
      <c r="H21" s="45"/>
      <c r="I21" s="402"/>
      <c r="J21" s="45"/>
      <c r="K21" s="45"/>
      <c r="L21" s="45"/>
      <c r="M21" s="45"/>
      <c r="N21" s="45"/>
      <c r="O21" s="45"/>
      <c r="P21" s="45"/>
      <c r="Q21" s="45"/>
      <c r="R21" s="45"/>
      <c r="S21" s="45"/>
      <c r="T21" s="45"/>
      <c r="U21" s="45"/>
      <c r="V21" s="45"/>
      <c r="W21" s="45"/>
      <c r="X21" s="45"/>
      <c r="Y21" s="45"/>
      <c r="Z21" s="45"/>
      <c r="AA21" s="45"/>
      <c r="AB21" s="45"/>
      <c r="AC21" s="45"/>
      <c r="AD21" s="147"/>
      <c r="AE21" s="47"/>
      <c r="AF21" s="154"/>
    </row>
    <row r="22" spans="1:32" ht="22.5" customHeight="1" x14ac:dyDescent="0.2">
      <c r="A22" s="144"/>
      <c r="B22" s="46"/>
      <c r="C22" s="47"/>
      <c r="D22" s="167"/>
      <c r="E22" s="151"/>
      <c r="F22" s="47"/>
      <c r="G22" s="296"/>
      <c r="H22" s="47"/>
      <c r="I22" s="47"/>
      <c r="J22" s="47"/>
      <c r="K22" s="47"/>
      <c r="L22" s="47"/>
      <c r="M22" s="47"/>
      <c r="N22" s="47"/>
      <c r="O22" s="47"/>
      <c r="P22" s="47"/>
      <c r="Q22" s="47"/>
      <c r="R22" s="47"/>
      <c r="S22" s="47"/>
      <c r="T22" s="47"/>
      <c r="U22" s="47"/>
      <c r="V22" s="47"/>
      <c r="W22" s="47"/>
      <c r="X22" s="47"/>
      <c r="Y22" s="47"/>
      <c r="Z22" s="47"/>
      <c r="AA22" s="47"/>
      <c r="AB22" s="47"/>
      <c r="AC22" s="47"/>
      <c r="AD22" s="147"/>
      <c r="AE22" s="47"/>
      <c r="AF22" s="154"/>
    </row>
    <row r="23" spans="1:32" ht="22.5" customHeight="1" x14ac:dyDescent="0.2">
      <c r="A23" s="144"/>
      <c r="B23" s="46"/>
      <c r="C23" s="47"/>
      <c r="D23" s="167"/>
      <c r="E23" s="151"/>
      <c r="F23" s="47"/>
      <c r="G23" s="296"/>
      <c r="H23" s="47"/>
      <c r="I23" s="47"/>
      <c r="J23" s="47"/>
      <c r="K23" s="47"/>
      <c r="L23" s="47"/>
      <c r="M23" s="47"/>
      <c r="N23" s="47"/>
      <c r="O23" s="47"/>
      <c r="P23" s="47"/>
      <c r="Q23" s="47"/>
      <c r="R23" s="47"/>
      <c r="S23" s="47"/>
      <c r="T23" s="47"/>
      <c r="U23" s="47"/>
      <c r="V23" s="47"/>
      <c r="W23" s="47"/>
      <c r="X23" s="47"/>
      <c r="Y23" s="47"/>
      <c r="Z23" s="47"/>
      <c r="AA23" s="47"/>
      <c r="AB23" s="47"/>
      <c r="AC23" s="47"/>
      <c r="AD23" s="147"/>
      <c r="AE23" s="47"/>
      <c r="AF23" s="154"/>
    </row>
    <row r="24" spans="1:32" ht="19.5" customHeight="1" x14ac:dyDescent="0.2">
      <c r="A24" s="144"/>
      <c r="B24" s="301"/>
      <c r="C24" s="47"/>
      <c r="D24" s="167"/>
      <c r="E24" s="151"/>
      <c r="F24" s="47"/>
      <c r="G24" s="296"/>
      <c r="H24" s="45"/>
      <c r="I24" s="45"/>
      <c r="J24" s="45"/>
      <c r="K24" s="45"/>
      <c r="L24" s="45"/>
      <c r="M24" s="45"/>
      <c r="N24" s="45"/>
      <c r="O24" s="45"/>
      <c r="P24" s="45"/>
      <c r="Q24" s="45"/>
      <c r="R24" s="45"/>
      <c r="S24" s="45"/>
      <c r="T24" s="45"/>
      <c r="U24" s="45"/>
      <c r="V24" s="45"/>
      <c r="W24" s="45"/>
      <c r="X24" s="45"/>
      <c r="Y24" s="45"/>
      <c r="Z24" s="45"/>
      <c r="AA24" s="45"/>
      <c r="AB24" s="45"/>
      <c r="AC24" s="45"/>
      <c r="AD24" s="147"/>
      <c r="AE24" s="47"/>
      <c r="AF24" s="154"/>
    </row>
    <row r="25" spans="1:32" ht="22.5" customHeight="1" x14ac:dyDescent="0.2">
      <c r="A25" s="144"/>
      <c r="B25" s="46"/>
      <c r="C25" s="47"/>
      <c r="D25" s="167"/>
      <c r="E25" s="151"/>
      <c r="F25" s="47"/>
      <c r="G25" s="296"/>
      <c r="H25" s="45"/>
      <c r="I25" s="45"/>
      <c r="J25" s="45"/>
      <c r="K25" s="45"/>
      <c r="L25" s="45"/>
      <c r="M25" s="45"/>
      <c r="N25" s="45"/>
      <c r="O25" s="45"/>
      <c r="P25" s="45"/>
      <c r="Q25" s="45"/>
      <c r="R25" s="45"/>
      <c r="S25" s="45"/>
      <c r="T25" s="45"/>
      <c r="U25" s="45"/>
      <c r="V25" s="45"/>
      <c r="W25" s="45"/>
      <c r="X25" s="45"/>
      <c r="Y25" s="45"/>
      <c r="Z25" s="45"/>
      <c r="AA25" s="45"/>
      <c r="AB25" s="45"/>
      <c r="AC25" s="45"/>
      <c r="AD25" s="147"/>
      <c r="AE25" s="47"/>
      <c r="AF25" s="154"/>
    </row>
    <row r="26" spans="1:32" ht="22.5" customHeight="1" x14ac:dyDescent="0.2">
      <c r="A26" s="144"/>
      <c r="B26" s="46"/>
      <c r="C26" s="47"/>
      <c r="D26" s="167"/>
      <c r="E26" s="151"/>
      <c r="F26" s="47"/>
      <c r="G26" s="296"/>
      <c r="H26" s="45"/>
      <c r="I26" s="45"/>
      <c r="J26" s="45"/>
      <c r="K26" s="45"/>
      <c r="L26" s="45"/>
      <c r="M26" s="45"/>
      <c r="N26" s="45"/>
      <c r="O26" s="45"/>
      <c r="P26" s="45"/>
      <c r="Q26" s="45"/>
      <c r="R26" s="45"/>
      <c r="S26" s="45"/>
      <c r="T26" s="45"/>
      <c r="U26" s="45"/>
      <c r="V26" s="45"/>
      <c r="W26" s="45"/>
      <c r="X26" s="45"/>
      <c r="Y26" s="45"/>
      <c r="Z26" s="45"/>
      <c r="AA26" s="45"/>
      <c r="AB26" s="45"/>
      <c r="AC26" s="45"/>
      <c r="AD26" s="147"/>
      <c r="AE26" s="47"/>
      <c r="AF26" s="154"/>
    </row>
    <row r="27" spans="1:32" ht="22.5" customHeight="1" x14ac:dyDescent="0.2">
      <c r="A27" s="144"/>
      <c r="B27" s="46"/>
      <c r="C27" s="47"/>
      <c r="D27" s="167"/>
      <c r="E27" s="151"/>
      <c r="F27" s="47"/>
      <c r="G27" s="296"/>
      <c r="H27" s="45"/>
      <c r="I27" s="45"/>
      <c r="J27" s="45"/>
      <c r="K27" s="45"/>
      <c r="L27" s="45"/>
      <c r="M27" s="45"/>
      <c r="N27" s="45"/>
      <c r="O27" s="45"/>
      <c r="P27" s="45"/>
      <c r="Q27" s="45"/>
      <c r="R27" s="45"/>
      <c r="S27" s="45"/>
      <c r="T27" s="45"/>
      <c r="U27" s="45"/>
      <c r="V27" s="45"/>
      <c r="W27" s="45"/>
      <c r="X27" s="45"/>
      <c r="Y27" s="45"/>
      <c r="Z27" s="45"/>
      <c r="AA27" s="45"/>
      <c r="AB27" s="45"/>
      <c r="AC27" s="45"/>
      <c r="AD27" s="147"/>
      <c r="AE27" s="47"/>
      <c r="AF27" s="154"/>
    </row>
    <row r="28" spans="1:32" ht="22.5" customHeight="1" x14ac:dyDescent="0.2">
      <c r="A28" s="144"/>
      <c r="B28" s="46"/>
      <c r="C28" s="47"/>
      <c r="D28" s="167"/>
      <c r="E28" s="151"/>
      <c r="F28" s="47"/>
      <c r="G28" s="296"/>
      <c r="H28" s="45"/>
      <c r="I28" s="402"/>
      <c r="J28" s="45"/>
      <c r="K28" s="45"/>
      <c r="L28" s="45"/>
      <c r="M28" s="45"/>
      <c r="N28" s="45"/>
      <c r="O28" s="45"/>
      <c r="P28" s="45"/>
      <c r="Q28" s="45"/>
      <c r="R28" s="45"/>
      <c r="S28" s="45"/>
      <c r="T28" s="45"/>
      <c r="U28" s="45"/>
      <c r="V28" s="45"/>
      <c r="W28" s="45"/>
      <c r="X28" s="45"/>
      <c r="Y28" s="45"/>
      <c r="Z28" s="45"/>
      <c r="AA28" s="45"/>
      <c r="AB28" s="45"/>
      <c r="AC28" s="45"/>
      <c r="AD28" s="147"/>
      <c r="AE28" s="47"/>
      <c r="AF28" s="154"/>
    </row>
    <row r="29" spans="1:32" ht="17.25" customHeight="1" thickBot="1" x14ac:dyDescent="0.25">
      <c r="A29" s="144"/>
      <c r="B29" s="31" t="s">
        <v>373</v>
      </c>
      <c r="C29" s="34"/>
      <c r="D29" s="34"/>
      <c r="E29" s="34"/>
      <c r="F29" s="156"/>
      <c r="G29" s="297"/>
      <c r="H29" s="156">
        <f>SUM(H11:H28)</f>
        <v>10683.529999999999</v>
      </c>
      <c r="I29" s="156"/>
      <c r="J29" s="156"/>
      <c r="K29" s="156"/>
      <c r="L29" s="156"/>
      <c r="M29" s="157"/>
      <c r="N29" s="156"/>
      <c r="O29" s="156"/>
      <c r="P29" s="156"/>
      <c r="Q29" s="156"/>
      <c r="R29" s="156"/>
      <c r="S29" s="156"/>
      <c r="T29" s="156"/>
      <c r="U29" s="156"/>
      <c r="V29" s="156"/>
      <c r="W29" s="156"/>
      <c r="X29" s="156"/>
      <c r="Y29" s="156"/>
      <c r="Z29" s="156"/>
      <c r="AA29" s="156"/>
      <c r="AB29" s="156"/>
      <c r="AC29" s="156">
        <f>SUM(AC11:AC28)</f>
        <v>10683.529999999999</v>
      </c>
      <c r="AD29" s="147"/>
      <c r="AE29" s="158"/>
      <c r="AF29" s="159"/>
    </row>
    <row r="30" spans="1:32" ht="17.25" customHeight="1" thickTop="1" x14ac:dyDescent="0.15">
      <c r="A30" s="806" t="s">
        <v>49</v>
      </c>
      <c r="B30" s="806"/>
      <c r="C30" s="806"/>
      <c r="D30" s="806"/>
      <c r="E30" s="806"/>
      <c r="F30" s="806"/>
      <c r="G30" s="298"/>
      <c r="I30" s="116" t="s">
        <v>50</v>
      </c>
      <c r="K30" s="160" t="s">
        <v>37</v>
      </c>
      <c r="AB30" s="807" t="s">
        <v>212</v>
      </c>
      <c r="AC30" s="808"/>
      <c r="AD30" s="808"/>
      <c r="AE30" s="808"/>
    </row>
    <row r="31" spans="1:32" ht="17.25" customHeight="1" x14ac:dyDescent="0.15">
      <c r="A31" s="807"/>
      <c r="B31" s="807"/>
      <c r="C31" s="807"/>
      <c r="D31" s="807"/>
      <c r="E31" s="807"/>
      <c r="F31" s="807"/>
      <c r="G31" s="298"/>
      <c r="H31" s="160"/>
      <c r="AB31" s="808"/>
      <c r="AC31" s="808"/>
      <c r="AD31" s="808"/>
      <c r="AE31" s="808"/>
    </row>
    <row r="32" spans="1:32" ht="24.75" customHeight="1" x14ac:dyDescent="0.2">
      <c r="A32" s="807"/>
      <c r="B32" s="807"/>
      <c r="C32" s="807"/>
      <c r="D32" s="807"/>
      <c r="E32" s="807"/>
      <c r="F32" s="807"/>
      <c r="G32" s="298"/>
      <c r="I32" s="161"/>
      <c r="J32" s="809" t="s">
        <v>302</v>
      </c>
      <c r="K32" s="809"/>
      <c r="L32" s="809"/>
      <c r="M32" s="809"/>
      <c r="N32" s="809"/>
      <c r="O32" s="809"/>
      <c r="P32" s="809"/>
      <c r="Q32" s="162"/>
      <c r="AB32" s="808"/>
      <c r="AC32" s="808"/>
      <c r="AD32" s="808"/>
      <c r="AE32" s="808"/>
    </row>
    <row r="33" spans="1:32" ht="17.25" customHeight="1" x14ac:dyDescent="0.2">
      <c r="J33" s="810" t="s">
        <v>383</v>
      </c>
      <c r="K33" s="810"/>
      <c r="L33" s="810"/>
      <c r="M33" s="810"/>
      <c r="N33" s="810"/>
      <c r="O33" s="810"/>
      <c r="P33" s="811"/>
      <c r="AB33" s="808"/>
      <c r="AC33" s="808"/>
      <c r="AD33" s="808"/>
      <c r="AE33" s="808"/>
    </row>
    <row r="34" spans="1:32" ht="17.25" customHeight="1" x14ac:dyDescent="0.2">
      <c r="D34" s="809" t="s">
        <v>302</v>
      </c>
      <c r="E34" s="809"/>
      <c r="F34" s="809"/>
      <c r="G34" s="367"/>
      <c r="H34" s="367"/>
      <c r="J34" s="810" t="s">
        <v>51</v>
      </c>
      <c r="K34" s="810"/>
      <c r="L34" s="810"/>
      <c r="M34" s="810"/>
      <c r="N34" s="810"/>
      <c r="O34" s="810"/>
      <c r="P34" s="811"/>
      <c r="AB34" s="808"/>
      <c r="AC34" s="808"/>
      <c r="AD34" s="808"/>
      <c r="AE34" s="808"/>
    </row>
    <row r="35" spans="1:32" ht="17.25" customHeight="1" x14ac:dyDescent="0.2">
      <c r="D35" s="818" t="s">
        <v>383</v>
      </c>
      <c r="E35" s="818"/>
      <c r="F35" s="818"/>
      <c r="G35" s="298"/>
      <c r="AB35" s="808"/>
      <c r="AC35" s="808"/>
      <c r="AD35" s="808"/>
      <c r="AE35" s="808"/>
    </row>
    <row r="36" spans="1:32" ht="17.25" customHeight="1" x14ac:dyDescent="0.15">
      <c r="AB36" s="808"/>
      <c r="AC36" s="808"/>
      <c r="AD36" s="808"/>
      <c r="AE36" s="808"/>
    </row>
    <row r="37" spans="1:32" ht="17.25" customHeight="1" x14ac:dyDescent="0.15">
      <c r="A37" s="164" t="s">
        <v>52</v>
      </c>
    </row>
    <row r="38" spans="1:32" ht="6" customHeight="1" x14ac:dyDescent="0.15">
      <c r="AB38" s="165"/>
      <c r="AC38" s="165"/>
      <c r="AD38" s="165"/>
      <c r="AE38" s="165"/>
    </row>
    <row r="39" spans="1:32" ht="11.25" customHeight="1" x14ac:dyDescent="0.15">
      <c r="E39" s="116" t="s">
        <v>53</v>
      </c>
      <c r="AB39" s="801" t="s">
        <v>213</v>
      </c>
      <c r="AC39" s="802"/>
      <c r="AD39" s="802"/>
      <c r="AE39" s="802"/>
    </row>
    <row r="40" spans="1:32" ht="11.25" customHeight="1" x14ac:dyDescent="0.15">
      <c r="AB40" s="802"/>
      <c r="AC40" s="802"/>
      <c r="AD40" s="802"/>
      <c r="AE40" s="802"/>
    </row>
    <row r="41" spans="1:32" ht="17.25" customHeight="1" x14ac:dyDescent="0.15">
      <c r="A41" s="164" t="s">
        <v>54</v>
      </c>
      <c r="AB41" s="802"/>
      <c r="AC41" s="802"/>
      <c r="AD41" s="802"/>
      <c r="AE41" s="802"/>
    </row>
    <row r="42" spans="1:32" ht="6.75" customHeight="1" x14ac:dyDescent="0.15">
      <c r="AB42" s="802"/>
      <c r="AC42" s="802"/>
      <c r="AD42" s="802"/>
      <c r="AE42" s="802"/>
    </row>
    <row r="43" spans="1:32" ht="16.5" customHeight="1" x14ac:dyDescent="0.15">
      <c r="C43" s="116" t="s">
        <v>56</v>
      </c>
      <c r="E43" s="116" t="s">
        <v>57</v>
      </c>
      <c r="AB43" s="802"/>
      <c r="AC43" s="802"/>
      <c r="AD43" s="802"/>
      <c r="AE43" s="802"/>
    </row>
    <row r="44" spans="1:32" ht="17.25" customHeight="1" x14ac:dyDescent="0.15">
      <c r="C44" s="803" t="s">
        <v>58</v>
      </c>
      <c r="D44" s="803"/>
      <c r="E44" s="803"/>
      <c r="AF44" s="166" t="s">
        <v>53</v>
      </c>
    </row>
  </sheetData>
  <mergeCells count="50">
    <mergeCell ref="AB39:AE43"/>
    <mergeCell ref="C44:E44"/>
    <mergeCell ref="D12:E12"/>
    <mergeCell ref="A30:F32"/>
    <mergeCell ref="AB30:AE36"/>
    <mergeCell ref="J32:P32"/>
    <mergeCell ref="J33:P33"/>
    <mergeCell ref="D34:F34"/>
    <mergeCell ref="J34:P34"/>
    <mergeCell ref="D35:F35"/>
    <mergeCell ref="AE6:AE8"/>
    <mergeCell ref="AF6:AF8"/>
    <mergeCell ref="P7:P8"/>
    <mergeCell ref="Q7:Q8"/>
    <mergeCell ref="R7:U7"/>
    <mergeCell ref="V7:V8"/>
    <mergeCell ref="W7:W8"/>
    <mergeCell ref="AB7:AB8"/>
    <mergeCell ref="AC5:AC9"/>
    <mergeCell ref="AD5:AD9"/>
    <mergeCell ref="R6:U6"/>
    <mergeCell ref="X6:X8"/>
    <mergeCell ref="Y6:Y8"/>
    <mergeCell ref="N5:V5"/>
    <mergeCell ref="N6:N7"/>
    <mergeCell ref="O6:O7"/>
    <mergeCell ref="T8:T9"/>
    <mergeCell ref="P6:Q6"/>
    <mergeCell ref="Z6:Z8"/>
    <mergeCell ref="AA6:AA8"/>
    <mergeCell ref="J5:J8"/>
    <mergeCell ref="K5:K8"/>
    <mergeCell ref="L5:L8"/>
    <mergeCell ref="U8:U9"/>
    <mergeCell ref="A1:AF1"/>
    <mergeCell ref="A2:AF3"/>
    <mergeCell ref="A4:A7"/>
    <mergeCell ref="B4:B9"/>
    <mergeCell ref="C4:C9"/>
    <mergeCell ref="D4:E4"/>
    <mergeCell ref="F4:F5"/>
    <mergeCell ref="H4:H7"/>
    <mergeCell ref="I4:W4"/>
    <mergeCell ref="D5:D7"/>
    <mergeCell ref="E5:E7"/>
    <mergeCell ref="I5:I8"/>
    <mergeCell ref="F6:F7"/>
    <mergeCell ref="M6:M9"/>
    <mergeCell ref="R8:R9"/>
    <mergeCell ref="S8:S9"/>
  </mergeCells>
  <pageMargins left="0.7" right="0.7" top="0.75" bottom="0.75" header="0.3" footer="0.3"/>
  <pageSetup paperSize="5" scale="6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FF00"/>
  </sheetPr>
  <dimension ref="A1:AE45"/>
  <sheetViews>
    <sheetView zoomScaleSheetLayoutView="80" workbookViewId="0">
      <selection activeCell="D14" sqref="D14:E14"/>
    </sheetView>
  </sheetViews>
  <sheetFormatPr defaultColWidth="9.140625" defaultRowHeight="11.25" x14ac:dyDescent="0.2"/>
  <cols>
    <col min="1" max="1" width="3" style="105" customWidth="1"/>
    <col min="2" max="2" width="22" style="17" customWidth="1"/>
    <col min="3" max="3" width="16.42578125" style="1" customWidth="1"/>
    <col min="4" max="5" width="8.5703125" style="1" customWidth="1"/>
    <col min="6" max="6" width="8.28515625" style="176" customWidth="1"/>
    <col min="7" max="7" width="15.7109375" style="1" customWidth="1"/>
    <col min="8" max="12" width="8" style="1" hidden="1" customWidth="1"/>
    <col min="13" max="15" width="8" style="1" customWidth="1"/>
    <col min="16" max="17" width="8" style="176" customWidth="1"/>
    <col min="18" max="19" width="8" style="1" customWidth="1"/>
    <col min="20" max="25" width="8" style="1" hidden="1" customWidth="1"/>
    <col min="26" max="26" width="8" style="1" customWidth="1"/>
    <col min="27" max="27" width="16.140625" style="1" customWidth="1"/>
    <col min="28" max="28" width="3.28515625" style="1" customWidth="1"/>
    <col min="29" max="29" width="29.85546875" style="1" customWidth="1"/>
    <col min="30" max="30" width="13" style="1" customWidth="1"/>
    <col min="31" max="16384" width="9.140625" style="1"/>
  </cols>
  <sheetData>
    <row r="1" spans="1:31"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row>
    <row r="2" spans="1:31" ht="11.25" customHeight="1"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row>
    <row r="3" spans="1:31" ht="21.75" customHeight="1"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row>
    <row r="4" spans="1:31" s="4" customFormat="1" ht="15.75" customHeight="1" thickTop="1" x14ac:dyDescent="0.3">
      <c r="A4" s="866" t="s">
        <v>1</v>
      </c>
      <c r="B4" s="868" t="s">
        <v>2</v>
      </c>
      <c r="C4" s="870" t="s">
        <v>3</v>
      </c>
      <c r="D4" s="871" t="s">
        <v>4</v>
      </c>
      <c r="E4" s="871"/>
      <c r="F4" s="872"/>
      <c r="G4" s="866" t="s">
        <v>5</v>
      </c>
      <c r="H4" s="875" t="s">
        <v>6</v>
      </c>
      <c r="I4" s="876"/>
      <c r="J4" s="876"/>
      <c r="K4" s="876"/>
      <c r="L4" s="876"/>
      <c r="M4" s="876"/>
      <c r="N4" s="876"/>
      <c r="O4" s="876"/>
      <c r="P4" s="876"/>
      <c r="Q4" s="876"/>
      <c r="R4" s="876"/>
      <c r="S4" s="876"/>
      <c r="T4" s="876"/>
      <c r="U4" s="876"/>
      <c r="V4" s="110"/>
      <c r="W4" s="110"/>
      <c r="X4" s="110"/>
      <c r="Y4" s="110"/>
      <c r="Z4" s="2"/>
      <c r="AA4" s="3"/>
      <c r="AB4" s="3"/>
      <c r="AC4" s="3"/>
      <c r="AD4" s="3"/>
    </row>
    <row r="5" spans="1:31" s="8" customFormat="1" ht="13.5" customHeight="1" x14ac:dyDescent="0.2">
      <c r="A5" s="867"/>
      <c r="B5" s="869"/>
      <c r="C5" s="857"/>
      <c r="D5" s="851" t="s">
        <v>7</v>
      </c>
      <c r="E5" s="852" t="s">
        <v>8</v>
      </c>
      <c r="F5" s="873"/>
      <c r="G5" s="874"/>
      <c r="H5" s="856" t="s">
        <v>365</v>
      </c>
      <c r="I5" s="856" t="s">
        <v>366</v>
      </c>
      <c r="J5" s="856" t="s">
        <v>367</v>
      </c>
      <c r="K5" s="856" t="s">
        <v>160</v>
      </c>
      <c r="L5" s="880" t="s">
        <v>13</v>
      </c>
      <c r="M5" s="881"/>
      <c r="N5" s="881"/>
      <c r="O5" s="881"/>
      <c r="P5" s="881"/>
      <c r="Q5" s="881"/>
      <c r="R5" s="881"/>
      <c r="S5" s="881"/>
      <c r="T5" s="882"/>
      <c r="U5" s="5"/>
      <c r="V5" s="5"/>
      <c r="W5" s="5"/>
      <c r="X5" s="845" t="s">
        <v>249</v>
      </c>
      <c r="Y5" s="846"/>
      <c r="Z5" s="6"/>
      <c r="AA5" s="838" t="s">
        <v>14</v>
      </c>
      <c r="AB5" s="842" t="s">
        <v>15</v>
      </c>
      <c r="AC5" s="7"/>
      <c r="AD5" s="7"/>
    </row>
    <row r="6" spans="1:31" s="8" customFormat="1" ht="13.5" customHeight="1" x14ac:dyDescent="0.2">
      <c r="A6" s="867"/>
      <c r="B6" s="869"/>
      <c r="C6" s="857"/>
      <c r="D6" s="867"/>
      <c r="E6" s="867"/>
      <c r="F6" s="840" t="s">
        <v>16</v>
      </c>
      <c r="G6" s="839"/>
      <c r="H6" s="857"/>
      <c r="I6" s="859"/>
      <c r="J6" s="859"/>
      <c r="K6" s="859"/>
      <c r="L6" s="851" t="s">
        <v>172</v>
      </c>
      <c r="M6" s="851" t="s">
        <v>18</v>
      </c>
      <c r="N6" s="860" t="s">
        <v>230</v>
      </c>
      <c r="O6" s="861"/>
      <c r="P6" s="854" t="s">
        <v>20</v>
      </c>
      <c r="Q6" s="854"/>
      <c r="R6" s="854"/>
      <c r="S6" s="855"/>
      <c r="T6" s="9"/>
      <c r="U6" s="106"/>
      <c r="V6" s="838" t="s">
        <v>21</v>
      </c>
      <c r="W6" s="838" t="s">
        <v>22</v>
      </c>
      <c r="X6" s="847"/>
      <c r="Y6" s="848"/>
      <c r="Z6" s="10"/>
      <c r="AA6" s="838"/>
      <c r="AB6" s="842"/>
      <c r="AC6" s="838" t="s">
        <v>25</v>
      </c>
      <c r="AD6" s="838" t="s">
        <v>26</v>
      </c>
    </row>
    <row r="7" spans="1:31" s="8" customFormat="1" ht="9" customHeight="1" x14ac:dyDescent="0.15">
      <c r="A7" s="867"/>
      <c r="B7" s="869"/>
      <c r="C7" s="857"/>
      <c r="D7" s="867"/>
      <c r="E7" s="867"/>
      <c r="F7" s="841"/>
      <c r="G7" s="839"/>
      <c r="H7" s="858"/>
      <c r="I7" s="858"/>
      <c r="J7" s="858"/>
      <c r="K7" s="858"/>
      <c r="L7" s="839"/>
      <c r="M7" s="839"/>
      <c r="N7" s="877" t="s">
        <v>27</v>
      </c>
      <c r="O7" s="877" t="s">
        <v>28</v>
      </c>
      <c r="P7" s="879" t="s">
        <v>29</v>
      </c>
      <c r="Q7" s="879"/>
      <c r="R7" s="879"/>
      <c r="S7" s="879"/>
      <c r="T7" s="838" t="s">
        <v>30</v>
      </c>
      <c r="U7" s="827" t="s">
        <v>61</v>
      </c>
      <c r="V7" s="838"/>
      <c r="W7" s="839"/>
      <c r="X7" s="847"/>
      <c r="Y7" s="848"/>
      <c r="Z7" s="844" t="s">
        <v>32</v>
      </c>
      <c r="AA7" s="838"/>
      <c r="AB7" s="842"/>
      <c r="AC7" s="839"/>
      <c r="AD7" s="838"/>
    </row>
    <row r="8" spans="1:31" s="8" customFormat="1" ht="13.5" customHeight="1" x14ac:dyDescent="0.2">
      <c r="A8" s="10"/>
      <c r="B8" s="869"/>
      <c r="C8" s="858"/>
      <c r="D8" s="11"/>
      <c r="E8" s="107"/>
      <c r="F8" s="238"/>
      <c r="G8" s="114"/>
      <c r="H8" s="858"/>
      <c r="I8" s="858"/>
      <c r="J8" s="858"/>
      <c r="K8" s="858"/>
      <c r="L8" s="115"/>
      <c r="M8" s="115"/>
      <c r="N8" s="878"/>
      <c r="O8" s="878"/>
      <c r="P8" s="836" t="s">
        <v>27</v>
      </c>
      <c r="Q8" s="836" t="s">
        <v>33</v>
      </c>
      <c r="R8" s="851" t="s">
        <v>34</v>
      </c>
      <c r="S8" s="852" t="s">
        <v>222</v>
      </c>
      <c r="T8" s="838"/>
      <c r="U8" s="827"/>
      <c r="V8" s="838"/>
      <c r="W8" s="839"/>
      <c r="X8" s="849"/>
      <c r="Y8" s="850"/>
      <c r="Z8" s="844"/>
      <c r="AA8" s="838"/>
      <c r="AB8" s="843"/>
      <c r="AC8" s="839"/>
      <c r="AD8" s="838"/>
    </row>
    <row r="9" spans="1:31" s="8" customFormat="1" ht="12.75" customHeight="1" x14ac:dyDescent="0.2">
      <c r="A9" s="10"/>
      <c r="B9" s="869"/>
      <c r="C9" s="858"/>
      <c r="D9" s="11"/>
      <c r="E9" s="107"/>
      <c r="F9" s="238"/>
      <c r="G9" s="114"/>
      <c r="H9" s="7"/>
      <c r="I9" s="7"/>
      <c r="J9" s="113"/>
      <c r="K9" s="113"/>
      <c r="L9" s="115"/>
      <c r="M9" s="115"/>
      <c r="N9" s="107"/>
      <c r="O9" s="12" t="s">
        <v>37</v>
      </c>
      <c r="P9" s="837"/>
      <c r="Q9" s="837"/>
      <c r="R9" s="838"/>
      <c r="S9" s="853"/>
      <c r="T9" s="7"/>
      <c r="U9" s="106"/>
      <c r="V9" s="109"/>
      <c r="W9" s="109"/>
      <c r="X9" s="109" t="s">
        <v>23</v>
      </c>
      <c r="Y9" s="106" t="s">
        <v>250</v>
      </c>
      <c r="Z9" s="10"/>
      <c r="AA9" s="838"/>
      <c r="AB9" s="843"/>
      <c r="AC9" s="7"/>
      <c r="AD9" s="7"/>
    </row>
    <row r="10" spans="1:31" s="15" customFormat="1" ht="12" thickBot="1" x14ac:dyDescent="0.25">
      <c r="A10" s="99">
        <v>1</v>
      </c>
      <c r="B10" s="13">
        <v>2</v>
      </c>
      <c r="C10" s="13">
        <v>3</v>
      </c>
      <c r="D10" s="13">
        <v>4</v>
      </c>
      <c r="E10" s="13">
        <v>5</v>
      </c>
      <c r="F10" s="177">
        <v>6</v>
      </c>
      <c r="G10" s="13">
        <v>7</v>
      </c>
      <c r="H10" s="13">
        <v>8</v>
      </c>
      <c r="I10" s="13">
        <v>8</v>
      </c>
      <c r="J10" s="13">
        <v>9</v>
      </c>
      <c r="K10" s="13">
        <v>10</v>
      </c>
      <c r="L10" s="13">
        <v>11</v>
      </c>
      <c r="M10" s="13">
        <v>12</v>
      </c>
      <c r="N10" s="13">
        <v>13</v>
      </c>
      <c r="O10" s="13">
        <v>14</v>
      </c>
      <c r="P10" s="168">
        <v>15</v>
      </c>
      <c r="Q10" s="168">
        <v>17</v>
      </c>
      <c r="R10" s="13">
        <v>18</v>
      </c>
      <c r="S10" s="13">
        <v>20</v>
      </c>
      <c r="T10" s="13">
        <v>21</v>
      </c>
      <c r="U10" s="13">
        <v>22</v>
      </c>
      <c r="V10" s="13">
        <v>23</v>
      </c>
      <c r="W10" s="13">
        <v>24</v>
      </c>
      <c r="X10" s="13">
        <v>25</v>
      </c>
      <c r="Y10" s="13">
        <v>26</v>
      </c>
      <c r="Z10" s="13">
        <v>19</v>
      </c>
      <c r="AA10" s="13">
        <v>20</v>
      </c>
      <c r="AB10" s="13">
        <v>21</v>
      </c>
      <c r="AC10" s="13">
        <v>22</v>
      </c>
      <c r="AD10" s="13">
        <v>23</v>
      </c>
    </row>
    <row r="11" spans="1:31" s="15" customFormat="1" ht="23.25" customHeight="1" thickTop="1" x14ac:dyDescent="0.25">
      <c r="A11" s="222" t="s">
        <v>38</v>
      </c>
      <c r="B11" s="243"/>
      <c r="C11" s="215"/>
      <c r="D11" s="216"/>
      <c r="E11" s="216"/>
      <c r="F11" s="178"/>
      <c r="G11" s="41"/>
      <c r="H11" s="41"/>
      <c r="I11" s="41"/>
      <c r="J11" s="41"/>
      <c r="K11" s="41"/>
      <c r="L11" s="41"/>
      <c r="M11" s="41"/>
      <c r="N11" s="41"/>
      <c r="O11" s="41"/>
      <c r="P11" s="234"/>
      <c r="Q11" s="234"/>
      <c r="R11" s="41"/>
      <c r="S11" s="41"/>
      <c r="T11" s="41"/>
      <c r="U11" s="41"/>
      <c r="V11" s="41"/>
      <c r="W11" s="41"/>
      <c r="X11" s="41"/>
      <c r="Y11" s="41"/>
      <c r="Z11" s="41"/>
      <c r="AA11" s="259"/>
      <c r="AB11" s="222" t="s">
        <v>38</v>
      </c>
      <c r="AC11" s="208"/>
      <c r="AD11" s="22"/>
    </row>
    <row r="12" spans="1:31" s="15" customFormat="1" ht="23.25" customHeight="1" x14ac:dyDescent="0.25">
      <c r="A12" s="222" t="s">
        <v>127</v>
      </c>
      <c r="B12" s="364" t="s">
        <v>346</v>
      </c>
      <c r="C12" s="274"/>
      <c r="D12" s="275"/>
      <c r="E12" s="275"/>
      <c r="F12" s="276"/>
      <c r="G12" s="277"/>
      <c r="H12" s="277"/>
      <c r="I12" s="277"/>
      <c r="J12" s="277"/>
      <c r="K12" s="277"/>
      <c r="L12" s="277"/>
      <c r="M12" s="277"/>
      <c r="N12" s="277"/>
      <c r="O12" s="277"/>
      <c r="P12" s="278"/>
      <c r="Q12" s="278"/>
      <c r="R12" s="277"/>
      <c r="S12" s="277"/>
      <c r="T12" s="277"/>
      <c r="U12" s="277"/>
      <c r="V12" s="279"/>
      <c r="W12" s="277"/>
      <c r="X12" s="277"/>
      <c r="Y12" s="277"/>
      <c r="Z12" s="277"/>
      <c r="AA12" s="280"/>
      <c r="AB12" s="222" t="s">
        <v>127</v>
      </c>
      <c r="AC12" s="203"/>
      <c r="AD12" s="224"/>
      <c r="AE12" s="1"/>
    </row>
    <row r="13" spans="1:31" ht="23.25" customHeight="1" x14ac:dyDescent="0.25">
      <c r="A13" s="222" t="s">
        <v>128</v>
      </c>
      <c r="B13" s="281" t="s">
        <v>282</v>
      </c>
      <c r="C13" s="282" t="s">
        <v>281</v>
      </c>
      <c r="D13" s="833" t="s">
        <v>395</v>
      </c>
      <c r="E13" s="834"/>
      <c r="F13" s="283"/>
      <c r="G13" s="284">
        <v>2000</v>
      </c>
      <c r="H13" s="285"/>
      <c r="I13" s="279"/>
      <c r="J13" s="279"/>
      <c r="K13" s="285"/>
      <c r="L13" s="285"/>
      <c r="M13" s="285"/>
      <c r="N13" s="285"/>
      <c r="O13" s="285"/>
      <c r="P13" s="286"/>
      <c r="Q13" s="286"/>
      <c r="R13" s="279"/>
      <c r="S13" s="279"/>
      <c r="T13" s="279"/>
      <c r="U13" s="279"/>
      <c r="V13" s="279"/>
      <c r="W13" s="279"/>
      <c r="X13" s="279"/>
      <c r="Y13" s="279"/>
      <c r="Z13" s="285"/>
      <c r="AA13" s="285">
        <f>G13</f>
        <v>2000</v>
      </c>
      <c r="AB13" s="222" t="s">
        <v>128</v>
      </c>
      <c r="AC13" s="207"/>
      <c r="AD13" s="21"/>
      <c r="AE13" s="15"/>
    </row>
    <row r="14" spans="1:31" ht="23.25" customHeight="1" x14ac:dyDescent="0.25">
      <c r="A14" s="222" t="s">
        <v>129</v>
      </c>
      <c r="B14" s="287" t="s">
        <v>256</v>
      </c>
      <c r="C14" s="282" t="s">
        <v>281</v>
      </c>
      <c r="D14" s="831" t="s">
        <v>253</v>
      </c>
      <c r="E14" s="832"/>
      <c r="F14" s="283"/>
      <c r="G14" s="284">
        <v>2000</v>
      </c>
      <c r="H14" s="285"/>
      <c r="I14" s="285"/>
      <c r="J14" s="285"/>
      <c r="K14" s="285"/>
      <c r="L14" s="285"/>
      <c r="M14" s="285"/>
      <c r="N14" s="285"/>
      <c r="O14" s="285"/>
      <c r="P14" s="286"/>
      <c r="Q14" s="286"/>
      <c r="R14" s="285"/>
      <c r="S14" s="285"/>
      <c r="T14" s="285"/>
      <c r="U14" s="285"/>
      <c r="V14" s="285"/>
      <c r="W14" s="285"/>
      <c r="X14" s="285"/>
      <c r="Y14" s="285"/>
      <c r="Z14" s="285"/>
      <c r="AA14" s="285">
        <f>G14</f>
        <v>2000</v>
      </c>
      <c r="AB14" s="222" t="s">
        <v>129</v>
      </c>
      <c r="AC14" s="205"/>
      <c r="AD14" s="63"/>
    </row>
    <row r="15" spans="1:31" ht="23.25" customHeight="1" x14ac:dyDescent="0.25">
      <c r="A15" s="222" t="s">
        <v>130</v>
      </c>
      <c r="B15" s="287" t="s">
        <v>288</v>
      </c>
      <c r="C15" s="288" t="s">
        <v>281</v>
      </c>
      <c r="D15" s="831" t="s">
        <v>253</v>
      </c>
      <c r="E15" s="832"/>
      <c r="F15" s="283"/>
      <c r="G15" s="284">
        <v>2000</v>
      </c>
      <c r="H15" s="285"/>
      <c r="I15" s="285"/>
      <c r="J15" s="285"/>
      <c r="K15" s="285"/>
      <c r="L15" s="285"/>
      <c r="M15" s="285"/>
      <c r="N15" s="285"/>
      <c r="O15" s="279"/>
      <c r="P15" s="286"/>
      <c r="Q15" s="286"/>
      <c r="R15" s="277"/>
      <c r="S15" s="277"/>
      <c r="T15" s="277"/>
      <c r="U15" s="277"/>
      <c r="V15" s="277"/>
      <c r="W15" s="277"/>
      <c r="X15" s="277"/>
      <c r="Y15" s="277"/>
      <c r="Z15" s="285"/>
      <c r="AA15" s="285">
        <f>G15</f>
        <v>2000</v>
      </c>
      <c r="AB15" s="222" t="s">
        <v>130</v>
      </c>
      <c r="AC15" s="205"/>
      <c r="AD15" s="63"/>
    </row>
    <row r="16" spans="1:31" ht="23.25" customHeight="1" x14ac:dyDescent="0.2">
      <c r="A16" s="222" t="s">
        <v>131</v>
      </c>
      <c r="B16" s="265" t="s">
        <v>37</v>
      </c>
      <c r="C16" s="267" t="s">
        <v>37</v>
      </c>
      <c r="D16" s="268" t="s">
        <v>37</v>
      </c>
      <c r="E16" s="53" t="s">
        <v>37</v>
      </c>
      <c r="F16" s="266"/>
      <c r="G16" s="269"/>
      <c r="H16" s="269"/>
      <c r="I16" s="269"/>
      <c r="J16" s="269"/>
      <c r="K16" s="269"/>
      <c r="L16" s="269"/>
      <c r="M16" s="269"/>
      <c r="N16" s="269"/>
      <c r="O16" s="269"/>
      <c r="P16" s="270"/>
      <c r="Q16" s="270"/>
      <c r="R16" s="269"/>
      <c r="S16" s="269"/>
      <c r="T16" s="269"/>
      <c r="U16" s="269"/>
      <c r="V16" s="269"/>
      <c r="W16" s="269"/>
      <c r="X16" s="269"/>
      <c r="Y16" s="269"/>
      <c r="Z16" s="269"/>
      <c r="AA16" s="271"/>
      <c r="AB16" s="222" t="s">
        <v>131</v>
      </c>
      <c r="AC16" s="205"/>
      <c r="AD16" s="63"/>
    </row>
    <row r="17" spans="1:31" ht="23.25" customHeight="1" x14ac:dyDescent="0.2">
      <c r="A17" s="222" t="s">
        <v>132</v>
      </c>
      <c r="B17" s="263"/>
      <c r="C17" s="53"/>
      <c r="D17" s="272"/>
      <c r="E17" s="53"/>
      <c r="F17" s="264"/>
      <c r="G17" s="273"/>
      <c r="H17" s="273"/>
      <c r="I17" s="273"/>
      <c r="J17" s="273"/>
      <c r="K17" s="273"/>
      <c r="L17" s="273"/>
      <c r="M17" s="273"/>
      <c r="N17" s="273"/>
      <c r="O17" s="273"/>
      <c r="P17" s="264"/>
      <c r="Q17" s="264"/>
      <c r="R17" s="273"/>
      <c r="S17" s="273"/>
      <c r="T17" s="273"/>
      <c r="U17" s="273"/>
      <c r="V17" s="273"/>
      <c r="W17" s="273"/>
      <c r="X17" s="273"/>
      <c r="Y17" s="273"/>
      <c r="Z17" s="273"/>
      <c r="AA17" s="273"/>
      <c r="AB17" s="222" t="s">
        <v>132</v>
      </c>
      <c r="AC17" s="203"/>
      <c r="AD17" s="16"/>
      <c r="AE17"/>
    </row>
    <row r="18" spans="1:31" ht="23.25" customHeight="1" x14ac:dyDescent="0.2">
      <c r="A18" s="222" t="s">
        <v>133</v>
      </c>
      <c r="B18" s="263"/>
      <c r="C18" s="362"/>
      <c r="D18" s="272"/>
      <c r="E18" s="53"/>
      <c r="F18" s="264"/>
      <c r="G18" s="273"/>
      <c r="H18" s="273"/>
      <c r="I18" s="273"/>
      <c r="J18" s="273"/>
      <c r="K18" s="273"/>
      <c r="L18" s="273"/>
      <c r="M18" s="273"/>
      <c r="N18" s="273"/>
      <c r="O18" s="273"/>
      <c r="P18" s="264"/>
      <c r="Q18" s="264"/>
      <c r="R18" s="273"/>
      <c r="S18" s="273"/>
      <c r="T18" s="273"/>
      <c r="U18" s="273"/>
      <c r="V18" s="273"/>
      <c r="W18" s="273"/>
      <c r="X18" s="273"/>
      <c r="Y18" s="273"/>
      <c r="Z18" s="273"/>
      <c r="AA18" s="363"/>
      <c r="AB18" s="222" t="s">
        <v>133</v>
      </c>
      <c r="AC18" s="203"/>
      <c r="AD18" s="16"/>
      <c r="AE18"/>
    </row>
    <row r="19" spans="1:31" ht="23.25" customHeight="1" x14ac:dyDescent="0.2">
      <c r="A19" s="222" t="s">
        <v>65</v>
      </c>
      <c r="B19" s="263"/>
      <c r="C19" s="362"/>
      <c r="D19" s="272"/>
      <c r="E19" s="53"/>
      <c r="F19" s="264"/>
      <c r="G19" s="273"/>
      <c r="H19" s="273"/>
      <c r="I19" s="273"/>
      <c r="J19" s="273"/>
      <c r="K19" s="273"/>
      <c r="L19" s="273"/>
      <c r="M19" s="273"/>
      <c r="N19" s="273"/>
      <c r="O19" s="273"/>
      <c r="P19" s="264"/>
      <c r="Q19" s="264"/>
      <c r="R19" s="273"/>
      <c r="S19" s="273"/>
      <c r="T19" s="273"/>
      <c r="U19" s="273"/>
      <c r="V19" s="273"/>
      <c r="W19" s="273"/>
      <c r="X19" s="273"/>
      <c r="Y19" s="273"/>
      <c r="Z19" s="273"/>
      <c r="AA19" s="363"/>
      <c r="AB19" s="222" t="s">
        <v>65</v>
      </c>
      <c r="AC19" s="203"/>
      <c r="AD19" s="16"/>
      <c r="AE19"/>
    </row>
    <row r="20" spans="1:31" ht="23.25" customHeight="1" x14ac:dyDescent="0.2">
      <c r="A20" s="222" t="s">
        <v>134</v>
      </c>
      <c r="B20" s="263"/>
      <c r="C20" s="362"/>
      <c r="D20" s="272"/>
      <c r="E20" s="53"/>
      <c r="F20" s="264"/>
      <c r="G20" s="273"/>
      <c r="H20" s="273"/>
      <c r="I20" s="273"/>
      <c r="J20" s="273"/>
      <c r="K20" s="273"/>
      <c r="L20" s="273"/>
      <c r="M20" s="273"/>
      <c r="N20" s="273"/>
      <c r="O20" s="273"/>
      <c r="P20" s="264"/>
      <c r="Q20" s="264"/>
      <c r="R20" s="273"/>
      <c r="S20" s="273"/>
      <c r="T20" s="273"/>
      <c r="U20" s="273"/>
      <c r="V20" s="273"/>
      <c r="W20" s="273"/>
      <c r="X20" s="273"/>
      <c r="Y20" s="273"/>
      <c r="Z20" s="273"/>
      <c r="AA20" s="363"/>
      <c r="AB20" s="222" t="s">
        <v>134</v>
      </c>
      <c r="AC20" s="203"/>
      <c r="AD20" s="16"/>
      <c r="AE20"/>
    </row>
    <row r="21" spans="1:31" ht="23.25" customHeight="1" x14ac:dyDescent="0.2">
      <c r="A21" s="222" t="s">
        <v>135</v>
      </c>
      <c r="B21" s="30"/>
      <c r="C21" s="43"/>
      <c r="D21" s="256"/>
      <c r="E21" s="255"/>
      <c r="F21" s="179"/>
      <c r="G21" s="27"/>
      <c r="H21" s="26"/>
      <c r="I21" s="26"/>
      <c r="J21" s="26"/>
      <c r="K21" s="26"/>
      <c r="L21" s="26"/>
      <c r="M21" s="26"/>
      <c r="N21" s="26"/>
      <c r="O21" s="26"/>
      <c r="P21" s="169"/>
      <c r="Q21" s="169"/>
      <c r="R21" s="26"/>
      <c r="S21" s="26"/>
      <c r="T21" s="26"/>
      <c r="U21" s="26"/>
      <c r="V21" s="26"/>
      <c r="W21" s="26"/>
      <c r="X21" s="26"/>
      <c r="Y21" s="26"/>
      <c r="Z21" s="26"/>
      <c r="AA21" s="90"/>
      <c r="AB21" s="222" t="s">
        <v>135</v>
      </c>
      <c r="AC21" s="203"/>
      <c r="AD21" s="16"/>
    </row>
    <row r="22" spans="1:31" ht="23.25" customHeight="1" x14ac:dyDescent="0.2">
      <c r="A22" s="222" t="s">
        <v>136</v>
      </c>
      <c r="B22" s="30"/>
      <c r="C22" s="210"/>
      <c r="D22" s="210"/>
      <c r="E22" s="210"/>
      <c r="F22" s="169"/>
      <c r="G22" s="226"/>
      <c r="H22" s="226"/>
      <c r="I22" s="226"/>
      <c r="J22" s="226"/>
      <c r="K22" s="226"/>
      <c r="L22" s="226"/>
      <c r="M22" s="226"/>
      <c r="N22" s="226"/>
      <c r="O22" s="226"/>
      <c r="P22" s="237"/>
      <c r="Q22" s="237"/>
      <c r="R22" s="226"/>
      <c r="S22" s="226"/>
      <c r="T22" s="226"/>
      <c r="U22" s="226"/>
      <c r="V22" s="226"/>
      <c r="W22" s="226"/>
      <c r="X22" s="226"/>
      <c r="Y22" s="226"/>
      <c r="Z22" s="226"/>
      <c r="AA22" s="260"/>
      <c r="AB22" s="222" t="s">
        <v>136</v>
      </c>
      <c r="AC22" s="203"/>
      <c r="AD22" s="16"/>
    </row>
    <row r="23" spans="1:31" ht="23.25" customHeight="1" x14ac:dyDescent="0.2">
      <c r="A23" s="222" t="s">
        <v>137</v>
      </c>
      <c r="B23" s="247"/>
      <c r="C23" s="218"/>
      <c r="D23" s="217"/>
      <c r="E23" s="213"/>
      <c r="F23" s="179"/>
      <c r="G23" s="27"/>
      <c r="H23" s="26"/>
      <c r="I23" s="26"/>
      <c r="J23" s="26"/>
      <c r="K23" s="26"/>
      <c r="L23" s="26"/>
      <c r="M23" s="26"/>
      <c r="N23" s="26"/>
      <c r="O23" s="26"/>
      <c r="P23" s="169"/>
      <c r="Q23" s="169"/>
      <c r="R23" s="26"/>
      <c r="S23" s="26"/>
      <c r="T23" s="26"/>
      <c r="U23" s="26"/>
      <c r="V23" s="26"/>
      <c r="W23" s="26"/>
      <c r="X23" s="26"/>
      <c r="Y23" s="26"/>
      <c r="Z23" s="26"/>
      <c r="AA23" s="90"/>
      <c r="AB23" s="222" t="s">
        <v>137</v>
      </c>
      <c r="AC23" s="203"/>
      <c r="AD23" s="16"/>
    </row>
    <row r="24" spans="1:31" ht="23.25" customHeight="1" x14ac:dyDescent="0.2">
      <c r="A24" s="222" t="s">
        <v>138</v>
      </c>
      <c r="B24" s="248"/>
      <c r="C24" s="43"/>
      <c r="D24" s="256"/>
      <c r="E24" s="255"/>
      <c r="F24" s="179"/>
      <c r="G24" s="27"/>
      <c r="H24" s="26"/>
      <c r="I24" s="26"/>
      <c r="J24" s="26"/>
      <c r="K24" s="26"/>
      <c r="L24" s="26"/>
      <c r="M24" s="26"/>
      <c r="N24" s="26"/>
      <c r="O24" s="26"/>
      <c r="P24" s="169"/>
      <c r="Q24" s="169"/>
      <c r="R24" s="26"/>
      <c r="S24" s="26"/>
      <c r="T24" s="26"/>
      <c r="U24" s="26"/>
      <c r="V24" s="26"/>
      <c r="W24" s="26"/>
      <c r="X24" s="26"/>
      <c r="Y24" s="26"/>
      <c r="Z24" s="26"/>
      <c r="AA24" s="90"/>
      <c r="AB24" s="222" t="s">
        <v>138</v>
      </c>
      <c r="AC24" s="203"/>
      <c r="AD24" s="16"/>
    </row>
    <row r="25" spans="1:31" ht="23.25" customHeight="1" x14ac:dyDescent="0.2">
      <c r="A25" s="222" t="s">
        <v>139</v>
      </c>
      <c r="B25" s="30"/>
      <c r="C25" s="218"/>
      <c r="D25" s="217"/>
      <c r="E25" s="213"/>
      <c r="F25" s="179"/>
      <c r="G25" s="257"/>
      <c r="H25" s="257"/>
      <c r="I25" s="257"/>
      <c r="J25" s="257"/>
      <c r="K25" s="257"/>
      <c r="L25" s="257"/>
      <c r="M25" s="257"/>
      <c r="N25" s="257"/>
      <c r="O25" s="257"/>
      <c r="P25" s="258"/>
      <c r="Q25" s="258"/>
      <c r="R25" s="257"/>
      <c r="S25" s="257"/>
      <c r="T25" s="257"/>
      <c r="U25" s="257"/>
      <c r="V25" s="257"/>
      <c r="W25" s="257"/>
      <c r="X25" s="257"/>
      <c r="Y25" s="257"/>
      <c r="Z25" s="257"/>
      <c r="AA25" s="261"/>
      <c r="AB25" s="222" t="s">
        <v>139</v>
      </c>
      <c r="AC25" s="203"/>
      <c r="AD25" s="16"/>
    </row>
    <row r="26" spans="1:31" ht="23.25" customHeight="1" thickBot="1" x14ac:dyDescent="0.25">
      <c r="A26" s="222" t="s">
        <v>140</v>
      </c>
      <c r="B26" s="247"/>
      <c r="C26" s="218"/>
      <c r="D26" s="254"/>
      <c r="E26" s="210"/>
      <c r="F26" s="179"/>
      <c r="G26" s="37"/>
      <c r="H26" s="36"/>
      <c r="I26" s="36"/>
      <c r="J26" s="36"/>
      <c r="K26" s="36"/>
      <c r="L26" s="36"/>
      <c r="M26" s="36"/>
      <c r="N26" s="36"/>
      <c r="O26" s="36"/>
      <c r="P26" s="195"/>
      <c r="Q26" s="195"/>
      <c r="R26" s="36"/>
      <c r="S26" s="36"/>
      <c r="T26" s="36"/>
      <c r="U26" s="36"/>
      <c r="V26" s="36"/>
      <c r="W26" s="36"/>
      <c r="X26" s="36"/>
      <c r="Y26" s="36"/>
      <c r="Z26" s="36"/>
      <c r="AA26" s="262"/>
      <c r="AB26" s="222" t="s">
        <v>140</v>
      </c>
      <c r="AC26" s="204"/>
      <c r="AD26" s="20"/>
    </row>
    <row r="27" spans="1:31" ht="23.25" customHeight="1" thickBot="1" x14ac:dyDescent="0.3">
      <c r="A27" s="222" t="s">
        <v>141</v>
      </c>
      <c r="B27" s="40"/>
      <c r="C27" s="211"/>
      <c r="D27" s="211"/>
      <c r="E27" s="211"/>
      <c r="F27" s="241"/>
      <c r="G27" s="289">
        <f>SUM(G13:G26)</f>
        <v>6000</v>
      </c>
      <c r="H27" s="289"/>
      <c r="I27" s="289" t="e">
        <f>#REF!</f>
        <v>#REF!</v>
      </c>
      <c r="J27" s="289"/>
      <c r="K27" s="289"/>
      <c r="L27" s="289"/>
      <c r="M27" s="289"/>
      <c r="N27" s="289"/>
      <c r="O27" s="289"/>
      <c r="P27" s="290"/>
      <c r="Q27" s="290"/>
      <c r="R27" s="289"/>
      <c r="S27" s="289"/>
      <c r="T27" s="289"/>
      <c r="U27" s="289"/>
      <c r="V27" s="289"/>
      <c r="W27" s="289"/>
      <c r="X27" s="289"/>
      <c r="Y27" s="289"/>
      <c r="Z27" s="289"/>
      <c r="AA27" s="289">
        <f>SUM(AA13:AA26)</f>
        <v>6000</v>
      </c>
      <c r="AB27" s="222" t="s">
        <v>141</v>
      </c>
      <c r="AC27" s="206"/>
      <c r="AD27" s="49"/>
    </row>
    <row r="28" spans="1:31" ht="11.25" customHeight="1" thickTop="1" x14ac:dyDescent="0.2">
      <c r="A28"/>
      <c r="B28"/>
      <c r="C28" s="1" t="s">
        <v>37</v>
      </c>
      <c r="D28"/>
      <c r="E28"/>
      <c r="F28" s="176" t="s">
        <v>37</v>
      </c>
      <c r="G28" s="35"/>
      <c r="H28"/>
      <c r="I28"/>
      <c r="J28"/>
      <c r="K28"/>
      <c r="L28" s="35" t="s">
        <v>37</v>
      </c>
      <c r="M28"/>
      <c r="N28" s="1" t="s">
        <v>37</v>
      </c>
      <c r="O28"/>
      <c r="P28" s="176" t="s">
        <v>37</v>
      </c>
      <c r="Q28" s="176" t="s">
        <v>37</v>
      </c>
      <c r="R28"/>
      <c r="S28"/>
      <c r="T28" s="35"/>
      <c r="U28"/>
      <c r="V28"/>
      <c r="W28"/>
      <c r="X28"/>
      <c r="Y28"/>
      <c r="Z28"/>
      <c r="AA28" s="35"/>
      <c r="AB28"/>
      <c r="AC28" s="18"/>
      <c r="AD28"/>
    </row>
    <row r="29" spans="1:31" ht="11.25" customHeight="1" x14ac:dyDescent="0.2">
      <c r="A29" s="826" t="s">
        <v>49</v>
      </c>
      <c r="B29" s="826"/>
      <c r="C29" s="826"/>
      <c r="D29" s="826"/>
      <c r="E29" s="826"/>
      <c r="F29" s="826"/>
      <c r="G29" s="35"/>
      <c r="H29" s="35"/>
      <c r="I29" s="35"/>
      <c r="J29"/>
      <c r="K29" s="35"/>
      <c r="L29" s="35"/>
      <c r="M29" s="35" t="s">
        <v>382</v>
      </c>
      <c r="N29" s="35"/>
      <c r="O29" s="35"/>
      <c r="P29" s="175"/>
      <c r="Q29"/>
      <c r="R29"/>
      <c r="S29"/>
      <c r="T29"/>
      <c r="U29"/>
      <c r="V29"/>
      <c r="W29"/>
      <c r="X29"/>
      <c r="Y29"/>
      <c r="AA29" s="253"/>
      <c r="AB29" s="251"/>
      <c r="AC29" s="251"/>
      <c r="AD29" s="251"/>
      <c r="AE29"/>
    </row>
    <row r="30" spans="1:31" ht="11.25" customHeight="1" x14ac:dyDescent="0.2">
      <c r="A30" s="826"/>
      <c r="B30" s="826"/>
      <c r="C30" s="826"/>
      <c r="D30" s="826"/>
      <c r="E30" s="826"/>
      <c r="F30" s="826"/>
      <c r="G30"/>
      <c r="I30"/>
      <c r="L30" s="35"/>
      <c r="M30"/>
      <c r="N30"/>
      <c r="O30" s="35"/>
      <c r="P30" s="175"/>
      <c r="Q30" s="175"/>
      <c r="R30"/>
      <c r="S30"/>
      <c r="T30"/>
      <c r="U30"/>
      <c r="V30"/>
      <c r="W30"/>
      <c r="X30" s="35"/>
      <c r="Y30"/>
      <c r="Z30" s="826" t="s">
        <v>48</v>
      </c>
      <c r="AA30" s="826"/>
      <c r="AB30" s="826"/>
      <c r="AC30" s="826"/>
      <c r="AD30" s="826"/>
      <c r="AE30"/>
    </row>
    <row r="31" spans="1:31" ht="12.75" x14ac:dyDescent="0.2">
      <c r="A31" s="826"/>
      <c r="B31" s="826"/>
      <c r="C31" s="826"/>
      <c r="D31" s="826"/>
      <c r="E31" s="826"/>
      <c r="F31" s="826"/>
      <c r="G31"/>
      <c r="H31"/>
      <c r="I31"/>
      <c r="J31"/>
      <c r="K31" s="1" t="s">
        <v>50</v>
      </c>
      <c r="L31"/>
      <c r="M31"/>
      <c r="R31"/>
      <c r="S31"/>
      <c r="T31"/>
      <c r="U31"/>
      <c r="V31"/>
      <c r="W31"/>
      <c r="X31"/>
      <c r="Y31"/>
      <c r="Z31" s="826"/>
      <c r="AA31" s="826"/>
      <c r="AB31" s="826"/>
      <c r="AC31" s="826"/>
      <c r="AD31" s="826"/>
      <c r="AE31"/>
    </row>
    <row r="32" spans="1:31" ht="15.75" x14ac:dyDescent="0.25">
      <c r="A32" s="251"/>
      <c r="B32" s="251"/>
      <c r="C32" s="251"/>
      <c r="D32" s="251"/>
      <c r="E32" s="251"/>
      <c r="F32" s="251"/>
      <c r="G32"/>
      <c r="H32"/>
      <c r="J32" s="250"/>
      <c r="K32" s="250"/>
      <c r="M32" s="250"/>
      <c r="N32" s="835" t="s">
        <v>303</v>
      </c>
      <c r="O32" s="835"/>
      <c r="P32" s="835"/>
      <c r="Q32" s="835"/>
      <c r="R32"/>
      <c r="S32"/>
      <c r="T32"/>
      <c r="U32"/>
      <c r="V32"/>
      <c r="W32"/>
      <c r="X32"/>
      <c r="Y32"/>
      <c r="Z32" s="826"/>
      <c r="AA32" s="826"/>
      <c r="AB32" s="826"/>
      <c r="AC32" s="826"/>
      <c r="AD32" s="826"/>
      <c r="AE32"/>
    </row>
    <row r="33" spans="1:31" ht="15.75" customHeight="1" x14ac:dyDescent="0.2">
      <c r="A33"/>
      <c r="B33"/>
      <c r="C33"/>
      <c r="D33"/>
      <c r="E33"/>
      <c r="F33"/>
      <c r="G33"/>
      <c r="H33"/>
      <c r="J33" s="201"/>
      <c r="K33" s="201"/>
      <c r="M33" s="201"/>
      <c r="N33" s="824" t="s">
        <v>383</v>
      </c>
      <c r="O33" s="824"/>
      <c r="P33" s="824"/>
      <c r="Q33" s="824"/>
      <c r="R33"/>
      <c r="S33"/>
      <c r="T33"/>
      <c r="U33"/>
      <c r="V33"/>
      <c r="W33"/>
      <c r="X33"/>
      <c r="Y33"/>
      <c r="Z33" s="826"/>
      <c r="AA33" s="826"/>
      <c r="AB33" s="826"/>
      <c r="AC33" s="826"/>
      <c r="AD33" s="826"/>
      <c r="AE33"/>
    </row>
    <row r="34" spans="1:31" ht="12.75" customHeight="1" x14ac:dyDescent="0.25">
      <c r="A34"/>
      <c r="B34"/>
      <c r="C34"/>
      <c r="D34" s="828" t="s">
        <v>303</v>
      </c>
      <c r="E34" s="828"/>
      <c r="F34" s="828"/>
      <c r="G34" s="828"/>
      <c r="H34"/>
      <c r="J34" s="201"/>
      <c r="K34" s="201"/>
      <c r="L34" s="250"/>
      <c r="M34" s="250"/>
      <c r="N34" s="824" t="s">
        <v>51</v>
      </c>
      <c r="O34" s="824"/>
      <c r="P34" s="824"/>
      <c r="Q34" s="824"/>
      <c r="R34"/>
      <c r="S34"/>
      <c r="T34"/>
      <c r="U34"/>
      <c r="V34"/>
      <c r="W34"/>
      <c r="X34"/>
      <c r="Y34"/>
      <c r="Z34" s="249"/>
      <c r="AA34" s="249"/>
      <c r="AB34" s="249"/>
      <c r="AC34" s="249"/>
      <c r="AD34"/>
      <c r="AE34"/>
    </row>
    <row r="35" spans="1:31" ht="12.75" x14ac:dyDescent="0.2">
      <c r="A35"/>
      <c r="B35"/>
      <c r="C35"/>
      <c r="D35" s="829" t="s">
        <v>383</v>
      </c>
      <c r="E35" s="829"/>
      <c r="F35" s="829"/>
      <c r="G35" s="830"/>
      <c r="H35"/>
      <c r="I35"/>
      <c r="J35"/>
      <c r="K35"/>
      <c r="L35" s="201"/>
      <c r="M35" s="201"/>
      <c r="O35" s="201"/>
      <c r="P35" s="201"/>
      <c r="Q35" s="201"/>
      <c r="R35"/>
      <c r="S35"/>
      <c r="T35"/>
      <c r="U35"/>
      <c r="V35"/>
      <c r="W35"/>
      <c r="X35"/>
      <c r="Y35"/>
      <c r="Z35" s="249"/>
      <c r="AA35" s="252"/>
      <c r="AB35" s="252"/>
      <c r="AC35" s="252"/>
      <c r="AD35"/>
      <c r="AE35"/>
    </row>
    <row r="36" spans="1:31" ht="16.5" customHeight="1" x14ac:dyDescent="0.2">
      <c r="A36"/>
      <c r="B36"/>
      <c r="C36"/>
      <c r="H36"/>
      <c r="I36"/>
      <c r="J36"/>
      <c r="K36"/>
      <c r="L36" s="824"/>
      <c r="M36" s="824"/>
      <c r="N36" s="824"/>
      <c r="O36"/>
      <c r="P36"/>
      <c r="Q36"/>
      <c r="R36"/>
      <c r="S36"/>
      <c r="T36"/>
      <c r="U36"/>
      <c r="V36"/>
      <c r="W36"/>
      <c r="X36"/>
      <c r="Y36"/>
      <c r="Z36"/>
      <c r="AA36"/>
      <c r="AB36"/>
      <c r="AC36" s="18"/>
      <c r="AD36"/>
      <c r="AE36"/>
    </row>
    <row r="37" spans="1:31" ht="11.25" customHeight="1" x14ac:dyDescent="0.2">
      <c r="A37" s="17" t="s">
        <v>52</v>
      </c>
      <c r="B37"/>
      <c r="C37"/>
      <c r="D37"/>
      <c r="E37"/>
      <c r="H37"/>
      <c r="I37"/>
      <c r="J37"/>
      <c r="K37"/>
      <c r="L37"/>
      <c r="M37"/>
      <c r="N37"/>
      <c r="O37"/>
      <c r="P37"/>
      <c r="Q37"/>
      <c r="R37"/>
      <c r="S37"/>
      <c r="T37"/>
      <c r="U37"/>
      <c r="V37"/>
      <c r="W37"/>
      <c r="X37"/>
      <c r="Y37"/>
      <c r="Z37" s="825" t="s">
        <v>55</v>
      </c>
      <c r="AA37" s="825"/>
      <c r="AB37" s="825"/>
      <c r="AC37" s="825"/>
      <c r="AD37" s="825"/>
      <c r="AE37"/>
    </row>
    <row r="38" spans="1:31" ht="11.25" customHeight="1" x14ac:dyDescent="0.2">
      <c r="A38"/>
      <c r="B38"/>
      <c r="C38"/>
      <c r="D38"/>
      <c r="E38"/>
      <c r="H38"/>
      <c r="I38"/>
      <c r="J38"/>
      <c r="K38"/>
      <c r="L38"/>
      <c r="M38"/>
      <c r="N38"/>
      <c r="O38"/>
      <c r="P38"/>
      <c r="Q38"/>
      <c r="R38"/>
      <c r="S38"/>
      <c r="T38"/>
      <c r="U38"/>
      <c r="V38"/>
      <c r="W38"/>
      <c r="X38"/>
      <c r="Y38"/>
      <c r="Z38" s="825"/>
      <c r="AA38" s="825"/>
      <c r="AB38" s="825"/>
      <c r="AC38" s="825"/>
      <c r="AD38" s="825"/>
      <c r="AE38"/>
    </row>
    <row r="39" spans="1:31" ht="11.25" customHeight="1" x14ac:dyDescent="0.2">
      <c r="A39"/>
      <c r="B39"/>
      <c r="C39"/>
      <c r="D39"/>
      <c r="E39" s="1" t="s">
        <v>53</v>
      </c>
      <c r="F39"/>
      <c r="G39"/>
      <c r="H39"/>
      <c r="I39"/>
      <c r="J39"/>
      <c r="K39"/>
      <c r="L39"/>
      <c r="M39"/>
      <c r="P39" s="1"/>
      <c r="Q39"/>
      <c r="R39"/>
      <c r="S39"/>
      <c r="T39"/>
      <c r="U39"/>
      <c r="V39"/>
      <c r="W39"/>
      <c r="X39"/>
      <c r="Y39"/>
      <c r="Z39" s="825"/>
      <c r="AA39" s="825"/>
      <c r="AB39" s="825"/>
      <c r="AC39" s="825"/>
      <c r="AD39" s="825"/>
      <c r="AE39"/>
    </row>
    <row r="40" spans="1:31" ht="11.25" customHeight="1" x14ac:dyDescent="0.2">
      <c r="A40" s="17" t="s">
        <v>54</v>
      </c>
      <c r="B40"/>
      <c r="C40"/>
      <c r="D40"/>
      <c r="E40"/>
      <c r="F40"/>
      <c r="G40"/>
      <c r="H40"/>
      <c r="I40"/>
      <c r="J40"/>
      <c r="K40"/>
      <c r="L40"/>
      <c r="M40"/>
      <c r="P40" s="1"/>
      <c r="Q40"/>
      <c r="R40"/>
      <c r="S40"/>
      <c r="T40"/>
      <c r="U40"/>
      <c r="V40"/>
      <c r="W40"/>
      <c r="X40"/>
      <c r="Y40"/>
      <c r="Z40" s="249"/>
      <c r="AA40" s="249"/>
      <c r="AB40" s="249"/>
      <c r="AC40" s="249"/>
      <c r="AD40"/>
      <c r="AE40"/>
    </row>
    <row r="41" spans="1:31" ht="11.25" customHeight="1" x14ac:dyDescent="0.2">
      <c r="A41"/>
      <c r="B41"/>
      <c r="C41" s="1" t="s">
        <v>56</v>
      </c>
      <c r="D41"/>
      <c r="E41" s="1" t="s">
        <v>57</v>
      </c>
      <c r="F41"/>
      <c r="G41"/>
      <c r="H41"/>
      <c r="I41"/>
      <c r="J41"/>
      <c r="K41"/>
      <c r="L41"/>
      <c r="M41"/>
      <c r="P41" s="1"/>
      <c r="Q41"/>
      <c r="R41"/>
      <c r="S41"/>
      <c r="T41"/>
      <c r="U41"/>
      <c r="V41"/>
      <c r="W41"/>
      <c r="X41"/>
      <c r="Y41"/>
      <c r="Z41" s="249"/>
      <c r="AA41" s="252"/>
      <c r="AB41" s="252"/>
      <c r="AC41" s="252"/>
      <c r="AD41" s="19" t="s">
        <v>53</v>
      </c>
      <c r="AE41"/>
    </row>
    <row r="42" spans="1:31" ht="11.25" customHeight="1" x14ac:dyDescent="0.2">
      <c r="F42"/>
      <c r="G42"/>
      <c r="H42"/>
      <c r="I42"/>
      <c r="J42"/>
      <c r="K42"/>
      <c r="L42"/>
      <c r="M42"/>
      <c r="N42"/>
      <c r="O42"/>
      <c r="P42"/>
      <c r="Q42"/>
      <c r="R42"/>
      <c r="S42"/>
      <c r="T42"/>
      <c r="U42"/>
      <c r="V42"/>
      <c r="W42"/>
      <c r="X42"/>
      <c r="Y42"/>
      <c r="Z42" s="104"/>
      <c r="AA42" s="104"/>
      <c r="AB42" s="104"/>
      <c r="AC42" s="104"/>
    </row>
    <row r="45" spans="1:31" ht="12.75" x14ac:dyDescent="0.2">
      <c r="F45"/>
      <c r="G45"/>
      <c r="H45"/>
      <c r="I45"/>
      <c r="J45"/>
      <c r="K45"/>
      <c r="L45"/>
      <c r="M45"/>
      <c r="N45"/>
      <c r="O45"/>
      <c r="P45"/>
      <c r="Q45"/>
      <c r="R45"/>
      <c r="S45"/>
      <c r="T45"/>
      <c r="U45"/>
      <c r="V45"/>
      <c r="W45"/>
      <c r="X45"/>
      <c r="Y45"/>
      <c r="Z45"/>
      <c r="AA45"/>
      <c r="AB45"/>
      <c r="AC45"/>
    </row>
  </sheetData>
  <mergeCells count="50">
    <mergeCell ref="A1:AD1"/>
    <mergeCell ref="A2:AD3"/>
    <mergeCell ref="A4:A7"/>
    <mergeCell ref="B4:B9"/>
    <mergeCell ref="C4:C9"/>
    <mergeCell ref="D4:E4"/>
    <mergeCell ref="F4:F5"/>
    <mergeCell ref="G4:G7"/>
    <mergeCell ref="H4:U4"/>
    <mergeCell ref="D5:D7"/>
    <mergeCell ref="AD6:AD8"/>
    <mergeCell ref="N7:N8"/>
    <mergeCell ref="O7:O8"/>
    <mergeCell ref="P7:S7"/>
    <mergeCell ref="L5:T5"/>
    <mergeCell ref="E5:E7"/>
    <mergeCell ref="H5:H8"/>
    <mergeCell ref="I5:I8"/>
    <mergeCell ref="J5:J8"/>
    <mergeCell ref="K5:K8"/>
    <mergeCell ref="V6:V8"/>
    <mergeCell ref="L6:L7"/>
    <mergeCell ref="M6:M7"/>
    <mergeCell ref="N6:O6"/>
    <mergeCell ref="AA5:AA9"/>
    <mergeCell ref="AB5:AB9"/>
    <mergeCell ref="Z7:Z8"/>
    <mergeCell ref="P8:P9"/>
    <mergeCell ref="X5:Y8"/>
    <mergeCell ref="T7:T8"/>
    <mergeCell ref="W6:W8"/>
    <mergeCell ref="R8:R9"/>
    <mergeCell ref="S8:S9"/>
    <mergeCell ref="P6:S6"/>
    <mergeCell ref="L36:N36"/>
    <mergeCell ref="Z37:AD39"/>
    <mergeCell ref="Z30:AD33"/>
    <mergeCell ref="U7:U8"/>
    <mergeCell ref="D34:G34"/>
    <mergeCell ref="D35:G35"/>
    <mergeCell ref="A29:F31"/>
    <mergeCell ref="D15:E15"/>
    <mergeCell ref="D13:E13"/>
    <mergeCell ref="D14:E14"/>
    <mergeCell ref="N32:Q32"/>
    <mergeCell ref="N33:Q33"/>
    <mergeCell ref="N34:Q34"/>
    <mergeCell ref="Q8:Q9"/>
    <mergeCell ref="AC6:AC8"/>
    <mergeCell ref="F6:F7"/>
  </mergeCells>
  <pageMargins left="0.4" right="0.33" top="0.36" bottom="0.14000000000000001" header="0.35" footer="0.13"/>
  <pageSetup paperSize="256" scale="75" orientation="landscape" verticalDpi="300" r:id="rId1"/>
  <headerFooter alignWithMargins="0">
    <oddFooter>&amp;C&amp;P</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FF00"/>
  </sheetPr>
  <dimension ref="A1:AF94"/>
  <sheetViews>
    <sheetView topLeftCell="A50" zoomScaleSheetLayoutView="80" workbookViewId="0">
      <selection activeCell="B64" sqref="B64"/>
    </sheetView>
  </sheetViews>
  <sheetFormatPr defaultColWidth="9.140625" defaultRowHeight="11.25" x14ac:dyDescent="0.2"/>
  <cols>
    <col min="1" max="1" width="3" style="105" customWidth="1"/>
    <col min="2" max="2" width="28.85546875" style="17" customWidth="1"/>
    <col min="3" max="3" width="13" style="1" customWidth="1"/>
    <col min="4" max="5" width="7.28515625" style="1" customWidth="1"/>
    <col min="6" max="6" width="10" style="176" customWidth="1"/>
    <col min="7" max="7" width="13.85546875" style="1" customWidth="1"/>
    <col min="8" max="8" width="11.85546875" style="1" customWidth="1"/>
    <col min="9" max="9" width="11.5703125" style="1" customWidth="1"/>
    <col min="10" max="10" width="10.42578125" style="1" customWidth="1"/>
    <col min="11" max="11" width="10" style="1" customWidth="1"/>
    <col min="12" max="12" width="1.7109375" style="1" hidden="1" customWidth="1"/>
    <col min="13" max="13" width="10.7109375" style="1" customWidth="1"/>
    <col min="14" max="14" width="10.5703125" style="1" customWidth="1"/>
    <col min="15" max="15" width="11.140625" style="1" customWidth="1"/>
    <col min="16" max="16" width="10.5703125" style="1" customWidth="1"/>
    <col min="17" max="17" width="12" style="176" customWidth="1"/>
    <col min="18" max="18" width="12.5703125" style="176" customWidth="1"/>
    <col min="19" max="19" width="9.85546875" style="1" customWidth="1"/>
    <col min="20" max="20" width="11.5703125" style="1" customWidth="1"/>
    <col min="21" max="21" width="11.7109375" style="1" customWidth="1"/>
    <col min="22" max="22" width="9.140625" style="1" hidden="1" customWidth="1"/>
    <col min="23" max="23" width="5.5703125" style="1" hidden="1" customWidth="1"/>
    <col min="24" max="24" width="10.140625" style="1" hidden="1" customWidth="1"/>
    <col min="25" max="25" width="10.140625" style="1" customWidth="1"/>
    <col min="26" max="26" width="10.5703125" style="1" customWidth="1"/>
    <col min="27" max="27" width="11.42578125" style="1" customWidth="1"/>
    <col min="28" max="28" width="14.85546875" style="1" customWidth="1"/>
    <col min="29" max="29" width="3.28515625" style="1" customWidth="1"/>
    <col min="30" max="30" width="37.140625" style="1" customWidth="1"/>
    <col min="31" max="31" width="13" style="1" customWidth="1"/>
    <col min="32" max="16384" width="9.140625" style="1"/>
  </cols>
  <sheetData>
    <row r="1" spans="1:32"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row>
    <row r="2" spans="1:32" ht="11.25" customHeight="1"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s="864"/>
      <c r="AF2"/>
    </row>
    <row r="3" spans="1:32" ht="21.75" customHeight="1"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s="865"/>
      <c r="AF3"/>
    </row>
    <row r="4" spans="1:32" s="4" customFormat="1" ht="15.75" customHeight="1" thickTop="1" x14ac:dyDescent="0.3">
      <c r="A4" s="866" t="s">
        <v>1</v>
      </c>
      <c r="B4" s="868" t="s">
        <v>2</v>
      </c>
      <c r="C4" s="870" t="s">
        <v>3</v>
      </c>
      <c r="D4" s="871" t="s">
        <v>4</v>
      </c>
      <c r="E4" s="871"/>
      <c r="F4" s="872"/>
      <c r="G4" s="866" t="s">
        <v>5</v>
      </c>
      <c r="H4" s="875" t="s">
        <v>6</v>
      </c>
      <c r="I4" s="876"/>
      <c r="J4" s="876"/>
      <c r="K4" s="876"/>
      <c r="L4" s="876"/>
      <c r="M4" s="876"/>
      <c r="N4" s="876"/>
      <c r="O4" s="876"/>
      <c r="P4" s="876"/>
      <c r="Q4" s="876"/>
      <c r="R4" s="876"/>
      <c r="S4" s="876"/>
      <c r="T4" s="876"/>
      <c r="U4" s="876"/>
      <c r="V4" s="876"/>
      <c r="W4" s="110"/>
      <c r="X4" s="110"/>
      <c r="Y4" s="110"/>
      <c r="Z4" s="110"/>
      <c r="AA4" s="2"/>
      <c r="AB4" s="3"/>
      <c r="AC4" s="3"/>
      <c r="AD4" s="3"/>
      <c r="AE4" s="3"/>
    </row>
    <row r="5" spans="1:32" s="8" customFormat="1" ht="13.5" customHeight="1" x14ac:dyDescent="0.2">
      <c r="A5" s="867"/>
      <c r="B5" s="869"/>
      <c r="C5" s="857"/>
      <c r="D5" s="851" t="s">
        <v>7</v>
      </c>
      <c r="E5" s="852" t="s">
        <v>8</v>
      </c>
      <c r="F5" s="873"/>
      <c r="G5" s="874"/>
      <c r="H5" s="856" t="s">
        <v>365</v>
      </c>
      <c r="I5" s="856" t="s">
        <v>366</v>
      </c>
      <c r="J5" s="856" t="s">
        <v>367</v>
      </c>
      <c r="K5" s="856" t="s">
        <v>160</v>
      </c>
      <c r="L5" s="111"/>
      <c r="M5" s="880" t="s">
        <v>13</v>
      </c>
      <c r="N5" s="881"/>
      <c r="O5" s="881"/>
      <c r="P5" s="881"/>
      <c r="Q5" s="881"/>
      <c r="R5" s="881"/>
      <c r="S5" s="881"/>
      <c r="T5" s="881"/>
      <c r="U5" s="882"/>
      <c r="V5" s="5"/>
      <c r="W5" s="5"/>
      <c r="X5" s="5"/>
      <c r="Y5" s="845" t="s">
        <v>249</v>
      </c>
      <c r="Z5" s="846"/>
      <c r="AA5" s="6"/>
      <c r="AB5" s="838" t="s">
        <v>14</v>
      </c>
      <c r="AC5" s="842" t="s">
        <v>15</v>
      </c>
      <c r="AD5" s="7"/>
      <c r="AE5" s="7"/>
    </row>
    <row r="6" spans="1:32" s="8" customFormat="1" ht="13.5" customHeight="1" x14ac:dyDescent="0.2">
      <c r="A6" s="867"/>
      <c r="B6" s="869"/>
      <c r="C6" s="857"/>
      <c r="D6" s="867"/>
      <c r="E6" s="867"/>
      <c r="F6" s="840" t="s">
        <v>16</v>
      </c>
      <c r="G6" s="839"/>
      <c r="H6" s="857"/>
      <c r="I6" s="859"/>
      <c r="J6" s="859"/>
      <c r="K6" s="859"/>
      <c r="L6" s="859"/>
      <c r="M6" s="851" t="s">
        <v>172</v>
      </c>
      <c r="N6" s="851" t="s">
        <v>18</v>
      </c>
      <c r="O6" s="860" t="s">
        <v>230</v>
      </c>
      <c r="P6" s="861"/>
      <c r="Q6" s="854" t="s">
        <v>20</v>
      </c>
      <c r="R6" s="854"/>
      <c r="S6" s="854"/>
      <c r="T6" s="855"/>
      <c r="U6" s="9"/>
      <c r="V6" s="106"/>
      <c r="W6" s="838" t="s">
        <v>21</v>
      </c>
      <c r="X6" s="838" t="s">
        <v>22</v>
      </c>
      <c r="Y6" s="847"/>
      <c r="Z6" s="848"/>
      <c r="AA6" s="10"/>
      <c r="AB6" s="838"/>
      <c r="AC6" s="842"/>
      <c r="AD6" s="838" t="s">
        <v>25</v>
      </c>
      <c r="AE6" s="838" t="s">
        <v>26</v>
      </c>
    </row>
    <row r="7" spans="1:32" s="8" customFormat="1" ht="9" customHeight="1" x14ac:dyDescent="0.15">
      <c r="A7" s="867"/>
      <c r="B7" s="869"/>
      <c r="C7" s="857"/>
      <c r="D7" s="867"/>
      <c r="E7" s="867"/>
      <c r="F7" s="841"/>
      <c r="G7" s="839"/>
      <c r="H7" s="858"/>
      <c r="I7" s="858"/>
      <c r="J7" s="858"/>
      <c r="K7" s="858"/>
      <c r="L7" s="886"/>
      <c r="M7" s="839"/>
      <c r="N7" s="839"/>
      <c r="O7" s="877" t="s">
        <v>27</v>
      </c>
      <c r="P7" s="877" t="s">
        <v>28</v>
      </c>
      <c r="Q7" s="879" t="s">
        <v>29</v>
      </c>
      <c r="R7" s="879"/>
      <c r="S7" s="879"/>
      <c r="T7" s="879"/>
      <c r="U7" s="838" t="s">
        <v>30</v>
      </c>
      <c r="V7" s="827" t="s">
        <v>61</v>
      </c>
      <c r="W7" s="838"/>
      <c r="X7" s="839"/>
      <c r="Y7" s="847"/>
      <c r="Z7" s="848"/>
      <c r="AA7" s="844" t="s">
        <v>32</v>
      </c>
      <c r="AB7" s="838"/>
      <c r="AC7" s="842"/>
      <c r="AD7" s="839"/>
      <c r="AE7" s="838"/>
    </row>
    <row r="8" spans="1:32" s="8" customFormat="1" ht="13.5" customHeight="1" x14ac:dyDescent="0.2">
      <c r="A8" s="10"/>
      <c r="B8" s="869"/>
      <c r="C8" s="858"/>
      <c r="D8" s="11"/>
      <c r="E8" s="107"/>
      <c r="F8" s="238"/>
      <c r="G8" s="114"/>
      <c r="H8" s="858"/>
      <c r="I8" s="858"/>
      <c r="J8" s="858"/>
      <c r="K8" s="858"/>
      <c r="L8" s="886"/>
      <c r="M8" s="115"/>
      <c r="N8" s="115"/>
      <c r="O8" s="878"/>
      <c r="P8" s="878"/>
      <c r="Q8" s="836" t="s">
        <v>27</v>
      </c>
      <c r="R8" s="836" t="s">
        <v>33</v>
      </c>
      <c r="S8" s="851" t="s">
        <v>34</v>
      </c>
      <c r="T8" s="852" t="s">
        <v>222</v>
      </c>
      <c r="U8" s="838"/>
      <c r="V8" s="827"/>
      <c r="W8" s="838"/>
      <c r="X8" s="839"/>
      <c r="Y8" s="849"/>
      <c r="Z8" s="850"/>
      <c r="AA8" s="844"/>
      <c r="AB8" s="838"/>
      <c r="AC8" s="843"/>
      <c r="AD8" s="839"/>
      <c r="AE8" s="838"/>
    </row>
    <row r="9" spans="1:32" s="8" customFormat="1" ht="12.75" customHeight="1" x14ac:dyDescent="0.2">
      <c r="A9" s="10"/>
      <c r="B9" s="869"/>
      <c r="C9" s="858"/>
      <c r="D9" s="11"/>
      <c r="E9" s="107"/>
      <c r="F9" s="238"/>
      <c r="G9" s="114"/>
      <c r="H9" s="7"/>
      <c r="I9" s="7"/>
      <c r="J9" s="113"/>
      <c r="K9" s="113"/>
      <c r="L9" s="886"/>
      <c r="M9" s="115"/>
      <c r="N9" s="115"/>
      <c r="O9" s="107"/>
      <c r="P9" s="12" t="s">
        <v>37</v>
      </c>
      <c r="Q9" s="837"/>
      <c r="R9" s="837"/>
      <c r="S9" s="838"/>
      <c r="T9" s="853"/>
      <c r="U9" s="7"/>
      <c r="V9" s="106"/>
      <c r="W9" s="109"/>
      <c r="X9" s="109"/>
      <c r="Y9" s="109" t="s">
        <v>23</v>
      </c>
      <c r="Z9" s="106" t="s">
        <v>250</v>
      </c>
      <c r="AA9" s="10"/>
      <c r="AB9" s="838"/>
      <c r="AC9" s="843"/>
      <c r="AD9" s="7"/>
      <c r="AE9" s="7"/>
    </row>
    <row r="10" spans="1:32" s="15" customFormat="1" ht="12" thickBot="1" x14ac:dyDescent="0.25">
      <c r="A10" s="99">
        <v>1</v>
      </c>
      <c r="B10" s="13">
        <v>2</v>
      </c>
      <c r="C10" s="13">
        <v>3</v>
      </c>
      <c r="D10" s="13">
        <v>4</v>
      </c>
      <c r="E10" s="13">
        <v>5</v>
      </c>
      <c r="F10" s="177">
        <v>6</v>
      </c>
      <c r="G10" s="13">
        <v>7</v>
      </c>
      <c r="H10" s="13">
        <v>8</v>
      </c>
      <c r="I10" s="13">
        <v>9</v>
      </c>
      <c r="J10" s="13">
        <v>10</v>
      </c>
      <c r="K10" s="13">
        <v>11</v>
      </c>
      <c r="L10" s="13">
        <v>12</v>
      </c>
      <c r="M10" s="13">
        <v>13</v>
      </c>
      <c r="N10" s="13">
        <v>14</v>
      </c>
      <c r="O10" s="13">
        <v>15</v>
      </c>
      <c r="P10" s="13">
        <v>16</v>
      </c>
      <c r="Q10" s="168">
        <v>17</v>
      </c>
      <c r="R10" s="168">
        <v>18</v>
      </c>
      <c r="S10" s="13">
        <v>19</v>
      </c>
      <c r="T10" s="13">
        <v>20</v>
      </c>
      <c r="U10" s="13">
        <v>21</v>
      </c>
      <c r="V10" s="13">
        <v>22</v>
      </c>
      <c r="W10" s="13">
        <v>23</v>
      </c>
      <c r="X10" s="13">
        <v>24</v>
      </c>
      <c r="Y10" s="13">
        <v>25</v>
      </c>
      <c r="Z10" s="13">
        <v>26</v>
      </c>
      <c r="AA10" s="13">
        <v>27</v>
      </c>
      <c r="AB10" s="13">
        <v>28</v>
      </c>
      <c r="AC10" s="13">
        <v>29</v>
      </c>
      <c r="AD10" s="13">
        <v>30</v>
      </c>
      <c r="AE10" s="13">
        <v>31</v>
      </c>
    </row>
    <row r="11" spans="1:32" s="15" customFormat="1" ht="15" customHeight="1" thickTop="1" x14ac:dyDescent="0.25">
      <c r="A11" s="222" t="s">
        <v>38</v>
      </c>
      <c r="B11" s="243">
        <v>1011</v>
      </c>
      <c r="C11" s="215"/>
      <c r="D11" s="216"/>
      <c r="E11" s="216"/>
      <c r="F11" s="178"/>
      <c r="G11" s="41"/>
      <c r="H11" s="41"/>
      <c r="I11" s="41"/>
      <c r="J11" s="41"/>
      <c r="K11" s="41"/>
      <c r="L11" s="41"/>
      <c r="M11" s="41"/>
      <c r="N11" s="41"/>
      <c r="O11" s="41"/>
      <c r="P11" s="41"/>
      <c r="Q11" s="234"/>
      <c r="R11" s="234"/>
      <c r="S11" s="41"/>
      <c r="T11" s="41"/>
      <c r="U11" s="41"/>
      <c r="V11" s="41"/>
      <c r="W11" s="41"/>
      <c r="X11" s="41"/>
      <c r="Y11" s="41"/>
      <c r="Z11" s="41"/>
      <c r="AA11" s="41"/>
      <c r="AB11" s="41"/>
      <c r="AC11" s="222" t="s">
        <v>38</v>
      </c>
      <c r="AD11" s="208"/>
      <c r="AE11" s="22"/>
    </row>
    <row r="12" spans="1:32" s="15" customFormat="1" ht="16.5" customHeight="1" x14ac:dyDescent="0.2">
      <c r="A12" s="222" t="s">
        <v>127</v>
      </c>
      <c r="B12" s="30" t="s">
        <v>170</v>
      </c>
      <c r="C12" s="43" t="s">
        <v>281</v>
      </c>
      <c r="D12" s="885">
        <v>42736</v>
      </c>
      <c r="E12" s="805"/>
      <c r="F12" s="179"/>
      <c r="G12" s="27">
        <v>2000</v>
      </c>
      <c r="H12" s="26"/>
      <c r="I12" s="26"/>
      <c r="J12" s="26"/>
      <c r="K12" s="26"/>
      <c r="L12" s="26"/>
      <c r="M12" s="26"/>
      <c r="N12" s="26"/>
      <c r="O12" s="26"/>
      <c r="P12" s="26"/>
      <c r="Q12" s="169"/>
      <c r="R12" s="169"/>
      <c r="S12" s="26"/>
      <c r="T12" s="26"/>
      <c r="U12" s="26"/>
      <c r="V12" s="26"/>
      <c r="W12" s="26"/>
      <c r="X12" s="26"/>
      <c r="Y12" s="26"/>
      <c r="Z12" s="26"/>
      <c r="AA12" s="26"/>
      <c r="AB12" s="26">
        <f>G12</f>
        <v>2000</v>
      </c>
      <c r="AC12" s="222" t="s">
        <v>127</v>
      </c>
      <c r="AD12" s="207"/>
      <c r="AE12" s="21"/>
    </row>
    <row r="13" spans="1:32" s="15" customFormat="1" ht="16.5" customHeight="1" x14ac:dyDescent="0.35">
      <c r="A13" s="222" t="s">
        <v>128</v>
      </c>
      <c r="B13" s="30" t="s">
        <v>224</v>
      </c>
      <c r="C13" s="43" t="s">
        <v>281</v>
      </c>
      <c r="D13" s="883" t="s">
        <v>253</v>
      </c>
      <c r="E13" s="884"/>
      <c r="F13" s="179"/>
      <c r="G13" s="27">
        <v>2000</v>
      </c>
      <c r="H13" s="232"/>
      <c r="I13" s="232"/>
      <c r="J13" s="232"/>
      <c r="K13" s="232"/>
      <c r="L13" s="232"/>
      <c r="M13" s="232"/>
      <c r="N13" s="26"/>
      <c r="O13" s="26"/>
      <c r="P13" s="26"/>
      <c r="Q13" s="169"/>
      <c r="R13" s="169"/>
      <c r="S13" s="26"/>
      <c r="T13" s="26"/>
      <c r="U13" s="26"/>
      <c r="V13" s="26"/>
      <c r="W13" s="26"/>
      <c r="X13" s="26"/>
      <c r="Y13" s="232"/>
      <c r="Z13" s="26"/>
      <c r="AA13" s="26"/>
      <c r="AB13" s="26">
        <f>G13</f>
        <v>2000</v>
      </c>
      <c r="AC13" s="222" t="s">
        <v>128</v>
      </c>
      <c r="AD13" s="207"/>
      <c r="AE13" s="21"/>
      <c r="AF13" s="84"/>
    </row>
    <row r="14" spans="1:32" s="15" customFormat="1" ht="17.100000000000001" customHeight="1" x14ac:dyDescent="0.2">
      <c r="A14" s="222" t="s">
        <v>129</v>
      </c>
      <c r="B14" s="30" t="s">
        <v>262</v>
      </c>
      <c r="C14" s="43" t="s">
        <v>281</v>
      </c>
      <c r="D14" s="883" t="s">
        <v>253</v>
      </c>
      <c r="E14" s="884"/>
      <c r="F14" s="179"/>
      <c r="G14" s="27">
        <v>2000</v>
      </c>
      <c r="H14" s="26"/>
      <c r="I14" s="26"/>
      <c r="J14" s="26"/>
      <c r="K14" s="26"/>
      <c r="L14" s="26"/>
      <c r="M14" s="26"/>
      <c r="N14" s="26"/>
      <c r="O14" s="26"/>
      <c r="P14" s="26"/>
      <c r="Q14" s="169"/>
      <c r="R14" s="169"/>
      <c r="S14" s="26"/>
      <c r="T14" s="26"/>
      <c r="U14" s="26"/>
      <c r="V14" s="26"/>
      <c r="W14" s="26"/>
      <c r="X14" s="26"/>
      <c r="Y14" s="26"/>
      <c r="Z14" s="26"/>
      <c r="AA14" s="26"/>
      <c r="AB14" s="26">
        <f>G14</f>
        <v>2000</v>
      </c>
      <c r="AC14" s="222" t="s">
        <v>129</v>
      </c>
      <c r="AD14" s="207"/>
      <c r="AE14" s="21"/>
    </row>
    <row r="15" spans="1:32" s="15" customFormat="1" ht="17.100000000000001" customHeight="1" x14ac:dyDescent="0.2">
      <c r="A15" s="222" t="s">
        <v>130</v>
      </c>
      <c r="B15" s="30" t="s">
        <v>264</v>
      </c>
      <c r="C15" s="43" t="s">
        <v>281</v>
      </c>
      <c r="D15" s="883" t="s">
        <v>253</v>
      </c>
      <c r="E15" s="884"/>
      <c r="F15" s="179"/>
      <c r="G15" s="27">
        <v>2000</v>
      </c>
      <c r="H15" s="26"/>
      <c r="I15" s="26"/>
      <c r="J15" s="26"/>
      <c r="K15" s="26"/>
      <c r="L15" s="26"/>
      <c r="M15" s="26"/>
      <c r="N15" s="26"/>
      <c r="O15" s="26"/>
      <c r="P15" s="26"/>
      <c r="Q15" s="169"/>
      <c r="R15" s="169"/>
      <c r="S15" s="26"/>
      <c r="T15" s="26"/>
      <c r="U15" s="26"/>
      <c r="V15" s="26"/>
      <c r="W15" s="26"/>
      <c r="X15" s="26"/>
      <c r="Y15" s="26"/>
      <c r="Z15" s="26"/>
      <c r="AA15" s="26"/>
      <c r="AB15" s="26">
        <f>G15</f>
        <v>2000</v>
      </c>
      <c r="AC15" s="222" t="s">
        <v>130</v>
      </c>
      <c r="AD15" s="207"/>
      <c r="AE15" s="21"/>
    </row>
    <row r="16" spans="1:32" s="15" customFormat="1" ht="15" customHeight="1" thickBot="1" x14ac:dyDescent="0.25">
      <c r="A16" s="222" t="s">
        <v>131</v>
      </c>
      <c r="B16" s="30"/>
      <c r="C16" s="43"/>
      <c r="D16" s="217"/>
      <c r="E16" s="213"/>
      <c r="F16" s="169"/>
      <c r="G16" s="65">
        <f>SUM(G12:G15)</f>
        <v>8000</v>
      </c>
      <c r="H16" s="65">
        <v>0</v>
      </c>
      <c r="I16" s="65">
        <v>0</v>
      </c>
      <c r="J16" s="65">
        <v>0</v>
      </c>
      <c r="K16" s="65">
        <v>0</v>
      </c>
      <c r="L16" s="65">
        <v>0</v>
      </c>
      <c r="M16" s="65">
        <v>0</v>
      </c>
      <c r="N16" s="65">
        <v>0</v>
      </c>
      <c r="O16" s="65">
        <v>0</v>
      </c>
      <c r="P16" s="65">
        <v>0</v>
      </c>
      <c r="Q16" s="170">
        <v>0</v>
      </c>
      <c r="R16" s="170">
        <v>0</v>
      </c>
      <c r="S16" s="65">
        <v>0</v>
      </c>
      <c r="T16" s="65">
        <v>0</v>
      </c>
      <c r="U16" s="65">
        <v>0</v>
      </c>
      <c r="V16" s="65">
        <v>0</v>
      </c>
      <c r="W16" s="65">
        <v>0</v>
      </c>
      <c r="X16" s="65">
        <v>0</v>
      </c>
      <c r="Y16" s="65">
        <v>0</v>
      </c>
      <c r="Z16" s="65">
        <v>0</v>
      </c>
      <c r="AA16" s="65">
        <v>0</v>
      </c>
      <c r="AB16" s="65">
        <f>SUM(AB12:AB15)</f>
        <v>8000</v>
      </c>
      <c r="AC16" s="222" t="s">
        <v>131</v>
      </c>
      <c r="AD16" s="207"/>
      <c r="AE16" s="21"/>
    </row>
    <row r="17" spans="1:32" s="15" customFormat="1" ht="15" customHeight="1" thickTop="1" x14ac:dyDescent="0.2">
      <c r="A17" s="222" t="s">
        <v>132</v>
      </c>
      <c r="B17" s="243">
        <v>1031</v>
      </c>
      <c r="C17" s="223"/>
      <c r="D17" s="219"/>
      <c r="E17" s="220"/>
      <c r="F17" s="172"/>
      <c r="G17" s="39"/>
      <c r="H17" s="39"/>
      <c r="I17" s="39"/>
      <c r="J17" s="39"/>
      <c r="K17" s="39"/>
      <c r="L17" s="39"/>
      <c r="M17" s="39"/>
      <c r="N17" s="39"/>
      <c r="O17" s="39"/>
      <c r="P17" s="39"/>
      <c r="Q17" s="171"/>
      <c r="R17" s="171"/>
      <c r="S17" s="39"/>
      <c r="T17" s="39"/>
      <c r="U17" s="39"/>
      <c r="V17" s="39"/>
      <c r="W17" s="39"/>
      <c r="X17" s="39"/>
      <c r="Y17" s="39"/>
      <c r="Z17" s="39"/>
      <c r="AA17" s="39"/>
      <c r="AB17" s="39"/>
      <c r="AC17" s="222" t="s">
        <v>132</v>
      </c>
      <c r="AD17" s="208"/>
      <c r="AE17" s="22"/>
    </row>
    <row r="18" spans="1:32" s="15" customFormat="1" ht="17.100000000000001" customHeight="1" x14ac:dyDescent="0.2">
      <c r="A18" s="222" t="s">
        <v>133</v>
      </c>
      <c r="B18" s="30" t="s">
        <v>225</v>
      </c>
      <c r="C18" s="43" t="s">
        <v>281</v>
      </c>
      <c r="D18" s="883" t="s">
        <v>253</v>
      </c>
      <c r="E18" s="884"/>
      <c r="F18" s="179"/>
      <c r="G18" s="27">
        <v>2000</v>
      </c>
      <c r="H18" s="26">
        <v>0</v>
      </c>
      <c r="I18" s="26"/>
      <c r="J18" s="26"/>
      <c r="K18" s="26">
        <v>0</v>
      </c>
      <c r="L18" s="26" t="s">
        <v>37</v>
      </c>
      <c r="M18" s="26"/>
      <c r="N18" s="26"/>
      <c r="O18" s="26"/>
      <c r="P18" s="26"/>
      <c r="Q18" s="169"/>
      <c r="R18" s="169"/>
      <c r="S18" s="26"/>
      <c r="T18" s="26"/>
      <c r="U18" s="26"/>
      <c r="V18" s="26"/>
      <c r="W18" s="26"/>
      <c r="X18" s="26"/>
      <c r="Y18" s="26"/>
      <c r="Z18" s="26"/>
      <c r="AA18" s="26"/>
      <c r="AB18" s="26">
        <f>G18</f>
        <v>2000</v>
      </c>
      <c r="AC18" s="222" t="s">
        <v>133</v>
      </c>
      <c r="AD18" s="208"/>
      <c r="AE18" s="22"/>
    </row>
    <row r="19" spans="1:32" s="15" customFormat="1" ht="15" customHeight="1" thickBot="1" x14ac:dyDescent="0.25">
      <c r="A19" s="222" t="s">
        <v>65</v>
      </c>
      <c r="B19" s="244"/>
      <c r="C19" s="223"/>
      <c r="D19" s="219"/>
      <c r="E19" s="220"/>
      <c r="F19" s="172"/>
      <c r="G19" s="65">
        <v>2000</v>
      </c>
      <c r="H19" s="65">
        <v>0</v>
      </c>
      <c r="I19" s="65">
        <v>0</v>
      </c>
      <c r="J19" s="65">
        <v>0</v>
      </c>
      <c r="K19" s="65">
        <v>0</v>
      </c>
      <c r="L19" s="65">
        <v>0</v>
      </c>
      <c r="M19" s="65">
        <v>0</v>
      </c>
      <c r="N19" s="65">
        <v>0</v>
      </c>
      <c r="O19" s="65">
        <v>0</v>
      </c>
      <c r="P19" s="65">
        <v>0</v>
      </c>
      <c r="Q19" s="170">
        <v>0</v>
      </c>
      <c r="R19" s="170">
        <v>0</v>
      </c>
      <c r="S19" s="65">
        <v>0</v>
      </c>
      <c r="T19" s="65">
        <v>0</v>
      </c>
      <c r="U19" s="65">
        <v>0</v>
      </c>
      <c r="V19" s="65">
        <v>0</v>
      </c>
      <c r="W19" s="65">
        <v>0</v>
      </c>
      <c r="X19" s="65">
        <v>0</v>
      </c>
      <c r="Y19" s="65">
        <v>0</v>
      </c>
      <c r="Z19" s="65">
        <v>0</v>
      </c>
      <c r="AA19" s="65">
        <v>0</v>
      </c>
      <c r="AB19" s="65">
        <v>2000</v>
      </c>
      <c r="AC19" s="222" t="s">
        <v>65</v>
      </c>
      <c r="AD19" s="208"/>
      <c r="AE19" s="22"/>
    </row>
    <row r="20" spans="1:32" s="15" customFormat="1" ht="15" hidden="1" customHeight="1" thickTop="1" x14ac:dyDescent="0.2">
      <c r="A20" s="222" t="s">
        <v>134</v>
      </c>
      <c r="B20" s="243">
        <v>1032</v>
      </c>
      <c r="C20" s="223"/>
      <c r="D20" s="219"/>
      <c r="E20" s="220"/>
      <c r="F20" s="172"/>
      <c r="G20" s="227"/>
      <c r="H20" s="227"/>
      <c r="I20" s="227"/>
      <c r="J20" s="227"/>
      <c r="K20" s="227"/>
      <c r="L20" s="227"/>
      <c r="M20" s="227"/>
      <c r="N20" s="227"/>
      <c r="O20" s="227"/>
      <c r="P20" s="227"/>
      <c r="Q20" s="235"/>
      <c r="R20" s="235"/>
      <c r="S20" s="227"/>
      <c r="T20" s="227"/>
      <c r="U20" s="227"/>
      <c r="V20" s="227"/>
      <c r="W20" s="227"/>
      <c r="X20" s="227"/>
      <c r="Y20" s="227"/>
      <c r="Z20" s="227"/>
      <c r="AA20" s="227"/>
      <c r="AB20" s="228"/>
      <c r="AC20" s="222" t="s">
        <v>134</v>
      </c>
      <c r="AD20" s="208"/>
      <c r="AE20" s="22"/>
    </row>
    <row r="21" spans="1:32" s="15" customFormat="1" ht="17.100000000000001" hidden="1" customHeight="1" x14ac:dyDescent="0.2">
      <c r="A21" s="222" t="s">
        <v>135</v>
      </c>
      <c r="B21" s="244"/>
      <c r="C21" s="43" t="s">
        <v>281</v>
      </c>
      <c r="D21" s="883" t="s">
        <v>253</v>
      </c>
      <c r="E21" s="884"/>
      <c r="F21" s="179"/>
      <c r="G21" s="27">
        <v>0</v>
      </c>
      <c r="H21" s="26">
        <v>0</v>
      </c>
      <c r="I21" s="38"/>
      <c r="J21" s="38"/>
      <c r="K21" s="26">
        <v>0</v>
      </c>
      <c r="L21" s="38"/>
      <c r="M21" s="26">
        <v>0</v>
      </c>
      <c r="N21" s="26">
        <v>0</v>
      </c>
      <c r="O21" s="26"/>
      <c r="P21" s="26"/>
      <c r="Q21" s="169"/>
      <c r="R21" s="169"/>
      <c r="S21" s="26"/>
      <c r="T21" s="26"/>
      <c r="U21" s="26"/>
      <c r="V21" s="38"/>
      <c r="W21" s="38"/>
      <c r="X21" s="38"/>
      <c r="Y21" s="26"/>
      <c r="Z21" s="38"/>
      <c r="AA21" s="26"/>
      <c r="AB21" s="26">
        <f>G21</f>
        <v>0</v>
      </c>
      <c r="AC21" s="222" t="s">
        <v>135</v>
      </c>
      <c r="AD21" s="208"/>
      <c r="AE21" s="22"/>
    </row>
    <row r="22" spans="1:32" s="100" customFormat="1" ht="17.100000000000001" hidden="1" customHeight="1" thickBot="1" x14ac:dyDescent="0.25">
      <c r="A22" s="222" t="s">
        <v>136</v>
      </c>
      <c r="B22" s="245"/>
      <c r="C22" s="229"/>
      <c r="D22" s="230"/>
      <c r="E22" s="231"/>
      <c r="F22" s="239"/>
      <c r="G22" s="68">
        <v>0</v>
      </c>
      <c r="H22" s="68">
        <v>0</v>
      </c>
      <c r="I22" s="68">
        <v>0</v>
      </c>
      <c r="J22" s="68">
        <v>0</v>
      </c>
      <c r="K22" s="68">
        <v>0</v>
      </c>
      <c r="L22" s="68">
        <v>0</v>
      </c>
      <c r="M22" s="68">
        <v>0</v>
      </c>
      <c r="N22" s="68">
        <v>0</v>
      </c>
      <c r="O22" s="68">
        <v>0</v>
      </c>
      <c r="P22" s="68">
        <v>0</v>
      </c>
      <c r="Q22" s="174">
        <v>0</v>
      </c>
      <c r="R22" s="174">
        <v>0</v>
      </c>
      <c r="S22" s="68">
        <v>0</v>
      </c>
      <c r="T22" s="68">
        <v>0</v>
      </c>
      <c r="U22" s="68">
        <v>0</v>
      </c>
      <c r="V22" s="68">
        <v>0</v>
      </c>
      <c r="W22" s="68">
        <v>0</v>
      </c>
      <c r="X22" s="68">
        <v>0</v>
      </c>
      <c r="Y22" s="68">
        <v>0</v>
      </c>
      <c r="Z22" s="68">
        <v>0</v>
      </c>
      <c r="AA22" s="68">
        <v>0</v>
      </c>
      <c r="AB22" s="68">
        <v>0</v>
      </c>
      <c r="AC22" s="222" t="s">
        <v>136</v>
      </c>
      <c r="AD22" s="208"/>
      <c r="AE22" s="22"/>
    </row>
    <row r="23" spans="1:32" s="15" customFormat="1" ht="17.100000000000001" customHeight="1" thickTop="1" x14ac:dyDescent="0.2">
      <c r="A23" s="222" t="s">
        <v>137</v>
      </c>
      <c r="B23" s="243">
        <v>1071</v>
      </c>
      <c r="C23" s="223"/>
      <c r="D23" s="219"/>
      <c r="E23" s="220"/>
      <c r="F23" s="172"/>
      <c r="G23" s="39"/>
      <c r="H23" s="39"/>
      <c r="I23" s="39"/>
      <c r="J23" s="39"/>
      <c r="K23" s="39"/>
      <c r="L23" s="39"/>
      <c r="M23" s="39"/>
      <c r="N23" s="39"/>
      <c r="O23" s="39"/>
      <c r="P23" s="39"/>
      <c r="Q23" s="171"/>
      <c r="R23" s="171"/>
      <c r="S23" s="39"/>
      <c r="T23" s="39"/>
      <c r="U23" s="39"/>
      <c r="V23" s="39"/>
      <c r="W23" s="39"/>
      <c r="X23" s="39"/>
      <c r="Y23" s="39"/>
      <c r="Z23" s="39"/>
      <c r="AA23" s="39"/>
      <c r="AB23" s="39"/>
      <c r="AC23" s="222" t="s">
        <v>137</v>
      </c>
      <c r="AD23" s="208"/>
      <c r="AE23" s="22"/>
    </row>
    <row r="24" spans="1:32" s="15" customFormat="1" ht="17.100000000000001" customHeight="1" x14ac:dyDescent="0.2">
      <c r="A24" s="222" t="s">
        <v>138</v>
      </c>
      <c r="B24" s="244" t="s">
        <v>283</v>
      </c>
      <c r="C24" s="43" t="s">
        <v>281</v>
      </c>
      <c r="D24" s="883" t="s">
        <v>253</v>
      </c>
      <c r="E24" s="884"/>
      <c r="F24" s="179"/>
      <c r="G24" s="27">
        <v>2000</v>
      </c>
      <c r="H24" s="26">
        <v>0</v>
      </c>
      <c r="I24" s="38"/>
      <c r="J24" s="38"/>
      <c r="K24" s="26"/>
      <c r="L24" s="38"/>
      <c r="M24" s="38"/>
      <c r="N24" s="38"/>
      <c r="O24" s="26"/>
      <c r="P24" s="26"/>
      <c r="Q24" s="169"/>
      <c r="R24" s="169"/>
      <c r="S24" s="38"/>
      <c r="T24" s="38"/>
      <c r="U24" s="38"/>
      <c r="V24" s="38"/>
      <c r="W24" s="38"/>
      <c r="X24" s="38"/>
      <c r="Y24" s="38"/>
      <c r="Z24" s="38"/>
      <c r="AA24" s="26"/>
      <c r="AB24" s="26">
        <f>G24</f>
        <v>2000</v>
      </c>
      <c r="AC24" s="222" t="s">
        <v>138</v>
      </c>
      <c r="AD24" s="208"/>
      <c r="AE24" s="22"/>
    </row>
    <row r="25" spans="1:32" s="15" customFormat="1" ht="17.100000000000001" customHeight="1" x14ac:dyDescent="0.2">
      <c r="A25" s="222" t="s">
        <v>139</v>
      </c>
      <c r="B25" s="30" t="s">
        <v>280</v>
      </c>
      <c r="C25" s="43" t="s">
        <v>281</v>
      </c>
      <c r="D25" s="883" t="s">
        <v>253</v>
      </c>
      <c r="E25" s="884"/>
      <c r="F25" s="179"/>
      <c r="G25" s="27">
        <v>2000</v>
      </c>
      <c r="H25" s="26">
        <v>0</v>
      </c>
      <c r="I25" s="38"/>
      <c r="J25" s="38"/>
      <c r="K25" s="26">
        <v>0</v>
      </c>
      <c r="L25" s="38"/>
      <c r="M25" s="26">
        <v>0</v>
      </c>
      <c r="N25" s="26">
        <v>0</v>
      </c>
      <c r="O25" s="26"/>
      <c r="P25" s="26"/>
      <c r="Q25" s="169"/>
      <c r="R25" s="169"/>
      <c r="S25" s="26"/>
      <c r="T25" s="26"/>
      <c r="U25" s="26"/>
      <c r="V25" s="38"/>
      <c r="W25" s="38"/>
      <c r="X25" s="38"/>
      <c r="Y25" s="26"/>
      <c r="Z25" s="38"/>
      <c r="AA25" s="26"/>
      <c r="AB25" s="26">
        <f>G25</f>
        <v>2000</v>
      </c>
      <c r="AC25" s="222" t="s">
        <v>139</v>
      </c>
      <c r="AD25" s="207"/>
      <c r="AE25" s="21"/>
    </row>
    <row r="26" spans="1:32" s="15" customFormat="1" ht="15" customHeight="1" thickBot="1" x14ac:dyDescent="0.25">
      <c r="A26" s="222" t="s">
        <v>140</v>
      </c>
      <c r="B26" s="244"/>
      <c r="C26" s="223"/>
      <c r="D26" s="219"/>
      <c r="E26" s="220"/>
      <c r="F26" s="172"/>
      <c r="G26" s="65">
        <f>SUM(G24:G25)</f>
        <v>4000</v>
      </c>
      <c r="H26" s="65">
        <v>0</v>
      </c>
      <c r="I26" s="65">
        <v>0</v>
      </c>
      <c r="J26" s="65">
        <v>0</v>
      </c>
      <c r="K26" s="65">
        <v>0</v>
      </c>
      <c r="L26" s="65">
        <v>0</v>
      </c>
      <c r="M26" s="65">
        <v>0</v>
      </c>
      <c r="N26" s="65">
        <v>0</v>
      </c>
      <c r="O26" s="65">
        <v>0</v>
      </c>
      <c r="P26" s="65">
        <v>0</v>
      </c>
      <c r="Q26" s="170">
        <v>0</v>
      </c>
      <c r="R26" s="170">
        <v>0</v>
      </c>
      <c r="S26" s="65">
        <v>0</v>
      </c>
      <c r="T26" s="65">
        <v>0</v>
      </c>
      <c r="U26" s="65">
        <v>0</v>
      </c>
      <c r="V26" s="65">
        <v>0</v>
      </c>
      <c r="W26" s="65">
        <v>0</v>
      </c>
      <c r="X26" s="65">
        <v>0</v>
      </c>
      <c r="Y26" s="65">
        <v>0</v>
      </c>
      <c r="Z26" s="65">
        <v>0</v>
      </c>
      <c r="AA26" s="65">
        <v>0</v>
      </c>
      <c r="AB26" s="65">
        <f>SUM(AB24:AB25)</f>
        <v>4000</v>
      </c>
      <c r="AC26" s="222" t="s">
        <v>140</v>
      </c>
      <c r="AD26" s="208"/>
      <c r="AE26" s="22"/>
    </row>
    <row r="27" spans="1:32" s="15" customFormat="1" ht="15" customHeight="1" thickTop="1" x14ac:dyDescent="0.2">
      <c r="A27" s="222" t="s">
        <v>141</v>
      </c>
      <c r="B27" s="243">
        <v>1081</v>
      </c>
      <c r="C27" s="223"/>
      <c r="D27" s="219"/>
      <c r="E27" s="220"/>
      <c r="F27" s="172"/>
      <c r="G27" s="39"/>
      <c r="H27" s="39"/>
      <c r="I27" s="39"/>
      <c r="J27" s="39"/>
      <c r="K27" s="39"/>
      <c r="L27" s="39"/>
      <c r="M27" s="39"/>
      <c r="N27" s="39"/>
      <c r="O27" s="39"/>
      <c r="P27" s="39"/>
      <c r="Q27" s="171"/>
      <c r="R27" s="171"/>
      <c r="S27" s="39"/>
      <c r="T27" s="39"/>
      <c r="U27" s="39"/>
      <c r="V27" s="39"/>
      <c r="W27" s="39"/>
      <c r="X27" s="39"/>
      <c r="Y27" s="39"/>
      <c r="Z27" s="39"/>
      <c r="AA27" s="39"/>
      <c r="AB27" s="39"/>
      <c r="AC27" s="222" t="s">
        <v>141</v>
      </c>
      <c r="AD27" s="208"/>
      <c r="AE27" s="22"/>
    </row>
    <row r="28" spans="1:32" ht="17.100000000000001" customHeight="1" x14ac:dyDescent="0.2">
      <c r="A28" s="222" t="s">
        <v>142</v>
      </c>
      <c r="B28" s="246" t="s">
        <v>210</v>
      </c>
      <c r="C28" s="43" t="s">
        <v>281</v>
      </c>
      <c r="D28" s="883" t="s">
        <v>253</v>
      </c>
      <c r="E28" s="884"/>
      <c r="F28" s="179"/>
      <c r="G28" s="27">
        <v>2000</v>
      </c>
      <c r="H28" s="26">
        <v>0</v>
      </c>
      <c r="I28" s="26"/>
      <c r="J28" s="26"/>
      <c r="K28" s="26"/>
      <c r="L28" s="26"/>
      <c r="M28" s="26"/>
      <c r="N28" s="26"/>
      <c r="O28" s="26"/>
      <c r="P28" s="26"/>
      <c r="Q28" s="169"/>
      <c r="R28" s="169"/>
      <c r="S28" s="26"/>
      <c r="T28" s="26"/>
      <c r="U28" s="26"/>
      <c r="V28" s="26"/>
      <c r="W28" s="26"/>
      <c r="X28" s="26"/>
      <c r="Y28" s="26"/>
      <c r="Z28" s="26"/>
      <c r="AA28" s="26"/>
      <c r="AB28" s="26">
        <f>G28</f>
        <v>2000</v>
      </c>
      <c r="AC28" s="222" t="s">
        <v>142</v>
      </c>
      <c r="AD28" s="203"/>
      <c r="AE28" s="16"/>
      <c r="AF28"/>
    </row>
    <row r="29" spans="1:32" ht="17.100000000000001" customHeight="1" x14ac:dyDescent="0.2">
      <c r="A29" s="222" t="s">
        <v>143</v>
      </c>
      <c r="B29" s="246" t="s">
        <v>267</v>
      </c>
      <c r="C29" s="43" t="s">
        <v>281</v>
      </c>
      <c r="D29" s="883" t="s">
        <v>253</v>
      </c>
      <c r="E29" s="884"/>
      <c r="F29" s="179"/>
      <c r="G29" s="27">
        <v>2000</v>
      </c>
      <c r="H29" s="26">
        <v>0</v>
      </c>
      <c r="I29" s="26"/>
      <c r="J29" s="26"/>
      <c r="K29" s="26"/>
      <c r="L29" s="26"/>
      <c r="M29" s="26"/>
      <c r="N29" s="26"/>
      <c r="O29" s="26"/>
      <c r="P29" s="26"/>
      <c r="Q29" s="169"/>
      <c r="R29" s="169"/>
      <c r="S29" s="25"/>
      <c r="T29" s="26"/>
      <c r="U29" s="26"/>
      <c r="V29" s="26"/>
      <c r="W29" s="26"/>
      <c r="X29" s="26"/>
      <c r="Y29" s="26"/>
      <c r="Z29" s="26"/>
      <c r="AA29" s="26"/>
      <c r="AB29" s="26">
        <f>G29</f>
        <v>2000</v>
      </c>
      <c r="AC29" s="222" t="s">
        <v>143</v>
      </c>
      <c r="AD29" s="203"/>
      <c r="AE29" s="16"/>
      <c r="AF29"/>
    </row>
    <row r="30" spans="1:32" ht="17.100000000000001" customHeight="1" x14ac:dyDescent="0.2">
      <c r="A30" s="222" t="s">
        <v>144</v>
      </c>
      <c r="B30" s="246" t="s">
        <v>305</v>
      </c>
      <c r="C30" s="43" t="s">
        <v>281</v>
      </c>
      <c r="D30" s="883" t="s">
        <v>253</v>
      </c>
      <c r="E30" s="884"/>
      <c r="F30" s="179"/>
      <c r="G30" s="27">
        <v>2000</v>
      </c>
      <c r="H30" s="26"/>
      <c r="I30" s="26"/>
      <c r="J30" s="26"/>
      <c r="K30" s="26"/>
      <c r="L30" s="26"/>
      <c r="M30" s="26"/>
      <c r="N30" s="26"/>
      <c r="O30" s="26"/>
      <c r="P30" s="26"/>
      <c r="Q30" s="169"/>
      <c r="R30" s="169"/>
      <c r="S30" s="25"/>
      <c r="T30" s="26"/>
      <c r="U30" s="26"/>
      <c r="V30" s="26"/>
      <c r="W30" s="26"/>
      <c r="X30" s="26"/>
      <c r="Y30" s="26"/>
      <c r="Z30" s="26"/>
      <c r="AA30" s="26"/>
      <c r="AB30" s="26">
        <f>G30</f>
        <v>2000</v>
      </c>
      <c r="AC30" s="222" t="s">
        <v>144</v>
      </c>
      <c r="AD30" s="203"/>
      <c r="AE30" s="16"/>
      <c r="AF30"/>
    </row>
    <row r="31" spans="1:32" ht="17.100000000000001" customHeight="1" x14ac:dyDescent="0.2">
      <c r="A31" s="222" t="s">
        <v>145</v>
      </c>
      <c r="B31" s="30" t="s">
        <v>290</v>
      </c>
      <c r="C31" s="43" t="s">
        <v>281</v>
      </c>
      <c r="D31" s="883" t="s">
        <v>253</v>
      </c>
      <c r="E31" s="884"/>
      <c r="F31" s="179"/>
      <c r="G31" s="27">
        <v>2000</v>
      </c>
      <c r="H31" s="26">
        <v>0</v>
      </c>
      <c r="I31" s="38"/>
      <c r="J31" s="38"/>
      <c r="K31" s="26"/>
      <c r="L31" s="38"/>
      <c r="M31" s="26"/>
      <c r="N31" s="26"/>
      <c r="O31" s="26"/>
      <c r="P31" s="26"/>
      <c r="Q31" s="169"/>
      <c r="R31" s="169"/>
      <c r="S31" s="38"/>
      <c r="T31" s="38"/>
      <c r="U31" s="38"/>
      <c r="V31" s="38"/>
      <c r="W31" s="38"/>
      <c r="X31" s="38"/>
      <c r="Y31" s="38"/>
      <c r="Z31" s="38"/>
      <c r="AA31" s="26"/>
      <c r="AB31" s="26">
        <f>G31</f>
        <v>2000</v>
      </c>
      <c r="AC31" s="222" t="s">
        <v>145</v>
      </c>
      <c r="AD31" s="205"/>
      <c r="AE31" s="63"/>
    </row>
    <row r="32" spans="1:32" s="15" customFormat="1" ht="17.100000000000001" customHeight="1" x14ac:dyDescent="0.2">
      <c r="A32" s="222" t="s">
        <v>146</v>
      </c>
      <c r="B32" s="30" t="s">
        <v>343</v>
      </c>
      <c r="C32" s="43" t="s">
        <v>281</v>
      </c>
      <c r="D32" s="883" t="s">
        <v>253</v>
      </c>
      <c r="E32" s="884"/>
      <c r="F32" s="179"/>
      <c r="G32" s="27">
        <v>2000</v>
      </c>
      <c r="H32" s="26">
        <v>0</v>
      </c>
      <c r="I32" s="38"/>
      <c r="J32" s="38"/>
      <c r="K32" s="26"/>
      <c r="L32" s="38"/>
      <c r="M32" s="26"/>
      <c r="N32" s="26"/>
      <c r="O32" s="26"/>
      <c r="P32" s="26"/>
      <c r="Q32" s="169"/>
      <c r="R32" s="169"/>
      <c r="S32" s="38"/>
      <c r="T32" s="38"/>
      <c r="U32" s="38"/>
      <c r="V32" s="38"/>
      <c r="W32" s="38"/>
      <c r="X32" s="38"/>
      <c r="Y32" s="38"/>
      <c r="Z32" s="38"/>
      <c r="AA32" s="26"/>
      <c r="AB32" s="26">
        <f>G32</f>
        <v>2000</v>
      </c>
      <c r="AC32" s="222" t="s">
        <v>146</v>
      </c>
      <c r="AD32" s="207"/>
      <c r="AE32" s="21"/>
    </row>
    <row r="33" spans="1:32" ht="15" customHeight="1" thickBot="1" x14ac:dyDescent="0.25">
      <c r="A33" s="222" t="s">
        <v>147</v>
      </c>
      <c r="B33" s="30"/>
      <c r="C33" s="210" t="s">
        <v>37</v>
      </c>
      <c r="D33" s="210" t="s">
        <v>37</v>
      </c>
      <c r="E33" s="210"/>
      <c r="F33" s="179"/>
      <c r="G33" s="65">
        <f>SUM(G28:G32)</f>
        <v>10000</v>
      </c>
      <c r="H33" s="65">
        <v>0</v>
      </c>
      <c r="I33" s="65">
        <v>0</v>
      </c>
      <c r="J33" s="65">
        <v>0</v>
      </c>
      <c r="K33" s="65">
        <v>0</v>
      </c>
      <c r="L33" s="65">
        <v>0</v>
      </c>
      <c r="M33" s="65">
        <v>0</v>
      </c>
      <c r="N33" s="65">
        <v>0</v>
      </c>
      <c r="O33" s="65">
        <v>0</v>
      </c>
      <c r="P33" s="65">
        <v>0</v>
      </c>
      <c r="Q33" s="170">
        <v>0</v>
      </c>
      <c r="R33" s="170">
        <v>0</v>
      </c>
      <c r="S33" s="65">
        <v>0</v>
      </c>
      <c r="T33" s="65">
        <v>0</v>
      </c>
      <c r="U33" s="65">
        <v>0</v>
      </c>
      <c r="V33" s="65">
        <v>0</v>
      </c>
      <c r="W33" s="65">
        <v>0</v>
      </c>
      <c r="X33" s="65">
        <v>0</v>
      </c>
      <c r="Y33" s="65">
        <v>0</v>
      </c>
      <c r="Z33" s="65">
        <v>0</v>
      </c>
      <c r="AA33" s="65">
        <v>0</v>
      </c>
      <c r="AB33" s="65">
        <f>SUM(AB28:AB32)</f>
        <v>10000</v>
      </c>
      <c r="AC33" s="222" t="s">
        <v>147</v>
      </c>
      <c r="AD33" s="203" t="s">
        <v>37</v>
      </c>
      <c r="AE33" s="16"/>
      <c r="AF33"/>
    </row>
    <row r="34" spans="1:32" ht="15" customHeight="1" thickTop="1" x14ac:dyDescent="0.2">
      <c r="A34" s="222" t="s">
        <v>148</v>
      </c>
      <c r="B34" s="247">
        <v>1091</v>
      </c>
      <c r="C34" s="210"/>
      <c r="D34" s="210"/>
      <c r="E34" s="210"/>
      <c r="F34" s="172"/>
      <c r="G34" s="25"/>
      <c r="H34" s="25"/>
      <c r="I34" s="25"/>
      <c r="J34" s="25"/>
      <c r="K34" s="25"/>
      <c r="L34" s="25"/>
      <c r="M34" s="25"/>
      <c r="N34" s="25"/>
      <c r="O34" s="25"/>
      <c r="P34" s="25"/>
      <c r="Q34" s="172"/>
      <c r="R34" s="172"/>
      <c r="S34" s="25"/>
      <c r="T34" s="25"/>
      <c r="U34" s="25"/>
      <c r="V34" s="25"/>
      <c r="W34" s="25"/>
      <c r="X34" s="25"/>
      <c r="Y34" s="25"/>
      <c r="Z34" s="25"/>
      <c r="AA34" s="25"/>
      <c r="AB34" s="25"/>
      <c r="AC34" s="222" t="s">
        <v>148</v>
      </c>
      <c r="AD34" s="203"/>
      <c r="AE34" s="16"/>
      <c r="AF34"/>
    </row>
    <row r="35" spans="1:32" ht="17.100000000000001" customHeight="1" x14ac:dyDescent="0.2">
      <c r="A35" s="222" t="s">
        <v>149</v>
      </c>
      <c r="B35" s="30" t="s">
        <v>196</v>
      </c>
      <c r="C35" s="43" t="s">
        <v>281</v>
      </c>
      <c r="D35" s="883" t="s">
        <v>253</v>
      </c>
      <c r="E35" s="884"/>
      <c r="F35" s="179"/>
      <c r="G35" s="27">
        <v>2000</v>
      </c>
      <c r="H35" s="39">
        <v>0</v>
      </c>
      <c r="I35" s="39"/>
      <c r="J35" s="39"/>
      <c r="K35" s="39"/>
      <c r="L35" s="39"/>
      <c r="M35" s="39"/>
      <c r="N35" s="39"/>
      <c r="O35" s="26"/>
      <c r="P35" s="38"/>
      <c r="Q35" s="169"/>
      <c r="R35" s="169"/>
      <c r="S35" s="39"/>
      <c r="T35" s="39"/>
      <c r="U35" s="39"/>
      <c r="V35" s="39"/>
      <c r="W35" s="39"/>
      <c r="X35" s="39"/>
      <c r="Y35" s="39"/>
      <c r="Z35" s="39"/>
      <c r="AA35" s="26"/>
      <c r="AB35" s="26">
        <f>G35</f>
        <v>2000</v>
      </c>
      <c r="AC35" s="222" t="s">
        <v>149</v>
      </c>
      <c r="AD35" s="203"/>
      <c r="AE35" s="16"/>
      <c r="AF35"/>
    </row>
    <row r="36" spans="1:32" ht="17.100000000000001" customHeight="1" x14ac:dyDescent="0.2">
      <c r="A36" s="222" t="s">
        <v>150</v>
      </c>
      <c r="B36" s="30" t="s">
        <v>226</v>
      </c>
      <c r="C36" s="43" t="s">
        <v>281</v>
      </c>
      <c r="D36" s="883" t="s">
        <v>253</v>
      </c>
      <c r="E36" s="884"/>
      <c r="F36" s="179"/>
      <c r="G36" s="27">
        <v>2000</v>
      </c>
      <c r="H36" s="26">
        <v>0</v>
      </c>
      <c r="I36" s="26"/>
      <c r="J36" s="26"/>
      <c r="K36" s="26"/>
      <c r="L36" s="26"/>
      <c r="M36" s="26"/>
      <c r="N36" s="26"/>
      <c r="O36" s="26"/>
      <c r="P36" s="38"/>
      <c r="Q36" s="169"/>
      <c r="R36" s="169"/>
      <c r="S36" s="26"/>
      <c r="T36" s="26"/>
      <c r="U36" s="26"/>
      <c r="V36" s="26"/>
      <c r="W36" s="26"/>
      <c r="X36" s="26"/>
      <c r="Y36" s="26"/>
      <c r="Z36" s="26"/>
      <c r="AA36" s="26"/>
      <c r="AB36" s="26">
        <f>G36</f>
        <v>2000</v>
      </c>
      <c r="AC36" s="222" t="s">
        <v>150</v>
      </c>
      <c r="AD36" s="203"/>
      <c r="AE36" s="16"/>
      <c r="AF36" s="35"/>
    </row>
    <row r="37" spans="1:32" ht="17.100000000000001" customHeight="1" x14ac:dyDescent="0.2">
      <c r="A37" s="222" t="s">
        <v>151</v>
      </c>
      <c r="B37" s="30" t="s">
        <v>291</v>
      </c>
      <c r="C37" s="43" t="s">
        <v>281</v>
      </c>
      <c r="D37" s="883" t="s">
        <v>253</v>
      </c>
      <c r="E37" s="884"/>
      <c r="F37" s="179"/>
      <c r="G37" s="27">
        <v>2000</v>
      </c>
      <c r="H37" s="26">
        <v>0</v>
      </c>
      <c r="I37" s="26"/>
      <c r="J37" s="26"/>
      <c r="K37" s="26"/>
      <c r="L37" s="26"/>
      <c r="M37" s="26"/>
      <c r="N37" s="26"/>
      <c r="O37" s="26"/>
      <c r="P37" s="38"/>
      <c r="Q37" s="169"/>
      <c r="R37" s="169"/>
      <c r="S37" s="26"/>
      <c r="T37" s="26"/>
      <c r="U37" s="26"/>
      <c r="V37" s="26"/>
      <c r="W37" s="26"/>
      <c r="X37" s="26"/>
      <c r="Y37" s="26"/>
      <c r="Z37" s="26"/>
      <c r="AA37" s="26"/>
      <c r="AB37" s="26">
        <f>G37</f>
        <v>2000</v>
      </c>
      <c r="AC37" s="222" t="s">
        <v>151</v>
      </c>
      <c r="AD37" s="203"/>
      <c r="AE37" s="16"/>
    </row>
    <row r="38" spans="1:32" s="15" customFormat="1" ht="17.100000000000001" customHeight="1" x14ac:dyDescent="0.2">
      <c r="A38" s="222" t="s">
        <v>152</v>
      </c>
      <c r="B38" s="30" t="s">
        <v>254</v>
      </c>
      <c r="C38" s="43" t="s">
        <v>281</v>
      </c>
      <c r="D38" s="883" t="s">
        <v>253</v>
      </c>
      <c r="E38" s="884"/>
      <c r="F38" s="179"/>
      <c r="G38" s="27">
        <v>2000</v>
      </c>
      <c r="H38" s="26">
        <v>0</v>
      </c>
      <c r="I38" s="26"/>
      <c r="J38" s="26"/>
      <c r="K38" s="26"/>
      <c r="L38" s="26"/>
      <c r="M38" s="26"/>
      <c r="N38" s="26"/>
      <c r="O38" s="26"/>
      <c r="P38" s="26"/>
      <c r="Q38" s="169"/>
      <c r="R38" s="169"/>
      <c r="S38" s="26"/>
      <c r="T38" s="26"/>
      <c r="U38" s="26"/>
      <c r="V38" s="26"/>
      <c r="W38" s="26"/>
      <c r="X38" s="26"/>
      <c r="Y38" s="26"/>
      <c r="Z38" s="26"/>
      <c r="AA38" s="26"/>
      <c r="AB38" s="26">
        <f>G38</f>
        <v>2000</v>
      </c>
      <c r="AC38" s="222" t="s">
        <v>152</v>
      </c>
      <c r="AD38" s="208"/>
      <c r="AE38" s="22"/>
    </row>
    <row r="39" spans="1:32" ht="15" customHeight="1" thickBot="1" x14ac:dyDescent="0.25">
      <c r="A39" s="222" t="s">
        <v>153</v>
      </c>
      <c r="B39" s="30"/>
      <c r="C39" s="210"/>
      <c r="D39" s="210" t="s">
        <v>188</v>
      </c>
      <c r="E39" s="210"/>
      <c r="F39" s="173"/>
      <c r="G39" s="65">
        <f>SUM(G35:G38)</f>
        <v>8000</v>
      </c>
      <c r="H39" s="65">
        <v>0</v>
      </c>
      <c r="I39" s="65">
        <v>0</v>
      </c>
      <c r="J39" s="65">
        <v>0</v>
      </c>
      <c r="K39" s="65">
        <v>0</v>
      </c>
      <c r="L39" s="65">
        <v>0</v>
      </c>
      <c r="M39" s="65">
        <v>0</v>
      </c>
      <c r="N39" s="65">
        <v>0</v>
      </c>
      <c r="O39" s="65">
        <v>0</v>
      </c>
      <c r="P39" s="65">
        <v>0</v>
      </c>
      <c r="Q39" s="170">
        <v>0</v>
      </c>
      <c r="R39" s="170">
        <v>0</v>
      </c>
      <c r="S39" s="65">
        <v>0</v>
      </c>
      <c r="T39" s="65">
        <v>0</v>
      </c>
      <c r="U39" s="65">
        <v>0</v>
      </c>
      <c r="V39" s="65">
        <v>0</v>
      </c>
      <c r="W39" s="65">
        <v>0</v>
      </c>
      <c r="X39" s="65">
        <v>0</v>
      </c>
      <c r="Y39" s="65">
        <v>0</v>
      </c>
      <c r="Z39" s="65">
        <v>0</v>
      </c>
      <c r="AA39" s="65">
        <v>0</v>
      </c>
      <c r="AB39" s="65">
        <f>SUM(AB35:AB38)</f>
        <v>8000</v>
      </c>
      <c r="AC39" s="222" t="s">
        <v>153</v>
      </c>
      <c r="AD39" s="203"/>
      <c r="AE39" s="16"/>
    </row>
    <row r="40" spans="1:32" ht="15" customHeight="1" thickTop="1" x14ac:dyDescent="0.2">
      <c r="A40" s="222" t="s">
        <v>154</v>
      </c>
      <c r="B40" s="247">
        <v>1101</v>
      </c>
      <c r="C40" s="210"/>
      <c r="D40" s="210"/>
      <c r="E40" s="210"/>
      <c r="F40" s="169"/>
      <c r="G40" s="25"/>
      <c r="H40" s="25"/>
      <c r="I40" s="25"/>
      <c r="J40" s="25"/>
      <c r="K40" s="25"/>
      <c r="L40" s="25"/>
      <c r="M40" s="25"/>
      <c r="N40" s="25"/>
      <c r="O40" s="25"/>
      <c r="P40" s="25"/>
      <c r="Q40" s="172"/>
      <c r="R40" s="172"/>
      <c r="S40" s="25"/>
      <c r="T40" s="25"/>
      <c r="U40" s="25"/>
      <c r="V40" s="25"/>
      <c r="W40" s="25"/>
      <c r="X40" s="25"/>
      <c r="Y40" s="25"/>
      <c r="Z40" s="25"/>
      <c r="AA40" s="25"/>
      <c r="AB40" s="25"/>
      <c r="AC40" s="222" t="s">
        <v>154</v>
      </c>
      <c r="AD40" s="203"/>
      <c r="AE40" s="16"/>
    </row>
    <row r="41" spans="1:32" ht="17.100000000000001" customHeight="1" x14ac:dyDescent="0.2">
      <c r="A41" s="222" t="s">
        <v>155</v>
      </c>
      <c r="B41" s="30" t="s">
        <v>197</v>
      </c>
      <c r="C41" s="43" t="s">
        <v>281</v>
      </c>
      <c r="D41" s="883" t="s">
        <v>253</v>
      </c>
      <c r="E41" s="884"/>
      <c r="F41" s="179"/>
      <c r="G41" s="27">
        <v>2000</v>
      </c>
      <c r="H41" s="25">
        <v>0</v>
      </c>
      <c r="I41" s="25"/>
      <c r="J41" s="25"/>
      <c r="K41" s="25">
        <v>0</v>
      </c>
      <c r="L41" s="25"/>
      <c r="M41" s="25"/>
      <c r="N41" s="25"/>
      <c r="O41" s="26"/>
      <c r="P41" s="26"/>
      <c r="Q41" s="169"/>
      <c r="R41" s="169"/>
      <c r="S41" s="25"/>
      <c r="T41" s="25"/>
      <c r="U41" s="25"/>
      <c r="V41" s="25"/>
      <c r="W41" s="25"/>
      <c r="X41" s="25"/>
      <c r="Y41" s="25"/>
      <c r="Z41" s="25"/>
      <c r="AA41" s="26"/>
      <c r="AB41" s="26">
        <f>G41</f>
        <v>2000</v>
      </c>
      <c r="AC41" s="222" t="s">
        <v>155</v>
      </c>
      <c r="AD41" s="203"/>
      <c r="AE41" s="16"/>
    </row>
    <row r="42" spans="1:32" ht="17.100000000000001" customHeight="1" x14ac:dyDescent="0.2">
      <c r="A42" s="222" t="s">
        <v>156</v>
      </c>
      <c r="B42" s="30" t="s">
        <v>209</v>
      </c>
      <c r="C42" s="43" t="s">
        <v>281</v>
      </c>
      <c r="D42" s="883" t="s">
        <v>253</v>
      </c>
      <c r="E42" s="884"/>
      <c r="F42" s="179"/>
      <c r="G42" s="27">
        <v>2000</v>
      </c>
      <c r="H42" s="39">
        <v>0</v>
      </c>
      <c r="I42" s="39"/>
      <c r="J42" s="39"/>
      <c r="K42" s="39"/>
      <c r="L42" s="39"/>
      <c r="M42" s="39">
        <v>0</v>
      </c>
      <c r="N42" s="39"/>
      <c r="O42" s="26"/>
      <c r="P42" s="38"/>
      <c r="Q42" s="169"/>
      <c r="R42" s="169"/>
      <c r="S42" s="26"/>
      <c r="T42" s="26"/>
      <c r="U42" s="26"/>
      <c r="V42" s="26"/>
      <c r="W42" s="26"/>
      <c r="X42" s="26"/>
      <c r="Y42" s="26"/>
      <c r="Z42" s="26"/>
      <c r="AA42" s="26"/>
      <c r="AB42" s="26">
        <f>G42</f>
        <v>2000</v>
      </c>
      <c r="AC42" s="222" t="s">
        <v>156</v>
      </c>
      <c r="AD42" s="203"/>
      <c r="AE42" s="16"/>
    </row>
    <row r="43" spans="1:32" ht="15" customHeight="1" thickBot="1" x14ac:dyDescent="0.25">
      <c r="A43" s="222" t="s">
        <v>157</v>
      </c>
      <c r="B43" s="30"/>
      <c r="C43" s="210"/>
      <c r="D43" s="210"/>
      <c r="E43" s="210"/>
      <c r="F43" s="169"/>
      <c r="G43" s="65">
        <f>SUM(G41:G42)</f>
        <v>4000</v>
      </c>
      <c r="H43" s="65">
        <v>0</v>
      </c>
      <c r="I43" s="65">
        <v>0</v>
      </c>
      <c r="J43" s="65">
        <v>0</v>
      </c>
      <c r="K43" s="65">
        <v>0</v>
      </c>
      <c r="L43" s="65">
        <v>0</v>
      </c>
      <c r="M43" s="65">
        <v>0</v>
      </c>
      <c r="N43" s="65">
        <v>0</v>
      </c>
      <c r="O43" s="65">
        <v>0</v>
      </c>
      <c r="P43" s="65">
        <v>0</v>
      </c>
      <c r="Q43" s="170">
        <v>0</v>
      </c>
      <c r="R43" s="170">
        <v>0</v>
      </c>
      <c r="S43" s="65">
        <v>0</v>
      </c>
      <c r="T43" s="65">
        <v>0</v>
      </c>
      <c r="U43" s="65">
        <v>0</v>
      </c>
      <c r="V43" s="65">
        <v>0</v>
      </c>
      <c r="W43" s="65">
        <v>0</v>
      </c>
      <c r="X43" s="65">
        <v>0</v>
      </c>
      <c r="Y43" s="65">
        <v>0</v>
      </c>
      <c r="Z43" s="65">
        <v>0</v>
      </c>
      <c r="AA43" s="65">
        <v>0</v>
      </c>
      <c r="AB43" s="65">
        <f>SUM(AB41:AB42)</f>
        <v>4000</v>
      </c>
      <c r="AC43" s="222" t="s">
        <v>157</v>
      </c>
      <c r="AD43" s="203"/>
      <c r="AE43" s="16"/>
    </row>
    <row r="44" spans="1:32" ht="15" customHeight="1" thickTop="1" x14ac:dyDescent="0.2">
      <c r="A44" s="222" t="s">
        <v>97</v>
      </c>
      <c r="B44" s="247">
        <v>4411</v>
      </c>
      <c r="C44" s="210"/>
      <c r="D44" s="210"/>
      <c r="E44" s="210"/>
      <c r="F44" s="169"/>
      <c r="G44" s="38"/>
      <c r="H44" s="38"/>
      <c r="I44" s="38"/>
      <c r="J44" s="38"/>
      <c r="K44" s="38"/>
      <c r="L44" s="38"/>
      <c r="M44" s="38"/>
      <c r="N44" s="38"/>
      <c r="O44" s="38"/>
      <c r="P44" s="38"/>
      <c r="Q44" s="173"/>
      <c r="R44" s="173"/>
      <c r="S44" s="38"/>
      <c r="T44" s="38"/>
      <c r="U44" s="38"/>
      <c r="V44" s="38"/>
      <c r="W44" s="38"/>
      <c r="X44" s="38"/>
      <c r="Y44" s="38"/>
      <c r="Z44" s="38"/>
      <c r="AA44" s="38"/>
      <c r="AB44" s="39"/>
      <c r="AC44" s="222" t="s">
        <v>97</v>
      </c>
      <c r="AD44" s="203"/>
      <c r="AE44" s="16"/>
    </row>
    <row r="45" spans="1:32" ht="17.100000000000001" customHeight="1" x14ac:dyDescent="0.2">
      <c r="A45" s="222" t="s">
        <v>99</v>
      </c>
      <c r="B45" s="30" t="s">
        <v>284</v>
      </c>
      <c r="C45" s="43" t="s">
        <v>281</v>
      </c>
      <c r="D45" s="883" t="s">
        <v>253</v>
      </c>
      <c r="E45" s="884"/>
      <c r="F45" s="240"/>
      <c r="G45" s="27">
        <v>2000</v>
      </c>
      <c r="H45" s="26">
        <v>150</v>
      </c>
      <c r="I45" s="26">
        <v>1270.5</v>
      </c>
      <c r="J45" s="26">
        <v>950</v>
      </c>
      <c r="K45" s="26"/>
      <c r="L45" s="26"/>
      <c r="M45" s="26"/>
      <c r="N45" s="26"/>
      <c r="O45" s="26"/>
      <c r="P45" s="26"/>
      <c r="Q45" s="169"/>
      <c r="R45" s="169"/>
      <c r="S45" s="26"/>
      <c r="T45" s="26"/>
      <c r="U45" s="26"/>
      <c r="V45" s="26"/>
      <c r="W45" s="26"/>
      <c r="X45" s="26"/>
      <c r="Y45" s="26"/>
      <c r="Z45" s="26"/>
      <c r="AA45" s="26"/>
      <c r="AB45" s="26">
        <f>G45+H45+I45+J45</f>
        <v>4370.5</v>
      </c>
      <c r="AC45" s="222" t="s">
        <v>99</v>
      </c>
      <c r="AD45" s="203"/>
      <c r="AE45" s="16"/>
    </row>
    <row r="46" spans="1:32" ht="17.100000000000001" customHeight="1" x14ac:dyDescent="0.2">
      <c r="A46" s="222" t="s">
        <v>46</v>
      </c>
      <c r="B46" s="30" t="s">
        <v>276</v>
      </c>
      <c r="C46" s="43" t="s">
        <v>281</v>
      </c>
      <c r="D46" s="883" t="s">
        <v>253</v>
      </c>
      <c r="E46" s="884"/>
      <c r="F46" s="240"/>
      <c r="G46" s="27">
        <v>2000</v>
      </c>
      <c r="H46" s="25"/>
      <c r="I46" s="25"/>
      <c r="J46" s="25"/>
      <c r="K46" s="25"/>
      <c r="L46" s="25"/>
      <c r="M46" s="25"/>
      <c r="N46" s="25">
        <v>0</v>
      </c>
      <c r="O46" s="26"/>
      <c r="P46" s="26"/>
      <c r="Q46" s="169"/>
      <c r="R46" s="169"/>
      <c r="S46" s="25"/>
      <c r="T46" s="25"/>
      <c r="U46" s="25"/>
      <c r="V46" s="25"/>
      <c r="W46" s="25"/>
      <c r="X46" s="25"/>
      <c r="Y46" s="25"/>
      <c r="Z46" s="25"/>
      <c r="AA46" s="26"/>
      <c r="AB46" s="26">
        <f>G46</f>
        <v>2000</v>
      </c>
      <c r="AC46" s="222" t="s">
        <v>46</v>
      </c>
      <c r="AD46" s="203"/>
      <c r="AE46" s="16"/>
    </row>
    <row r="47" spans="1:32" ht="15" customHeight="1" thickBot="1" x14ac:dyDescent="0.25">
      <c r="A47" s="222" t="s">
        <v>47</v>
      </c>
      <c r="B47" s="30"/>
      <c r="C47" s="210"/>
      <c r="D47" s="210"/>
      <c r="E47" s="210"/>
      <c r="F47" s="169"/>
      <c r="G47" s="65">
        <f>SUM(G45:G46)</f>
        <v>4000</v>
      </c>
      <c r="H47" s="65">
        <f>SUM(H45:H46)</f>
        <v>150</v>
      </c>
      <c r="I47" s="65">
        <f>SUM(I45:I46)</f>
        <v>1270.5</v>
      </c>
      <c r="J47" s="65">
        <f>SUM(J45:J46)</f>
        <v>950</v>
      </c>
      <c r="K47" s="65">
        <v>0</v>
      </c>
      <c r="L47" s="65">
        <v>0</v>
      </c>
      <c r="M47" s="65">
        <v>0</v>
      </c>
      <c r="N47" s="65">
        <v>0</v>
      </c>
      <c r="O47" s="65">
        <v>0</v>
      </c>
      <c r="P47" s="65">
        <v>0</v>
      </c>
      <c r="Q47" s="170">
        <v>0</v>
      </c>
      <c r="R47" s="170">
        <v>0</v>
      </c>
      <c r="S47" s="65">
        <v>0</v>
      </c>
      <c r="T47" s="65">
        <v>0</v>
      </c>
      <c r="U47" s="65">
        <v>0</v>
      </c>
      <c r="V47" s="65">
        <v>0</v>
      </c>
      <c r="W47" s="65">
        <v>0</v>
      </c>
      <c r="X47" s="65">
        <v>0</v>
      </c>
      <c r="Y47" s="65">
        <v>0</v>
      </c>
      <c r="Z47" s="65">
        <v>0</v>
      </c>
      <c r="AA47" s="65">
        <v>0</v>
      </c>
      <c r="AB47" s="65">
        <f>SUM(AB45:AB46)</f>
        <v>6370.5</v>
      </c>
      <c r="AC47" s="222" t="s">
        <v>47</v>
      </c>
      <c r="AD47" s="203"/>
      <c r="AE47" s="16"/>
    </row>
    <row r="48" spans="1:32" ht="15" customHeight="1" thickTop="1" x14ac:dyDescent="0.2">
      <c r="A48" s="222" t="s">
        <v>100</v>
      </c>
      <c r="B48" s="247">
        <v>6531</v>
      </c>
      <c r="C48" s="225"/>
      <c r="D48" s="233"/>
      <c r="E48" s="242"/>
      <c r="F48" s="179"/>
      <c r="G48" s="212"/>
      <c r="H48" s="212"/>
      <c r="I48" s="212"/>
      <c r="J48" s="212"/>
      <c r="K48" s="212"/>
      <c r="L48" s="212"/>
      <c r="M48" s="212"/>
      <c r="N48" s="212"/>
      <c r="O48" s="212"/>
      <c r="P48" s="212"/>
      <c r="Q48" s="236"/>
      <c r="R48" s="236"/>
      <c r="S48" s="212"/>
      <c r="T48" s="212"/>
      <c r="U48" s="212"/>
      <c r="V48" s="212"/>
      <c r="W48" s="212"/>
      <c r="X48" s="212"/>
      <c r="Y48" s="212"/>
      <c r="Z48" s="212"/>
      <c r="AA48" s="212"/>
      <c r="AB48" s="214"/>
      <c r="AC48" s="222" t="s">
        <v>100</v>
      </c>
      <c r="AD48" s="203"/>
      <c r="AE48" s="16"/>
    </row>
    <row r="49" spans="1:32" ht="17.100000000000001" customHeight="1" x14ac:dyDescent="0.2">
      <c r="A49" s="222" t="s">
        <v>101</v>
      </c>
      <c r="B49" s="244" t="s">
        <v>265</v>
      </c>
      <c r="C49" s="43" t="s">
        <v>281</v>
      </c>
      <c r="D49" s="883" t="s">
        <v>253</v>
      </c>
      <c r="E49" s="884"/>
      <c r="F49" s="179"/>
      <c r="G49" s="27">
        <v>2000</v>
      </c>
      <c r="H49" s="26">
        <v>0</v>
      </c>
      <c r="I49" s="26"/>
      <c r="J49" s="26"/>
      <c r="K49" s="26"/>
      <c r="L49" s="26"/>
      <c r="M49" s="26"/>
      <c r="N49" s="26"/>
      <c r="O49" s="26"/>
      <c r="P49" s="26"/>
      <c r="Q49" s="169"/>
      <c r="R49" s="169"/>
      <c r="S49" s="26"/>
      <c r="T49" s="26"/>
      <c r="U49" s="26"/>
      <c r="V49" s="26"/>
      <c r="W49" s="26"/>
      <c r="X49" s="26"/>
      <c r="Y49" s="26"/>
      <c r="Z49" s="26"/>
      <c r="AA49" s="26"/>
      <c r="AB49" s="26">
        <f>G49</f>
        <v>2000</v>
      </c>
      <c r="AC49" s="222" t="s">
        <v>101</v>
      </c>
      <c r="AD49" s="203"/>
      <c r="AE49" s="16"/>
    </row>
    <row r="50" spans="1:32" ht="15" customHeight="1" x14ac:dyDescent="0.2">
      <c r="A50" s="222" t="s">
        <v>162</v>
      </c>
      <c r="B50" s="30"/>
      <c r="C50" s="210"/>
      <c r="D50" s="210"/>
      <c r="E50" s="210"/>
      <c r="F50" s="172"/>
      <c r="G50" s="226">
        <v>2000</v>
      </c>
      <c r="H50" s="226">
        <v>0</v>
      </c>
      <c r="I50" s="226">
        <v>0</v>
      </c>
      <c r="J50" s="226">
        <v>0</v>
      </c>
      <c r="K50" s="226">
        <v>0</v>
      </c>
      <c r="L50" s="226">
        <v>0</v>
      </c>
      <c r="M50" s="226">
        <v>0</v>
      </c>
      <c r="N50" s="226">
        <v>0</v>
      </c>
      <c r="O50" s="226">
        <v>0</v>
      </c>
      <c r="P50" s="226">
        <v>0</v>
      </c>
      <c r="Q50" s="237">
        <v>0</v>
      </c>
      <c r="R50" s="237">
        <v>0</v>
      </c>
      <c r="S50" s="226">
        <v>0</v>
      </c>
      <c r="T50" s="226">
        <v>0</v>
      </c>
      <c r="U50" s="226">
        <v>0</v>
      </c>
      <c r="V50" s="226">
        <v>0</v>
      </c>
      <c r="W50" s="226">
        <v>0</v>
      </c>
      <c r="X50" s="226">
        <v>0</v>
      </c>
      <c r="Y50" s="226">
        <v>0</v>
      </c>
      <c r="Z50" s="226">
        <v>0</v>
      </c>
      <c r="AA50" s="226">
        <v>0</v>
      </c>
      <c r="AB50" s="226">
        <v>2000</v>
      </c>
      <c r="AC50" s="222" t="s">
        <v>162</v>
      </c>
      <c r="AD50" s="203"/>
      <c r="AE50" s="16"/>
    </row>
    <row r="51" spans="1:32" ht="15" customHeight="1" x14ac:dyDescent="0.2">
      <c r="A51" s="222" t="s">
        <v>177</v>
      </c>
      <c r="B51" s="247">
        <v>7611</v>
      </c>
      <c r="C51" s="225"/>
      <c r="D51" s="233"/>
      <c r="E51" s="242"/>
      <c r="F51" s="179"/>
      <c r="G51" s="212"/>
      <c r="H51" s="212"/>
      <c r="I51" s="212"/>
      <c r="J51" s="212"/>
      <c r="K51" s="212"/>
      <c r="L51" s="212"/>
      <c r="M51" s="212"/>
      <c r="N51" s="212"/>
      <c r="O51" s="212"/>
      <c r="P51" s="212"/>
      <c r="Q51" s="236"/>
      <c r="R51" s="236"/>
      <c r="S51" s="212"/>
      <c r="T51" s="212"/>
      <c r="U51" s="212"/>
      <c r="V51" s="212"/>
      <c r="W51" s="212"/>
      <c r="X51" s="212"/>
      <c r="Y51" s="212"/>
      <c r="Z51" s="212"/>
      <c r="AA51" s="212"/>
      <c r="AB51" s="214"/>
      <c r="AC51" s="222" t="s">
        <v>177</v>
      </c>
      <c r="AD51" s="203"/>
      <c r="AE51" s="16"/>
    </row>
    <row r="52" spans="1:32" ht="17.100000000000001" customHeight="1" x14ac:dyDescent="0.2">
      <c r="A52" s="222" t="s">
        <v>178</v>
      </c>
      <c r="B52" s="244" t="s">
        <v>269</v>
      </c>
      <c r="C52" s="43" t="s">
        <v>281</v>
      </c>
      <c r="D52" s="883" t="s">
        <v>253</v>
      </c>
      <c r="E52" s="884"/>
      <c r="F52" s="179"/>
      <c r="G52" s="27">
        <v>2000</v>
      </c>
      <c r="H52" s="26">
        <v>0</v>
      </c>
      <c r="I52" s="26">
        <v>0</v>
      </c>
      <c r="J52" s="26">
        <v>0</v>
      </c>
      <c r="K52" s="26">
        <v>0</v>
      </c>
      <c r="L52" s="26"/>
      <c r="M52" s="26">
        <v>0</v>
      </c>
      <c r="N52" s="26">
        <v>0</v>
      </c>
      <c r="O52" s="26"/>
      <c r="P52" s="26"/>
      <c r="Q52" s="169"/>
      <c r="R52" s="169"/>
      <c r="S52" s="26"/>
      <c r="T52" s="26"/>
      <c r="U52" s="26"/>
      <c r="V52" s="26"/>
      <c r="W52" s="26"/>
      <c r="X52" s="26"/>
      <c r="Y52" s="26"/>
      <c r="Z52" s="26"/>
      <c r="AA52" s="26"/>
      <c r="AB52" s="26">
        <f>G52</f>
        <v>2000</v>
      </c>
      <c r="AC52" s="222" t="s">
        <v>178</v>
      </c>
      <c r="AD52" s="203"/>
      <c r="AE52" s="16"/>
    </row>
    <row r="53" spans="1:32" ht="17.100000000000001" customHeight="1" x14ac:dyDescent="0.2">
      <c r="A53" s="222" t="s">
        <v>179</v>
      </c>
      <c r="B53" s="30" t="s">
        <v>285</v>
      </c>
      <c r="C53" s="43" t="s">
        <v>281</v>
      </c>
      <c r="D53" s="883" t="s">
        <v>253</v>
      </c>
      <c r="E53" s="884"/>
      <c r="F53" s="179"/>
      <c r="G53" s="27">
        <v>2000</v>
      </c>
      <c r="H53" s="26">
        <v>0</v>
      </c>
      <c r="I53" s="26">
        <v>0</v>
      </c>
      <c r="J53" s="26">
        <v>0</v>
      </c>
      <c r="K53" s="26">
        <v>0</v>
      </c>
      <c r="L53" s="26"/>
      <c r="M53" s="26">
        <v>0</v>
      </c>
      <c r="N53" s="26">
        <v>0</v>
      </c>
      <c r="O53" s="26"/>
      <c r="P53" s="26"/>
      <c r="Q53" s="169"/>
      <c r="R53" s="169"/>
      <c r="S53" s="26"/>
      <c r="T53" s="26"/>
      <c r="U53" s="26"/>
      <c r="V53" s="26"/>
      <c r="W53" s="26"/>
      <c r="X53" s="26"/>
      <c r="Y53" s="26"/>
      <c r="Z53" s="26"/>
      <c r="AA53" s="26"/>
      <c r="AB53" s="26">
        <f>G53</f>
        <v>2000</v>
      </c>
      <c r="AC53" s="222" t="s">
        <v>179</v>
      </c>
      <c r="AD53" s="203"/>
      <c r="AE53" s="16"/>
    </row>
    <row r="54" spans="1:32" ht="15" customHeight="1" x14ac:dyDescent="0.2">
      <c r="A54" s="222" t="s">
        <v>180</v>
      </c>
      <c r="B54" s="30"/>
      <c r="C54" s="43"/>
      <c r="D54" s="233"/>
      <c r="E54" s="242"/>
      <c r="F54" s="179"/>
      <c r="G54" s="226">
        <f>SUM(G52:G53)</f>
        <v>4000</v>
      </c>
      <c r="H54" s="226">
        <v>0</v>
      </c>
      <c r="I54" s="226">
        <v>0</v>
      </c>
      <c r="J54" s="226">
        <v>0</v>
      </c>
      <c r="K54" s="226">
        <v>0</v>
      </c>
      <c r="L54" s="226">
        <v>0</v>
      </c>
      <c r="M54" s="226">
        <v>0</v>
      </c>
      <c r="N54" s="226">
        <v>0</v>
      </c>
      <c r="O54" s="226">
        <v>0</v>
      </c>
      <c r="P54" s="226">
        <v>0</v>
      </c>
      <c r="Q54" s="237">
        <v>0</v>
      </c>
      <c r="R54" s="237">
        <v>0</v>
      </c>
      <c r="S54" s="226">
        <v>0</v>
      </c>
      <c r="T54" s="226">
        <v>0</v>
      </c>
      <c r="U54" s="226">
        <v>0</v>
      </c>
      <c r="V54" s="226">
        <v>0</v>
      </c>
      <c r="W54" s="226">
        <v>0</v>
      </c>
      <c r="X54" s="226">
        <v>0</v>
      </c>
      <c r="Y54" s="226">
        <v>0</v>
      </c>
      <c r="Z54" s="226">
        <v>0</v>
      </c>
      <c r="AA54" s="226">
        <v>0</v>
      </c>
      <c r="AB54" s="226">
        <f>SUM(AB52:AB53)</f>
        <v>4000</v>
      </c>
      <c r="AC54" s="222" t="s">
        <v>180</v>
      </c>
      <c r="AD54" s="203"/>
      <c r="AE54" s="16"/>
    </row>
    <row r="55" spans="1:32" ht="15" customHeight="1" x14ac:dyDescent="0.2">
      <c r="A55" s="222" t="s">
        <v>181</v>
      </c>
      <c r="B55" s="247">
        <v>8711</v>
      </c>
      <c r="C55" s="210"/>
      <c r="D55" s="210"/>
      <c r="E55" s="210"/>
      <c r="F55" s="172"/>
      <c r="G55" s="25"/>
      <c r="H55" s="25"/>
      <c r="I55" s="25"/>
      <c r="J55" s="25"/>
      <c r="K55" s="25"/>
      <c r="L55" s="25"/>
      <c r="M55" s="25"/>
      <c r="N55" s="25"/>
      <c r="O55" s="25"/>
      <c r="P55" s="25"/>
      <c r="Q55" s="172"/>
      <c r="R55" s="172"/>
      <c r="S55" s="25"/>
      <c r="T55" s="25"/>
      <c r="U55" s="25"/>
      <c r="V55" s="25"/>
      <c r="W55" s="25"/>
      <c r="X55" s="25"/>
      <c r="Y55" s="25"/>
      <c r="Z55" s="25"/>
      <c r="AA55" s="25"/>
      <c r="AB55" s="25"/>
      <c r="AC55" s="222" t="s">
        <v>181</v>
      </c>
      <c r="AD55" s="203"/>
      <c r="AE55" s="16"/>
    </row>
    <row r="56" spans="1:32" ht="17.100000000000001" customHeight="1" x14ac:dyDescent="0.2">
      <c r="A56" s="222" t="s">
        <v>186</v>
      </c>
      <c r="B56" s="248" t="s">
        <v>169</v>
      </c>
      <c r="C56" s="43" t="s">
        <v>281</v>
      </c>
      <c r="D56" s="883" t="s">
        <v>253</v>
      </c>
      <c r="E56" s="884"/>
      <c r="F56" s="179"/>
      <c r="G56" s="27">
        <v>2000</v>
      </c>
      <c r="H56" s="25"/>
      <c r="I56" s="25"/>
      <c r="J56" s="25"/>
      <c r="K56" s="25">
        <v>0</v>
      </c>
      <c r="L56" s="25" t="s">
        <v>37</v>
      </c>
      <c r="M56" s="25">
        <v>0</v>
      </c>
      <c r="N56" s="25">
        <v>0</v>
      </c>
      <c r="O56" s="26"/>
      <c r="P56" s="26"/>
      <c r="Q56" s="169"/>
      <c r="R56" s="169"/>
      <c r="S56" s="25"/>
      <c r="T56" s="25"/>
      <c r="U56" s="25"/>
      <c r="V56" s="25"/>
      <c r="W56" s="25"/>
      <c r="X56" s="25"/>
      <c r="Y56" s="25"/>
      <c r="Z56" s="25"/>
      <c r="AA56" s="26"/>
      <c r="AB56" s="26">
        <f>G56</f>
        <v>2000</v>
      </c>
      <c r="AC56" s="222" t="s">
        <v>186</v>
      </c>
      <c r="AD56" s="203"/>
      <c r="AE56" s="16"/>
    </row>
    <row r="57" spans="1:32" ht="17.100000000000001" customHeight="1" x14ac:dyDescent="0.2">
      <c r="A57" s="222" t="s">
        <v>189</v>
      </c>
      <c r="B57" s="248" t="s">
        <v>247</v>
      </c>
      <c r="C57" s="43" t="s">
        <v>281</v>
      </c>
      <c r="D57" s="883" t="s">
        <v>253</v>
      </c>
      <c r="E57" s="884"/>
      <c r="F57" s="179"/>
      <c r="G57" s="27">
        <v>2000</v>
      </c>
      <c r="H57" s="26"/>
      <c r="I57" s="26"/>
      <c r="J57" s="26"/>
      <c r="K57" s="26"/>
      <c r="L57" s="26"/>
      <c r="M57" s="26">
        <v>0</v>
      </c>
      <c r="N57" s="26">
        <v>0</v>
      </c>
      <c r="O57" s="26"/>
      <c r="P57" s="38"/>
      <c r="Q57" s="169"/>
      <c r="R57" s="169"/>
      <c r="S57" s="39"/>
      <c r="T57" s="39"/>
      <c r="U57" s="39"/>
      <c r="V57" s="39"/>
      <c r="W57" s="39"/>
      <c r="X57" s="39"/>
      <c r="Y57" s="39"/>
      <c r="Z57" s="39"/>
      <c r="AA57" s="26"/>
      <c r="AB57" s="26">
        <f>G57</f>
        <v>2000</v>
      </c>
      <c r="AC57" s="222" t="s">
        <v>189</v>
      </c>
      <c r="AD57" s="203"/>
      <c r="AE57" s="16"/>
    </row>
    <row r="58" spans="1:32" ht="15" customHeight="1" thickBot="1" x14ac:dyDescent="0.25">
      <c r="A58" s="222" t="s">
        <v>190</v>
      </c>
      <c r="B58" s="30"/>
      <c r="C58" s="210"/>
      <c r="D58" s="210"/>
      <c r="E58" s="210"/>
      <c r="F58" s="169"/>
      <c r="G58" s="65">
        <f>SUM(G56:G57)</f>
        <v>4000</v>
      </c>
      <c r="H58" s="65">
        <v>0</v>
      </c>
      <c r="I58" s="65">
        <v>0</v>
      </c>
      <c r="J58" s="65">
        <v>0</v>
      </c>
      <c r="K58" s="65">
        <v>0</v>
      </c>
      <c r="L58" s="65">
        <v>0</v>
      </c>
      <c r="M58" s="65">
        <v>0</v>
      </c>
      <c r="N58" s="65">
        <v>0</v>
      </c>
      <c r="O58" s="65">
        <v>0</v>
      </c>
      <c r="P58" s="65">
        <v>0</v>
      </c>
      <c r="Q58" s="170">
        <v>0</v>
      </c>
      <c r="R58" s="170">
        <v>0</v>
      </c>
      <c r="S58" s="65">
        <v>0</v>
      </c>
      <c r="T58" s="65">
        <v>0</v>
      </c>
      <c r="U58" s="65">
        <v>0</v>
      </c>
      <c r="V58" s="65">
        <v>0</v>
      </c>
      <c r="W58" s="65">
        <v>0</v>
      </c>
      <c r="X58" s="65">
        <v>0</v>
      </c>
      <c r="Y58" s="65">
        <v>0</v>
      </c>
      <c r="Z58" s="65">
        <v>0</v>
      </c>
      <c r="AA58" s="65">
        <v>0</v>
      </c>
      <c r="AB58" s="65">
        <f>SUM(AB56:AB57)</f>
        <v>4000</v>
      </c>
      <c r="AC58" s="222" t="s">
        <v>190</v>
      </c>
      <c r="AD58" s="203"/>
      <c r="AE58" s="16"/>
    </row>
    <row r="59" spans="1:32" ht="15" customHeight="1" thickTop="1" x14ac:dyDescent="0.2">
      <c r="A59" s="222" t="s">
        <v>191</v>
      </c>
      <c r="B59" s="247">
        <v>8731</v>
      </c>
      <c r="C59" s="210"/>
      <c r="D59" s="209"/>
      <c r="E59" s="209"/>
      <c r="F59" s="172"/>
      <c r="G59" s="39"/>
      <c r="H59" s="39"/>
      <c r="I59" s="39"/>
      <c r="J59" s="39"/>
      <c r="K59" s="39"/>
      <c r="L59" s="39"/>
      <c r="M59" s="39"/>
      <c r="N59" s="39"/>
      <c r="O59" s="39"/>
      <c r="P59" s="39"/>
      <c r="Q59" s="171"/>
      <c r="R59" s="171"/>
      <c r="S59" s="39"/>
      <c r="T59" s="39"/>
      <c r="U59" s="39"/>
      <c r="V59" s="39"/>
      <c r="W59" s="38"/>
      <c r="X59" s="39"/>
      <c r="Y59" s="39"/>
      <c r="Z59" s="39"/>
      <c r="AA59" s="39"/>
      <c r="AB59" s="39"/>
      <c r="AC59" s="222" t="s">
        <v>191</v>
      </c>
      <c r="AD59" s="203"/>
      <c r="AE59" s="16"/>
    </row>
    <row r="60" spans="1:32" ht="17.100000000000001" customHeight="1" x14ac:dyDescent="0.2">
      <c r="A60" s="222" t="s">
        <v>192</v>
      </c>
      <c r="B60" s="248" t="s">
        <v>215</v>
      </c>
      <c r="C60" s="43" t="s">
        <v>281</v>
      </c>
      <c r="D60" s="883" t="s">
        <v>253</v>
      </c>
      <c r="E60" s="884"/>
      <c r="F60" s="179"/>
      <c r="G60" s="27">
        <v>2000</v>
      </c>
      <c r="H60" s="26">
        <v>0</v>
      </c>
      <c r="I60" s="26"/>
      <c r="J60" s="26"/>
      <c r="K60" s="26"/>
      <c r="L60" s="26" t="s">
        <v>37</v>
      </c>
      <c r="M60" s="26"/>
      <c r="N60" s="26"/>
      <c r="O60" s="26"/>
      <c r="P60" s="26"/>
      <c r="Q60" s="169">
        <v>0</v>
      </c>
      <c r="R60" s="169">
        <v>0</v>
      </c>
      <c r="S60" s="26">
        <v>0</v>
      </c>
      <c r="T60" s="26">
        <v>0</v>
      </c>
      <c r="U60" s="26">
        <v>0</v>
      </c>
      <c r="V60" s="26"/>
      <c r="W60" s="26"/>
      <c r="X60" s="26"/>
      <c r="Y60" s="26"/>
      <c r="Z60" s="26">
        <v>0</v>
      </c>
      <c r="AA60" s="26"/>
      <c r="AB60" s="26">
        <f>G60</f>
        <v>2000</v>
      </c>
      <c r="AC60" s="222" t="s">
        <v>192</v>
      </c>
      <c r="AD60" s="203"/>
      <c r="AE60" s="16"/>
    </row>
    <row r="61" spans="1:32" ht="17.100000000000001" customHeight="1" x14ac:dyDescent="0.2">
      <c r="A61" s="222" t="s">
        <v>193</v>
      </c>
      <c r="B61" s="248" t="s">
        <v>364</v>
      </c>
      <c r="C61" s="43" t="s">
        <v>281</v>
      </c>
      <c r="D61" s="883" t="s">
        <v>253</v>
      </c>
      <c r="E61" s="884"/>
      <c r="F61" s="179"/>
      <c r="G61" s="27">
        <v>2000</v>
      </c>
      <c r="H61" s="26"/>
      <c r="I61" s="26"/>
      <c r="J61" s="26"/>
      <c r="K61" s="26"/>
      <c r="L61" s="26"/>
      <c r="M61" s="26"/>
      <c r="N61" s="26"/>
      <c r="O61" s="26"/>
      <c r="P61" s="26"/>
      <c r="Q61" s="169"/>
      <c r="R61" s="169"/>
      <c r="S61" s="26"/>
      <c r="T61" s="26"/>
      <c r="U61" s="26"/>
      <c r="V61" s="26"/>
      <c r="W61" s="26"/>
      <c r="X61" s="26"/>
      <c r="Y61" s="26"/>
      <c r="Z61" s="26"/>
      <c r="AA61" s="26"/>
      <c r="AB61" s="26">
        <f>G61</f>
        <v>2000</v>
      </c>
      <c r="AC61" s="222" t="s">
        <v>193</v>
      </c>
      <c r="AD61" s="203"/>
      <c r="AE61" s="202"/>
    </row>
    <row r="62" spans="1:32" ht="17.100000000000001" customHeight="1" x14ac:dyDescent="0.2">
      <c r="A62" s="222" t="s">
        <v>194</v>
      </c>
      <c r="B62" s="30" t="s">
        <v>344</v>
      </c>
      <c r="C62" s="43" t="s">
        <v>281</v>
      </c>
      <c r="D62" s="883" t="s">
        <v>253</v>
      </c>
      <c r="E62" s="884"/>
      <c r="F62" s="179"/>
      <c r="G62" s="27">
        <v>2000</v>
      </c>
      <c r="H62" s="26">
        <v>0</v>
      </c>
      <c r="I62" s="26"/>
      <c r="J62" s="26"/>
      <c r="K62" s="26"/>
      <c r="L62" s="26" t="s">
        <v>37</v>
      </c>
      <c r="M62" s="26"/>
      <c r="N62" s="26"/>
      <c r="O62" s="26"/>
      <c r="P62" s="26"/>
      <c r="Q62" s="169">
        <v>0</v>
      </c>
      <c r="R62" s="169">
        <v>0</v>
      </c>
      <c r="S62" s="26">
        <v>0</v>
      </c>
      <c r="T62" s="26">
        <v>0</v>
      </c>
      <c r="U62" s="26">
        <v>0</v>
      </c>
      <c r="V62" s="26"/>
      <c r="W62" s="26"/>
      <c r="X62" s="26"/>
      <c r="Y62" s="26"/>
      <c r="Z62" s="26">
        <v>0</v>
      </c>
      <c r="AA62" s="26"/>
      <c r="AB62" s="26">
        <f>G62</f>
        <v>2000</v>
      </c>
      <c r="AC62" s="222" t="s">
        <v>194</v>
      </c>
      <c r="AD62" s="203"/>
      <c r="AE62" s="63"/>
      <c r="AF62" s="35"/>
    </row>
    <row r="63" spans="1:32" ht="15" customHeight="1" thickBot="1" x14ac:dyDescent="0.25">
      <c r="A63" s="222" t="s">
        <v>195</v>
      </c>
      <c r="B63" s="30" t="s">
        <v>37</v>
      </c>
      <c r="C63" s="218" t="s">
        <v>37</v>
      </c>
      <c r="D63" s="221" t="s">
        <v>37</v>
      </c>
      <c r="E63" s="210" t="s">
        <v>37</v>
      </c>
      <c r="F63" s="179"/>
      <c r="G63" s="68">
        <f>SUM(G60:G62)</f>
        <v>6000</v>
      </c>
      <c r="H63" s="68">
        <v>0</v>
      </c>
      <c r="I63" s="68">
        <v>0</v>
      </c>
      <c r="J63" s="68">
        <v>0</v>
      </c>
      <c r="K63" s="68">
        <v>0</v>
      </c>
      <c r="L63" s="68">
        <v>0</v>
      </c>
      <c r="M63" s="68">
        <v>0</v>
      </c>
      <c r="N63" s="68">
        <v>0</v>
      </c>
      <c r="O63" s="68">
        <v>0</v>
      </c>
      <c r="P63" s="68">
        <v>0</v>
      </c>
      <c r="Q63" s="174">
        <v>0</v>
      </c>
      <c r="R63" s="174">
        <v>0</v>
      </c>
      <c r="S63" s="68">
        <v>0</v>
      </c>
      <c r="T63" s="68">
        <v>0</v>
      </c>
      <c r="U63" s="68">
        <v>0</v>
      </c>
      <c r="V63" s="68">
        <v>0</v>
      </c>
      <c r="W63" s="68">
        <v>0</v>
      </c>
      <c r="X63" s="68">
        <v>0</v>
      </c>
      <c r="Y63" s="68">
        <v>0</v>
      </c>
      <c r="Z63" s="68">
        <v>0</v>
      </c>
      <c r="AA63" s="68">
        <v>0</v>
      </c>
      <c r="AB63" s="68">
        <f>SUM(AB60:AB62)</f>
        <v>6000</v>
      </c>
      <c r="AC63" s="222" t="s">
        <v>195</v>
      </c>
      <c r="AD63" s="203"/>
      <c r="AE63" s="16"/>
    </row>
    <row r="64" spans="1:32" ht="15" customHeight="1" thickTop="1" x14ac:dyDescent="0.2">
      <c r="A64" s="222" t="s">
        <v>217</v>
      </c>
      <c r="B64" s="247">
        <v>8751</v>
      </c>
      <c r="C64" s="210"/>
      <c r="D64" s="210"/>
      <c r="E64" s="210"/>
      <c r="F64" s="169"/>
      <c r="G64" s="26"/>
      <c r="H64" s="26"/>
      <c r="I64" s="26"/>
      <c r="J64" s="26"/>
      <c r="K64" s="26"/>
      <c r="L64" s="26"/>
      <c r="M64" s="26"/>
      <c r="N64" s="26"/>
      <c r="O64" s="26"/>
      <c r="P64" s="26"/>
      <c r="Q64" s="169"/>
      <c r="R64" s="169"/>
      <c r="S64" s="26"/>
      <c r="T64" s="26"/>
      <c r="U64" s="26"/>
      <c r="V64" s="26"/>
      <c r="W64" s="26"/>
      <c r="X64" s="26"/>
      <c r="Y64" s="26"/>
      <c r="Z64" s="26"/>
      <c r="AA64" s="26"/>
      <c r="AB64" s="26"/>
      <c r="AC64" s="222" t="s">
        <v>217</v>
      </c>
      <c r="AD64" s="203" t="s">
        <v>37</v>
      </c>
      <c r="AE64" s="16"/>
    </row>
    <row r="65" spans="1:32" ht="17.100000000000001" customHeight="1" x14ac:dyDescent="0.2">
      <c r="A65" s="222" t="s">
        <v>218</v>
      </c>
      <c r="B65" s="30" t="s">
        <v>292</v>
      </c>
      <c r="C65" s="43" t="s">
        <v>281</v>
      </c>
      <c r="D65" s="883" t="s">
        <v>253</v>
      </c>
      <c r="E65" s="884"/>
      <c r="F65" s="179"/>
      <c r="G65" s="27">
        <v>2000</v>
      </c>
      <c r="H65" s="26">
        <v>0</v>
      </c>
      <c r="I65" s="26"/>
      <c r="J65" s="26"/>
      <c r="K65" s="26">
        <v>0</v>
      </c>
      <c r="L65" s="26"/>
      <c r="M65" s="26">
        <v>0</v>
      </c>
      <c r="N65" s="26">
        <v>0</v>
      </c>
      <c r="O65" s="26"/>
      <c r="P65" s="26"/>
      <c r="Q65" s="169">
        <v>0</v>
      </c>
      <c r="R65" s="169">
        <v>0</v>
      </c>
      <c r="S65" s="26">
        <v>0</v>
      </c>
      <c r="T65" s="26">
        <v>0</v>
      </c>
      <c r="U65" s="26">
        <v>0</v>
      </c>
      <c r="V65" s="26"/>
      <c r="W65" s="26"/>
      <c r="X65" s="26"/>
      <c r="Y65" s="26">
        <v>0</v>
      </c>
      <c r="Z65" s="26">
        <v>0</v>
      </c>
      <c r="AA65" s="26"/>
      <c r="AB65" s="26">
        <f>G65</f>
        <v>2000</v>
      </c>
      <c r="AC65" s="222" t="s">
        <v>218</v>
      </c>
      <c r="AD65" s="203"/>
      <c r="AE65" s="16"/>
    </row>
    <row r="66" spans="1:32" ht="17.100000000000001" customHeight="1" x14ac:dyDescent="0.2">
      <c r="A66" s="222" t="s">
        <v>219</v>
      </c>
      <c r="B66" s="30" t="s">
        <v>345</v>
      </c>
      <c r="C66" s="43" t="s">
        <v>281</v>
      </c>
      <c r="D66" s="883" t="s">
        <v>253</v>
      </c>
      <c r="E66" s="884"/>
      <c r="F66" s="179"/>
      <c r="G66" s="27">
        <v>2000</v>
      </c>
      <c r="H66" s="26">
        <v>0</v>
      </c>
      <c r="I66" s="26"/>
      <c r="J66" s="26"/>
      <c r="K66" s="26">
        <v>0</v>
      </c>
      <c r="L66" s="26"/>
      <c r="M66" s="26">
        <v>0</v>
      </c>
      <c r="N66" s="26">
        <v>0</v>
      </c>
      <c r="O66" s="26"/>
      <c r="P66" s="26"/>
      <c r="Q66" s="169">
        <v>0</v>
      </c>
      <c r="R66" s="169">
        <v>0</v>
      </c>
      <c r="S66" s="26">
        <v>0</v>
      </c>
      <c r="T66" s="26">
        <v>0</v>
      </c>
      <c r="U66" s="26">
        <v>0</v>
      </c>
      <c r="V66" s="26"/>
      <c r="W66" s="26"/>
      <c r="X66" s="26"/>
      <c r="Y66" s="26">
        <v>0</v>
      </c>
      <c r="Z66" s="26">
        <v>0</v>
      </c>
      <c r="AA66" s="26"/>
      <c r="AB66" s="26">
        <f>G66</f>
        <v>2000</v>
      </c>
      <c r="AC66" s="222" t="s">
        <v>219</v>
      </c>
      <c r="AD66" s="203"/>
      <c r="AE66" s="16"/>
    </row>
    <row r="67" spans="1:32" ht="15" customHeight="1" thickBot="1" x14ac:dyDescent="0.25">
      <c r="A67" s="222" t="s">
        <v>223</v>
      </c>
      <c r="B67" s="30"/>
      <c r="C67" s="210"/>
      <c r="D67" s="210"/>
      <c r="E67" s="210"/>
      <c r="F67" s="169"/>
      <c r="G67" s="65">
        <f>SUM(G65:G66)</f>
        <v>4000</v>
      </c>
      <c r="H67" s="65">
        <v>0</v>
      </c>
      <c r="I67" s="65">
        <v>0</v>
      </c>
      <c r="J67" s="65">
        <v>0</v>
      </c>
      <c r="K67" s="65">
        <v>0</v>
      </c>
      <c r="L67" s="65">
        <v>0</v>
      </c>
      <c r="M67" s="65">
        <v>0</v>
      </c>
      <c r="N67" s="65">
        <v>0</v>
      </c>
      <c r="O67" s="65">
        <v>0</v>
      </c>
      <c r="P67" s="65">
        <v>0</v>
      </c>
      <c r="Q67" s="170">
        <v>0</v>
      </c>
      <c r="R67" s="170">
        <v>0</v>
      </c>
      <c r="S67" s="65">
        <v>0</v>
      </c>
      <c r="T67" s="65">
        <v>0</v>
      </c>
      <c r="U67" s="65">
        <v>0</v>
      </c>
      <c r="V67" s="65">
        <v>0</v>
      </c>
      <c r="W67" s="65">
        <v>0</v>
      </c>
      <c r="X67" s="65">
        <v>0</v>
      </c>
      <c r="Y67" s="65">
        <v>0</v>
      </c>
      <c r="Z67" s="65">
        <v>0</v>
      </c>
      <c r="AA67" s="65">
        <v>0</v>
      </c>
      <c r="AB67" s="65">
        <f>SUM(AB65:AB66)</f>
        <v>4000</v>
      </c>
      <c r="AC67" s="222" t="s">
        <v>223</v>
      </c>
      <c r="AD67" s="203"/>
      <c r="AE67" s="16"/>
    </row>
    <row r="68" spans="1:32" ht="15" customHeight="1" thickTop="1" x14ac:dyDescent="0.2">
      <c r="A68" s="222" t="s">
        <v>227</v>
      </c>
      <c r="B68" s="247">
        <v>8841</v>
      </c>
      <c r="C68" s="218"/>
      <c r="D68" s="219"/>
      <c r="E68" s="213"/>
      <c r="F68" s="179"/>
      <c r="G68" s="27"/>
      <c r="H68" s="25"/>
      <c r="I68" s="25"/>
      <c r="J68" s="25"/>
      <c r="K68" s="25"/>
      <c r="L68" s="25"/>
      <c r="M68" s="25"/>
      <c r="N68" s="25"/>
      <c r="O68" s="26"/>
      <c r="P68" s="26"/>
      <c r="Q68" s="169"/>
      <c r="R68" s="169"/>
      <c r="S68" s="25"/>
      <c r="T68" s="25"/>
      <c r="U68" s="25"/>
      <c r="V68" s="25"/>
      <c r="W68" s="25"/>
      <c r="X68" s="25"/>
      <c r="Y68" s="25"/>
      <c r="Z68" s="25"/>
      <c r="AA68" s="26"/>
      <c r="AB68" s="25"/>
      <c r="AC68" s="222" t="s">
        <v>227</v>
      </c>
      <c r="AD68" s="203"/>
      <c r="AE68" s="16"/>
    </row>
    <row r="69" spans="1:32" ht="17.100000000000001" customHeight="1" x14ac:dyDescent="0.2">
      <c r="A69" s="222" t="s">
        <v>228</v>
      </c>
      <c r="B69" s="248" t="s">
        <v>173</v>
      </c>
      <c r="C69" s="43" t="s">
        <v>281</v>
      </c>
      <c r="D69" s="883" t="s">
        <v>253</v>
      </c>
      <c r="E69" s="884"/>
      <c r="F69" s="179"/>
      <c r="G69" s="27">
        <v>2000</v>
      </c>
      <c r="H69" s="25">
        <v>0</v>
      </c>
      <c r="I69" s="25"/>
      <c r="J69" s="25"/>
      <c r="K69" s="25"/>
      <c r="L69" s="25" t="s">
        <v>37</v>
      </c>
      <c r="M69" s="25"/>
      <c r="N69" s="25"/>
      <c r="O69" s="26"/>
      <c r="P69" s="26"/>
      <c r="Q69" s="169"/>
      <c r="R69" s="169"/>
      <c r="S69" s="25"/>
      <c r="T69" s="25"/>
      <c r="U69" s="25"/>
      <c r="V69" s="25"/>
      <c r="W69" s="25"/>
      <c r="X69" s="25"/>
      <c r="Y69" s="25"/>
      <c r="Z69" s="25"/>
      <c r="AA69" s="26"/>
      <c r="AB69" s="26">
        <f>G69</f>
        <v>2000</v>
      </c>
      <c r="AC69" s="222" t="s">
        <v>228</v>
      </c>
      <c r="AD69" s="203"/>
      <c r="AE69" s="16"/>
    </row>
    <row r="70" spans="1:32" ht="15" customHeight="1" thickBot="1" x14ac:dyDescent="0.25">
      <c r="A70" s="222" t="s">
        <v>229</v>
      </c>
      <c r="B70" s="30" t="s">
        <v>37</v>
      </c>
      <c r="C70" s="218" t="s">
        <v>37</v>
      </c>
      <c r="D70" s="219"/>
      <c r="E70" s="213"/>
      <c r="F70" s="179"/>
      <c r="G70" s="68">
        <v>2000</v>
      </c>
      <c r="H70" s="68">
        <v>0</v>
      </c>
      <c r="I70" s="68">
        <v>0</v>
      </c>
      <c r="J70" s="68">
        <v>0</v>
      </c>
      <c r="K70" s="68">
        <v>0</v>
      </c>
      <c r="L70" s="68">
        <v>0</v>
      </c>
      <c r="M70" s="68">
        <v>0</v>
      </c>
      <c r="N70" s="68">
        <v>0</v>
      </c>
      <c r="O70" s="68">
        <v>0</v>
      </c>
      <c r="P70" s="68">
        <v>0</v>
      </c>
      <c r="Q70" s="174">
        <v>0</v>
      </c>
      <c r="R70" s="174">
        <v>0</v>
      </c>
      <c r="S70" s="68">
        <v>0</v>
      </c>
      <c r="T70" s="68">
        <v>0</v>
      </c>
      <c r="U70" s="68">
        <v>0</v>
      </c>
      <c r="V70" s="68">
        <v>0</v>
      </c>
      <c r="W70" s="68">
        <v>0</v>
      </c>
      <c r="X70" s="68">
        <v>0</v>
      </c>
      <c r="Y70" s="68">
        <v>0</v>
      </c>
      <c r="Z70" s="68">
        <v>0</v>
      </c>
      <c r="AA70" s="68">
        <v>0</v>
      </c>
      <c r="AB70" s="68">
        <v>2000</v>
      </c>
      <c r="AC70" s="222" t="s">
        <v>229</v>
      </c>
      <c r="AD70" s="203" t="s">
        <v>37</v>
      </c>
      <c r="AE70" s="16"/>
    </row>
    <row r="71" spans="1:32" ht="15" customHeight="1" thickTop="1" x14ac:dyDescent="0.2">
      <c r="A71" s="222" t="s">
        <v>246</v>
      </c>
      <c r="B71" s="247">
        <v>8852</v>
      </c>
      <c r="C71" s="218" t="s">
        <v>37</v>
      </c>
      <c r="D71" s="221" t="s">
        <v>37</v>
      </c>
      <c r="E71" s="210" t="s">
        <v>37</v>
      </c>
      <c r="F71" s="180"/>
      <c r="G71" s="24"/>
      <c r="H71" s="25"/>
      <c r="I71" s="25"/>
      <c r="J71" s="25"/>
      <c r="K71" s="25"/>
      <c r="L71" s="25"/>
      <c r="M71" s="25"/>
      <c r="N71" s="25"/>
      <c r="O71" s="25"/>
      <c r="P71" s="25"/>
      <c r="Q71" s="172"/>
      <c r="R71" s="172"/>
      <c r="S71" s="25"/>
      <c r="T71" s="25"/>
      <c r="U71" s="25"/>
      <c r="V71" s="25"/>
      <c r="W71" s="25"/>
      <c r="X71" s="25"/>
      <c r="Y71" s="25" t="s">
        <v>37</v>
      </c>
      <c r="Z71" s="25"/>
      <c r="AA71" s="25"/>
      <c r="AB71" s="25"/>
      <c r="AC71" s="222" t="s">
        <v>246</v>
      </c>
      <c r="AD71" s="204" t="s">
        <v>37</v>
      </c>
      <c r="AE71" s="20" t="s">
        <v>37</v>
      </c>
    </row>
    <row r="72" spans="1:32" ht="17.100000000000001" customHeight="1" x14ac:dyDescent="0.2">
      <c r="A72" s="222" t="s">
        <v>266</v>
      </c>
      <c r="B72" s="30" t="s">
        <v>278</v>
      </c>
      <c r="C72" s="43" t="s">
        <v>281</v>
      </c>
      <c r="D72" s="883" t="s">
        <v>253</v>
      </c>
      <c r="E72" s="884"/>
      <c r="F72" s="179"/>
      <c r="G72" s="27">
        <v>2000</v>
      </c>
      <c r="H72" s="26">
        <v>0</v>
      </c>
      <c r="I72" s="26"/>
      <c r="J72" s="26"/>
      <c r="K72" s="26"/>
      <c r="L72" s="26" t="s">
        <v>37</v>
      </c>
      <c r="M72" s="26">
        <v>0</v>
      </c>
      <c r="N72" s="26"/>
      <c r="O72" s="26"/>
      <c r="P72" s="26"/>
      <c r="Q72" s="169">
        <v>0</v>
      </c>
      <c r="R72" s="169">
        <v>0</v>
      </c>
      <c r="S72" s="26">
        <v>0</v>
      </c>
      <c r="T72" s="26"/>
      <c r="U72" s="26">
        <v>0</v>
      </c>
      <c r="V72" s="26" t="s">
        <v>37</v>
      </c>
      <c r="W72" s="26"/>
      <c r="X72" s="26" t="s">
        <v>37</v>
      </c>
      <c r="Y72" s="26"/>
      <c r="Z72" s="26">
        <v>0</v>
      </c>
      <c r="AA72" s="26"/>
      <c r="AB72" s="26">
        <f>G72</f>
        <v>2000</v>
      </c>
      <c r="AC72" s="222" t="s">
        <v>266</v>
      </c>
      <c r="AD72" s="203" t="s">
        <v>37</v>
      </c>
      <c r="AE72" s="16"/>
    </row>
    <row r="73" spans="1:32" ht="17.100000000000001" customHeight="1" x14ac:dyDescent="0.2">
      <c r="A73" s="222" t="s">
        <v>270</v>
      </c>
      <c r="B73" s="82" t="s">
        <v>273</v>
      </c>
      <c r="C73" s="43" t="s">
        <v>281</v>
      </c>
      <c r="D73" s="883" t="s">
        <v>253</v>
      </c>
      <c r="E73" s="884"/>
      <c r="F73" s="179"/>
      <c r="G73" s="27">
        <v>2000</v>
      </c>
      <c r="H73" s="26">
        <v>0</v>
      </c>
      <c r="I73" s="26"/>
      <c r="J73" s="26"/>
      <c r="K73" s="26">
        <v>0</v>
      </c>
      <c r="L73" s="26"/>
      <c r="M73" s="26">
        <v>0</v>
      </c>
      <c r="N73" s="26">
        <v>0</v>
      </c>
      <c r="O73" s="26"/>
      <c r="P73" s="26"/>
      <c r="Q73" s="169">
        <v>0</v>
      </c>
      <c r="R73" s="169">
        <v>0</v>
      </c>
      <c r="S73" s="26">
        <v>0</v>
      </c>
      <c r="T73" s="26">
        <v>0</v>
      </c>
      <c r="U73" s="26">
        <v>0</v>
      </c>
      <c r="V73" s="26"/>
      <c r="W73" s="26"/>
      <c r="X73" s="26"/>
      <c r="Y73" s="26">
        <v>0</v>
      </c>
      <c r="Z73" s="26">
        <v>0</v>
      </c>
      <c r="AA73" s="26"/>
      <c r="AB73" s="26">
        <f>G73</f>
        <v>2000</v>
      </c>
      <c r="AC73" s="222" t="s">
        <v>270</v>
      </c>
      <c r="AD73" s="203"/>
      <c r="AE73" s="16"/>
    </row>
    <row r="74" spans="1:32" ht="15" customHeight="1" thickBot="1" x14ac:dyDescent="0.25">
      <c r="A74" s="222" t="s">
        <v>271</v>
      </c>
      <c r="B74" s="30" t="s">
        <v>37</v>
      </c>
      <c r="C74" s="218" t="s">
        <v>37</v>
      </c>
      <c r="D74" s="221" t="s">
        <v>37</v>
      </c>
      <c r="E74" s="210" t="s">
        <v>37</v>
      </c>
      <c r="F74" s="179"/>
      <c r="G74" s="68">
        <f>SUM(G72:G73)</f>
        <v>4000</v>
      </c>
      <c r="H74" s="68">
        <v>0</v>
      </c>
      <c r="I74" s="68">
        <v>0</v>
      </c>
      <c r="J74" s="68">
        <v>0</v>
      </c>
      <c r="K74" s="68">
        <v>0</v>
      </c>
      <c r="L74" s="68">
        <v>0</v>
      </c>
      <c r="M74" s="68">
        <v>0</v>
      </c>
      <c r="N74" s="68">
        <v>0</v>
      </c>
      <c r="O74" s="68">
        <v>0</v>
      </c>
      <c r="P74" s="68">
        <v>0</v>
      </c>
      <c r="Q74" s="174">
        <v>0</v>
      </c>
      <c r="R74" s="174">
        <v>0</v>
      </c>
      <c r="S74" s="68">
        <v>0</v>
      </c>
      <c r="T74" s="68">
        <v>0</v>
      </c>
      <c r="U74" s="68">
        <v>0</v>
      </c>
      <c r="V74" s="68">
        <v>0</v>
      </c>
      <c r="W74" s="68">
        <v>0</v>
      </c>
      <c r="X74" s="68">
        <v>0</v>
      </c>
      <c r="Y74" s="68">
        <v>0</v>
      </c>
      <c r="Z74" s="68">
        <v>0</v>
      </c>
      <c r="AA74" s="68">
        <v>0</v>
      </c>
      <c r="AB74" s="68">
        <f>SUM(AB72:AB73)</f>
        <v>4000</v>
      </c>
      <c r="AC74" s="222" t="s">
        <v>271</v>
      </c>
      <c r="AD74" s="203"/>
      <c r="AE74" s="16"/>
    </row>
    <row r="75" spans="1:32" ht="15" customHeight="1" thickTop="1" thickBot="1" x14ac:dyDescent="0.25">
      <c r="A75" s="222" t="s">
        <v>286</v>
      </c>
      <c r="B75" s="30" t="s">
        <v>37</v>
      </c>
      <c r="C75" s="218" t="s">
        <v>37</v>
      </c>
      <c r="D75" s="221" t="s">
        <v>37</v>
      </c>
      <c r="E75" s="210" t="s">
        <v>37</v>
      </c>
      <c r="F75" s="179"/>
      <c r="G75" s="68"/>
      <c r="H75" s="68">
        <v>0</v>
      </c>
      <c r="I75" s="68">
        <v>0</v>
      </c>
      <c r="J75" s="68">
        <v>0</v>
      </c>
      <c r="K75" s="68">
        <v>0</v>
      </c>
      <c r="L75" s="68">
        <v>0</v>
      </c>
      <c r="M75" s="68">
        <v>0</v>
      </c>
      <c r="N75" s="68">
        <v>0</v>
      </c>
      <c r="O75" s="68">
        <v>0</v>
      </c>
      <c r="P75" s="68">
        <v>0</v>
      </c>
      <c r="Q75" s="174">
        <v>0</v>
      </c>
      <c r="R75" s="174">
        <v>0</v>
      </c>
      <c r="S75" s="68">
        <v>0</v>
      </c>
      <c r="T75" s="68">
        <v>0</v>
      </c>
      <c r="U75" s="68">
        <v>0</v>
      </c>
      <c r="V75" s="68">
        <v>0</v>
      </c>
      <c r="W75" s="68">
        <v>0</v>
      </c>
      <c r="X75" s="68">
        <v>0</v>
      </c>
      <c r="Y75" s="68">
        <v>0</v>
      </c>
      <c r="Z75" s="68">
        <v>0</v>
      </c>
      <c r="AA75" s="68">
        <v>0</v>
      </c>
      <c r="AB75" s="68"/>
      <c r="AC75" s="222" t="s">
        <v>286</v>
      </c>
      <c r="AD75" s="205"/>
      <c r="AE75" s="63"/>
    </row>
    <row r="76" spans="1:32" ht="14.25" thickTop="1" thickBot="1" x14ac:dyDescent="0.25">
      <c r="A76" s="222" t="s">
        <v>287</v>
      </c>
      <c r="B76" s="40"/>
      <c r="C76" s="211"/>
      <c r="D76" s="211"/>
      <c r="E76" s="211"/>
      <c r="F76" s="241"/>
      <c r="G76" s="65">
        <f>+G75+G74+G70+G67+G63+G58+G54+G50+G47+G43+G39+G33+G26+G19+G16</f>
        <v>66000</v>
      </c>
      <c r="H76" s="65">
        <f>H47</f>
        <v>150</v>
      </c>
      <c r="I76" s="65">
        <f>I47</f>
        <v>1270.5</v>
      </c>
      <c r="J76" s="65">
        <f>J47</f>
        <v>950</v>
      </c>
      <c r="K76" s="65">
        <v>0</v>
      </c>
      <c r="L76" s="65">
        <v>0</v>
      </c>
      <c r="M76" s="65">
        <v>0</v>
      </c>
      <c r="N76" s="65">
        <v>0</v>
      </c>
      <c r="O76" s="65">
        <v>0</v>
      </c>
      <c r="P76" s="65">
        <v>0</v>
      </c>
      <c r="Q76" s="170">
        <v>0</v>
      </c>
      <c r="R76" s="170">
        <v>0</v>
      </c>
      <c r="S76" s="65">
        <v>0</v>
      </c>
      <c r="T76" s="65">
        <v>0</v>
      </c>
      <c r="U76" s="65">
        <v>0</v>
      </c>
      <c r="V76" s="65">
        <v>0</v>
      </c>
      <c r="W76" s="65">
        <v>0</v>
      </c>
      <c r="X76" s="65">
        <v>0</v>
      </c>
      <c r="Y76" s="65">
        <v>0</v>
      </c>
      <c r="Z76" s="65">
        <v>0</v>
      </c>
      <c r="AA76" s="65">
        <v>0</v>
      </c>
      <c r="AB76" s="65">
        <f>+AB75+AB74+AB70+AB67+AB63+AB58+AB54+AB50+AB47+AB43+AB39+AB33+AB26+AB19+AB16</f>
        <v>68370.5</v>
      </c>
      <c r="AC76" s="222" t="s">
        <v>287</v>
      </c>
      <c r="AD76" s="206"/>
      <c r="AE76" s="49"/>
    </row>
    <row r="77" spans="1:32" ht="11.25" customHeight="1" thickTop="1" x14ac:dyDescent="0.2">
      <c r="A77"/>
      <c r="B77"/>
      <c r="C77" s="1" t="s">
        <v>37</v>
      </c>
      <c r="D77"/>
      <c r="E77"/>
      <c r="F77" s="176" t="s">
        <v>37</v>
      </c>
      <c r="G77" s="35"/>
      <c r="H77"/>
      <c r="I77"/>
      <c r="J77"/>
      <c r="K77"/>
      <c r="L77"/>
      <c r="M77" s="35" t="s">
        <v>37</v>
      </c>
      <c r="N77"/>
      <c r="O77" s="1" t="s">
        <v>37</v>
      </c>
      <c r="P77"/>
      <c r="Q77" s="176" t="s">
        <v>37</v>
      </c>
      <c r="R77" s="176" t="s">
        <v>37</v>
      </c>
      <c r="S77"/>
      <c r="T77"/>
      <c r="U77" s="35"/>
      <c r="V77"/>
      <c r="W77"/>
      <c r="X77"/>
      <c r="Y77"/>
      <c r="Z77"/>
      <c r="AA77"/>
      <c r="AB77" s="35"/>
      <c r="AC77"/>
      <c r="AD77" s="18"/>
      <c r="AE77"/>
    </row>
    <row r="78" spans="1:32" ht="11.25" customHeight="1" x14ac:dyDescent="0.2">
      <c r="A78"/>
      <c r="B78"/>
      <c r="C78"/>
      <c r="D78"/>
      <c r="E78"/>
      <c r="F78"/>
      <c r="G78" s="35"/>
      <c r="H78" s="35"/>
      <c r="I78" s="35"/>
      <c r="J78"/>
      <c r="K78" s="35"/>
      <c r="L78"/>
      <c r="M78" s="35"/>
      <c r="N78" s="35"/>
      <c r="O78" s="35"/>
      <c r="P78" s="35"/>
      <c r="Q78" s="175"/>
      <c r="R78"/>
      <c r="S78"/>
      <c r="T78"/>
      <c r="U78"/>
      <c r="V78"/>
      <c r="W78"/>
      <c r="X78"/>
      <c r="Y78"/>
      <c r="Z78"/>
      <c r="AB78" s="253"/>
      <c r="AC78" s="251"/>
      <c r="AD78" s="251"/>
      <c r="AE78" s="251"/>
      <c r="AF78"/>
    </row>
    <row r="79" spans="1:32" ht="11.25" customHeight="1" x14ac:dyDescent="0.2">
      <c r="A79" s="826" t="s">
        <v>49</v>
      </c>
      <c r="B79" s="826"/>
      <c r="C79" s="826"/>
      <c r="D79" s="826"/>
      <c r="E79" s="826"/>
      <c r="F79" s="826"/>
      <c r="G79"/>
      <c r="I79"/>
      <c r="L79"/>
      <c r="M79" s="35"/>
      <c r="N79"/>
      <c r="O79"/>
      <c r="P79" s="35"/>
      <c r="Q79" s="175"/>
      <c r="R79" s="175"/>
      <c r="S79"/>
      <c r="T79"/>
      <c r="U79"/>
      <c r="V79"/>
      <c r="W79"/>
      <c r="X79"/>
      <c r="Y79" s="35"/>
      <c r="Z79"/>
      <c r="AA79" s="826" t="s">
        <v>48</v>
      </c>
      <c r="AB79" s="826"/>
      <c r="AC79" s="826"/>
      <c r="AD79" s="826"/>
      <c r="AE79" s="826"/>
      <c r="AF79"/>
    </row>
    <row r="80" spans="1:32" ht="12.75" x14ac:dyDescent="0.2">
      <c r="A80" s="826"/>
      <c r="B80" s="826"/>
      <c r="C80" s="826"/>
      <c r="D80" s="826"/>
      <c r="E80" s="826"/>
      <c r="F80" s="826"/>
      <c r="G80"/>
      <c r="H80"/>
      <c r="I80"/>
      <c r="J80"/>
      <c r="K80" s="1" t="s">
        <v>50</v>
      </c>
      <c r="L80"/>
      <c r="M80"/>
      <c r="N80"/>
      <c r="O80"/>
      <c r="P80"/>
      <c r="Q80"/>
      <c r="R80"/>
      <c r="S80"/>
      <c r="T80"/>
      <c r="U80"/>
      <c r="V80"/>
      <c r="W80"/>
      <c r="X80"/>
      <c r="Y80"/>
      <c r="Z80"/>
      <c r="AA80" s="826"/>
      <c r="AB80" s="826"/>
      <c r="AC80" s="826"/>
      <c r="AD80" s="826"/>
      <c r="AE80" s="826"/>
      <c r="AF80"/>
    </row>
    <row r="81" spans="1:32" ht="15.75" x14ac:dyDescent="0.25">
      <c r="A81" s="251"/>
      <c r="B81" s="251"/>
      <c r="C81" s="251"/>
      <c r="D81" s="251"/>
      <c r="E81" s="251"/>
      <c r="F81" s="251"/>
      <c r="G81"/>
      <c r="H81"/>
      <c r="J81" s="250"/>
      <c r="K81" s="250"/>
      <c r="L81" s="250"/>
      <c r="N81" s="250"/>
      <c r="O81"/>
      <c r="P81" s="1" t="s">
        <v>37</v>
      </c>
      <c r="Q81"/>
      <c r="R81"/>
      <c r="S81"/>
      <c r="T81"/>
      <c r="U81"/>
      <c r="V81"/>
      <c r="W81"/>
      <c r="X81"/>
      <c r="Y81"/>
      <c r="Z81"/>
      <c r="AA81" s="826"/>
      <c r="AB81" s="826"/>
      <c r="AC81" s="826"/>
      <c r="AD81" s="826"/>
      <c r="AE81" s="826"/>
      <c r="AF81"/>
    </row>
    <row r="82" spans="1:32" ht="12.75" x14ac:dyDescent="0.2">
      <c r="A82"/>
      <c r="B82"/>
      <c r="C82"/>
      <c r="D82"/>
      <c r="E82"/>
      <c r="F82"/>
      <c r="G82"/>
      <c r="H82"/>
      <c r="J82" s="201"/>
      <c r="K82" s="201"/>
      <c r="L82" s="201"/>
      <c r="N82" s="201"/>
      <c r="O82"/>
      <c r="P82"/>
      <c r="Q82"/>
      <c r="R82"/>
      <c r="S82"/>
      <c r="T82"/>
      <c r="U82"/>
      <c r="V82"/>
      <c r="W82"/>
      <c r="X82"/>
      <c r="Y82"/>
      <c r="Z82"/>
      <c r="AA82" s="826"/>
      <c r="AB82" s="826"/>
      <c r="AC82" s="826"/>
      <c r="AD82" s="826"/>
      <c r="AE82" s="826"/>
      <c r="AF82"/>
    </row>
    <row r="83" spans="1:32" ht="12.75" customHeight="1" x14ac:dyDescent="0.25">
      <c r="A83"/>
      <c r="B83"/>
      <c r="C83"/>
      <c r="D83" s="828" t="s">
        <v>200</v>
      </c>
      <c r="E83" s="828"/>
      <c r="F83" s="828"/>
      <c r="G83" s="828"/>
      <c r="H83"/>
      <c r="J83" s="201"/>
      <c r="K83" s="201"/>
      <c r="L83" s="201"/>
      <c r="M83" s="835" t="s">
        <v>200</v>
      </c>
      <c r="N83" s="835"/>
      <c r="O83" s="835"/>
      <c r="P83"/>
      <c r="Q83"/>
      <c r="R83"/>
      <c r="S83"/>
      <c r="T83"/>
      <c r="U83"/>
      <c r="V83"/>
      <c r="W83"/>
      <c r="X83"/>
      <c r="Y83"/>
      <c r="Z83"/>
      <c r="AA83" s="249"/>
      <c r="AB83" s="249"/>
      <c r="AC83" s="249"/>
      <c r="AD83" s="249"/>
      <c r="AE83"/>
      <c r="AF83"/>
    </row>
    <row r="84" spans="1:32" ht="12.75" x14ac:dyDescent="0.2">
      <c r="A84"/>
      <c r="B84"/>
      <c r="C84"/>
      <c r="D84" s="829" t="s">
        <v>171</v>
      </c>
      <c r="E84" s="829"/>
      <c r="F84" s="829"/>
      <c r="G84" s="830"/>
      <c r="H84"/>
      <c r="I84"/>
      <c r="J84"/>
      <c r="K84"/>
      <c r="L84"/>
      <c r="M84" s="824" t="s">
        <v>171</v>
      </c>
      <c r="N84" s="824"/>
      <c r="O84" s="824"/>
      <c r="P84"/>
      <c r="Q84"/>
      <c r="R84"/>
      <c r="S84"/>
      <c r="T84"/>
      <c r="U84"/>
      <c r="V84"/>
      <c r="W84"/>
      <c r="X84"/>
      <c r="Y84"/>
      <c r="Z84"/>
      <c r="AA84" s="249"/>
      <c r="AB84" s="252"/>
      <c r="AC84" s="252"/>
      <c r="AD84" s="252"/>
      <c r="AE84"/>
      <c r="AF84"/>
    </row>
    <row r="85" spans="1:32" ht="16.5" customHeight="1" x14ac:dyDescent="0.2">
      <c r="A85"/>
      <c r="B85"/>
      <c r="C85"/>
      <c r="H85"/>
      <c r="I85"/>
      <c r="J85"/>
      <c r="K85"/>
      <c r="L85"/>
      <c r="M85" s="824" t="s">
        <v>51</v>
      </c>
      <c r="N85" s="824"/>
      <c r="O85" s="824"/>
      <c r="P85"/>
      <c r="Q85"/>
      <c r="R85"/>
      <c r="S85"/>
      <c r="T85"/>
      <c r="U85"/>
      <c r="V85"/>
      <c r="W85"/>
      <c r="X85"/>
      <c r="Y85"/>
      <c r="Z85"/>
      <c r="AA85"/>
      <c r="AB85"/>
      <c r="AC85"/>
      <c r="AD85" s="18"/>
      <c r="AE85"/>
      <c r="AF85"/>
    </row>
    <row r="86" spans="1:32" ht="11.25" customHeight="1" x14ac:dyDescent="0.2">
      <c r="A86" s="17" t="s">
        <v>52</v>
      </c>
      <c r="B86"/>
      <c r="C86"/>
      <c r="D86"/>
      <c r="E86"/>
      <c r="H86"/>
      <c r="I86"/>
      <c r="J86"/>
      <c r="K86"/>
      <c r="L86"/>
      <c r="M86"/>
      <c r="N86"/>
      <c r="O86"/>
      <c r="P86"/>
      <c r="Q86"/>
      <c r="R86"/>
      <c r="S86"/>
      <c r="T86"/>
      <c r="U86"/>
      <c r="V86"/>
      <c r="W86"/>
      <c r="X86"/>
      <c r="Y86"/>
      <c r="Z86"/>
      <c r="AA86" s="825" t="s">
        <v>55</v>
      </c>
      <c r="AB86" s="825"/>
      <c r="AC86" s="825"/>
      <c r="AD86" s="825"/>
      <c r="AE86" s="825"/>
      <c r="AF86"/>
    </row>
    <row r="87" spans="1:32" ht="11.25" customHeight="1" x14ac:dyDescent="0.2">
      <c r="A87"/>
      <c r="B87"/>
      <c r="C87"/>
      <c r="D87"/>
      <c r="E87"/>
      <c r="H87"/>
      <c r="I87"/>
      <c r="J87"/>
      <c r="K87"/>
      <c r="L87"/>
      <c r="M87"/>
      <c r="N87"/>
      <c r="O87"/>
      <c r="P87"/>
      <c r="Q87"/>
      <c r="R87"/>
      <c r="S87"/>
      <c r="T87"/>
      <c r="U87"/>
      <c r="V87"/>
      <c r="W87"/>
      <c r="X87"/>
      <c r="Y87"/>
      <c r="Z87"/>
      <c r="AA87" s="825"/>
      <c r="AB87" s="825"/>
      <c r="AC87" s="825"/>
      <c r="AD87" s="825"/>
      <c r="AE87" s="825"/>
      <c r="AF87"/>
    </row>
    <row r="88" spans="1:32" ht="11.25" customHeight="1" x14ac:dyDescent="0.2">
      <c r="A88"/>
      <c r="B88"/>
      <c r="C88"/>
      <c r="D88"/>
      <c r="E88" s="1" t="s">
        <v>53</v>
      </c>
      <c r="F88"/>
      <c r="G88"/>
      <c r="H88"/>
      <c r="I88"/>
      <c r="J88"/>
      <c r="K88"/>
      <c r="L88"/>
      <c r="M88"/>
      <c r="N88"/>
      <c r="O88"/>
      <c r="P88"/>
      <c r="Q88"/>
      <c r="R88"/>
      <c r="S88"/>
      <c r="T88"/>
      <c r="U88"/>
      <c r="V88"/>
      <c r="W88"/>
      <c r="X88"/>
      <c r="Y88"/>
      <c r="Z88"/>
      <c r="AA88" s="825"/>
      <c r="AB88" s="825"/>
      <c r="AC88" s="825"/>
      <c r="AD88" s="825"/>
      <c r="AE88" s="825"/>
      <c r="AF88"/>
    </row>
    <row r="89" spans="1:32" ht="11.25" customHeight="1" x14ac:dyDescent="0.2">
      <c r="A89" s="17" t="s">
        <v>54</v>
      </c>
      <c r="B89"/>
      <c r="C89"/>
      <c r="D89"/>
      <c r="E89"/>
      <c r="F89"/>
      <c r="G89"/>
      <c r="H89"/>
      <c r="I89"/>
      <c r="J89"/>
      <c r="K89"/>
      <c r="L89"/>
      <c r="M89"/>
      <c r="N89"/>
      <c r="O89"/>
      <c r="P89"/>
      <c r="Q89"/>
      <c r="R89"/>
      <c r="S89"/>
      <c r="T89"/>
      <c r="U89"/>
      <c r="V89"/>
      <c r="W89"/>
      <c r="X89"/>
      <c r="Y89"/>
      <c r="Z89"/>
      <c r="AA89" s="249"/>
      <c r="AB89" s="249"/>
      <c r="AC89" s="249"/>
      <c r="AD89" s="249"/>
      <c r="AE89"/>
      <c r="AF89"/>
    </row>
    <row r="90" spans="1:32" ht="11.25" customHeight="1" x14ac:dyDescent="0.2">
      <c r="A90"/>
      <c r="B90"/>
      <c r="C90" s="1" t="s">
        <v>56</v>
      </c>
      <c r="D90"/>
      <c r="E90" s="1" t="s">
        <v>57</v>
      </c>
      <c r="F90"/>
      <c r="G90"/>
      <c r="H90"/>
      <c r="I90"/>
      <c r="J90"/>
      <c r="K90"/>
      <c r="L90"/>
      <c r="M90"/>
      <c r="N90"/>
      <c r="O90"/>
      <c r="P90"/>
      <c r="Q90"/>
      <c r="R90"/>
      <c r="S90"/>
      <c r="T90"/>
      <c r="U90"/>
      <c r="V90"/>
      <c r="W90"/>
      <c r="X90"/>
      <c r="Y90"/>
      <c r="Z90"/>
      <c r="AA90" s="249"/>
      <c r="AB90" s="252"/>
      <c r="AC90" s="252"/>
      <c r="AD90" s="252"/>
      <c r="AE90" s="19" t="s">
        <v>53</v>
      </c>
      <c r="AF90"/>
    </row>
    <row r="91" spans="1:32" ht="11.25" customHeight="1" x14ac:dyDescent="0.2">
      <c r="F91"/>
      <c r="G91"/>
      <c r="H91"/>
      <c r="I91"/>
      <c r="J91"/>
      <c r="K91"/>
      <c r="L91"/>
      <c r="M91"/>
      <c r="N91"/>
      <c r="O91"/>
      <c r="P91"/>
      <c r="Q91"/>
      <c r="R91"/>
      <c r="S91"/>
      <c r="T91"/>
      <c r="U91"/>
      <c r="V91"/>
      <c r="W91"/>
      <c r="X91"/>
      <c r="Y91"/>
      <c r="Z91"/>
      <c r="AA91" s="104"/>
      <c r="AB91" s="104"/>
      <c r="AC91" s="104"/>
      <c r="AD91" s="104"/>
    </row>
    <row r="94" spans="1:32" ht="12.75" x14ac:dyDescent="0.2">
      <c r="F94"/>
      <c r="G94"/>
      <c r="H94"/>
      <c r="I94"/>
      <c r="J94"/>
      <c r="K94"/>
      <c r="L94"/>
      <c r="M94"/>
      <c r="N94"/>
      <c r="O94"/>
      <c r="P94"/>
      <c r="Q94"/>
      <c r="R94"/>
      <c r="S94"/>
      <c r="T94"/>
      <c r="U94"/>
      <c r="V94"/>
      <c r="W94"/>
      <c r="X94"/>
      <c r="Y94"/>
      <c r="Z94"/>
      <c r="AA94"/>
      <c r="AB94"/>
      <c r="AC94"/>
      <c r="AD94"/>
    </row>
  </sheetData>
  <mergeCells count="81">
    <mergeCell ref="M85:O85"/>
    <mergeCell ref="AA86:AE88"/>
    <mergeCell ref="AA79:AE82"/>
    <mergeCell ref="A79:F80"/>
    <mergeCell ref="T8:T9"/>
    <mergeCell ref="D66:E66"/>
    <mergeCell ref="D56:E56"/>
    <mergeCell ref="D57:E57"/>
    <mergeCell ref="D60:E60"/>
    <mergeCell ref="D62:E62"/>
    <mergeCell ref="D65:E65"/>
    <mergeCell ref="D61:E61"/>
    <mergeCell ref="D84:G84"/>
    <mergeCell ref="D69:E69"/>
    <mergeCell ref="D72:E72"/>
    <mergeCell ref="D73:E73"/>
    <mergeCell ref="A1:AE1"/>
    <mergeCell ref="A2:AE3"/>
    <mergeCell ref="A4:A7"/>
    <mergeCell ref="B4:B9"/>
    <mergeCell ref="C4:C9"/>
    <mergeCell ref="D4:E4"/>
    <mergeCell ref="F4:F5"/>
    <mergeCell ref="G4:G7"/>
    <mergeCell ref="H4:V4"/>
    <mergeCell ref="D5:D7"/>
    <mergeCell ref="E5:E7"/>
    <mergeCell ref="H5:H8"/>
    <mergeCell ref="I5:I8"/>
    <mergeCell ref="AE6:AE8"/>
    <mergeCell ref="M5:U5"/>
    <mergeCell ref="L6:L9"/>
    <mergeCell ref="M84:O84"/>
    <mergeCell ref="D53:E53"/>
    <mergeCell ref="D42:E42"/>
    <mergeCell ref="D45:E45"/>
    <mergeCell ref="D46:E46"/>
    <mergeCell ref="D49:E49"/>
    <mergeCell ref="D52:E52"/>
    <mergeCell ref="D83:G83"/>
    <mergeCell ref="M83:O83"/>
    <mergeCell ref="D41:E41"/>
    <mergeCell ref="D31:E31"/>
    <mergeCell ref="D24:E24"/>
    <mergeCell ref="D25:E25"/>
    <mergeCell ref="D28:E28"/>
    <mergeCell ref="D29:E29"/>
    <mergeCell ref="D30:E30"/>
    <mergeCell ref="D32:E32"/>
    <mergeCell ref="D35:E35"/>
    <mergeCell ref="D36:E36"/>
    <mergeCell ref="D37:E37"/>
    <mergeCell ref="D38:E38"/>
    <mergeCell ref="D12:E12"/>
    <mergeCell ref="D13:E13"/>
    <mergeCell ref="D14:E14"/>
    <mergeCell ref="D15:E15"/>
    <mergeCell ref="D18:E18"/>
    <mergeCell ref="D21:E21"/>
    <mergeCell ref="W6:W8"/>
    <mergeCell ref="O6:P6"/>
    <mergeCell ref="X6:X8"/>
    <mergeCell ref="AD6:AD8"/>
    <mergeCell ref="O7:O8"/>
    <mergeCell ref="N6:N7"/>
    <mergeCell ref="P7:P8"/>
    <mergeCell ref="Q7:T7"/>
    <mergeCell ref="U7:U8"/>
    <mergeCell ref="V7:V8"/>
    <mergeCell ref="Q8:Q9"/>
    <mergeCell ref="Q6:T6"/>
    <mergeCell ref="J5:J8"/>
    <mergeCell ref="K5:K8"/>
    <mergeCell ref="F6:F7"/>
    <mergeCell ref="M6:M7"/>
    <mergeCell ref="AA7:AA8"/>
    <mergeCell ref="Y5:Z8"/>
    <mergeCell ref="AB5:AB9"/>
    <mergeCell ref="AC5:AC9"/>
    <mergeCell ref="R8:R9"/>
    <mergeCell ref="S8:S9"/>
  </mergeCells>
  <pageMargins left="0.53" right="0.33" top="0.28999999999999998" bottom="0.14000000000000001" header="0.28000000000000003" footer="0.13"/>
  <pageSetup paperSize="8" scale="60" orientation="landscape" verticalDpi="300" r:id="rId1"/>
  <headerFooter alignWithMargins="0">
    <oddFooter>&amp;C&amp;P</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FFF00"/>
  </sheetPr>
  <dimension ref="A1:AG45"/>
  <sheetViews>
    <sheetView topLeftCell="A10" workbookViewId="0">
      <selection activeCell="Q20" sqref="Q20"/>
    </sheetView>
  </sheetViews>
  <sheetFormatPr defaultColWidth="9.140625" defaultRowHeight="11.25" x14ac:dyDescent="0.2"/>
  <cols>
    <col min="1" max="1" width="3" style="105" customWidth="1"/>
    <col min="2" max="2" width="21.28515625" style="17" customWidth="1"/>
    <col min="3" max="3" width="12.42578125" style="1" customWidth="1"/>
    <col min="4" max="5" width="7.140625" style="1" customWidth="1"/>
    <col min="6" max="6" width="5" style="1" customWidth="1"/>
    <col min="7" max="7" width="9.5703125" style="176" customWidth="1"/>
    <col min="8" max="8" width="12.28515625" style="1" customWidth="1"/>
    <col min="9" max="9" width="9.7109375" style="1" hidden="1" customWidth="1"/>
    <col min="10" max="10" width="6.5703125" style="1" hidden="1" customWidth="1"/>
    <col min="11" max="11" width="5.42578125" style="1" hidden="1" customWidth="1"/>
    <col min="12" max="12" width="7.85546875" style="1" customWidth="1"/>
    <col min="13" max="13" width="8.42578125" style="1" hidden="1" customWidth="1"/>
    <col min="14" max="14" width="10.42578125" style="1" customWidth="1"/>
    <col min="15" max="15" width="9.85546875" style="1" customWidth="1"/>
    <col min="16" max="17" width="9.28515625" style="1" customWidth="1"/>
    <col min="18" max="18" width="10.5703125" style="176" customWidth="1"/>
    <col min="19" max="19" width="11.28515625" style="176" customWidth="1"/>
    <col min="20" max="21" width="8.85546875" style="1" customWidth="1"/>
    <col min="22" max="22" width="11.7109375" style="1" hidden="1" customWidth="1"/>
    <col min="23" max="23" width="9.140625" style="1" hidden="1" customWidth="1"/>
    <col min="24" max="24" width="5.5703125" style="1" hidden="1" customWidth="1"/>
    <col min="25" max="25" width="10.140625" style="1" hidden="1" customWidth="1"/>
    <col min="26" max="26" width="9.85546875" style="1" customWidth="1"/>
    <col min="27" max="27" width="9.5703125" style="1" customWidth="1"/>
    <col min="28" max="28" width="8.5703125" style="1" customWidth="1"/>
    <col min="29" max="29" width="12.28515625" style="1" customWidth="1"/>
    <col min="30" max="30" width="3.28515625" style="1" customWidth="1"/>
    <col min="31" max="31" width="26.5703125" style="1" customWidth="1"/>
    <col min="32" max="32" width="13" style="1" customWidth="1"/>
    <col min="33" max="16384" width="9.140625" style="1"/>
  </cols>
  <sheetData>
    <row r="1" spans="1:33"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row>
    <row r="2" spans="1:33" ht="11.25" customHeight="1"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s="864"/>
      <c r="AF2" s="864"/>
    </row>
    <row r="3" spans="1:33" ht="21.75" customHeight="1"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s="865"/>
      <c r="AF3" s="865"/>
    </row>
    <row r="4" spans="1:33" s="4" customFormat="1" ht="24" customHeight="1" thickTop="1" x14ac:dyDescent="0.3">
      <c r="A4" s="866" t="s">
        <v>1</v>
      </c>
      <c r="B4" s="868" t="s">
        <v>2</v>
      </c>
      <c r="C4" s="870" t="s">
        <v>3</v>
      </c>
      <c r="D4" s="871" t="s">
        <v>4</v>
      </c>
      <c r="E4" s="871"/>
      <c r="F4" s="872"/>
      <c r="G4" s="872"/>
      <c r="H4" s="866" t="s">
        <v>5</v>
      </c>
      <c r="I4" s="887" t="s">
        <v>6</v>
      </c>
      <c r="J4" s="887"/>
      <c r="K4" s="887"/>
      <c r="L4" s="887"/>
      <c r="M4" s="887"/>
      <c r="N4" s="887"/>
      <c r="O4" s="887"/>
      <c r="P4" s="887"/>
      <c r="Q4" s="887"/>
      <c r="R4" s="887"/>
      <c r="S4" s="887"/>
      <c r="T4" s="887"/>
      <c r="U4" s="887"/>
      <c r="V4" s="887"/>
      <c r="W4" s="887"/>
      <c r="X4" s="110"/>
      <c r="Y4" s="110"/>
      <c r="Z4" s="110"/>
      <c r="AA4" s="110"/>
      <c r="AB4" s="2"/>
      <c r="AC4" s="3"/>
      <c r="AD4" s="3"/>
      <c r="AE4" s="3"/>
      <c r="AF4" s="3"/>
    </row>
    <row r="5" spans="1:33" s="8" customFormat="1" ht="13.5" customHeight="1" x14ac:dyDescent="0.2">
      <c r="A5" s="867"/>
      <c r="B5" s="869"/>
      <c r="C5" s="857"/>
      <c r="D5" s="851" t="s">
        <v>7</v>
      </c>
      <c r="E5" s="852" t="s">
        <v>8</v>
      </c>
      <c r="F5" s="873"/>
      <c r="G5" s="873"/>
      <c r="H5" s="874"/>
      <c r="I5" s="856" t="s">
        <v>9</v>
      </c>
      <c r="J5" s="856" t="s">
        <v>10</v>
      </c>
      <c r="K5" s="856" t="s">
        <v>11</v>
      </c>
      <c r="L5" s="856" t="s">
        <v>160</v>
      </c>
      <c r="M5" s="111"/>
      <c r="N5" s="880" t="s">
        <v>13</v>
      </c>
      <c r="O5" s="881"/>
      <c r="P5" s="881"/>
      <c r="Q5" s="881"/>
      <c r="R5" s="881"/>
      <c r="S5" s="881"/>
      <c r="T5" s="881"/>
      <c r="U5" s="881"/>
      <c r="V5" s="882"/>
      <c r="W5" s="5"/>
      <c r="X5" s="5"/>
      <c r="Y5" s="5"/>
      <c r="Z5" s="845" t="s">
        <v>249</v>
      </c>
      <c r="AA5" s="846"/>
      <c r="AB5" s="6"/>
      <c r="AC5" s="838" t="s">
        <v>14</v>
      </c>
      <c r="AD5" s="842" t="s">
        <v>15</v>
      </c>
      <c r="AE5" s="7"/>
      <c r="AF5" s="7"/>
    </row>
    <row r="6" spans="1:33" s="8" customFormat="1" ht="13.5" customHeight="1" x14ac:dyDescent="0.2">
      <c r="A6" s="867"/>
      <c r="B6" s="869"/>
      <c r="C6" s="857"/>
      <c r="D6" s="867"/>
      <c r="E6" s="867"/>
      <c r="F6" s="309"/>
      <c r="G6" s="840" t="s">
        <v>16</v>
      </c>
      <c r="H6" s="839"/>
      <c r="I6" s="857"/>
      <c r="J6" s="859"/>
      <c r="K6" s="859"/>
      <c r="L6" s="859"/>
      <c r="M6" s="859"/>
      <c r="N6" s="851" t="s">
        <v>172</v>
      </c>
      <c r="O6" s="851" t="s">
        <v>18</v>
      </c>
      <c r="P6" s="860" t="s">
        <v>230</v>
      </c>
      <c r="Q6" s="861"/>
      <c r="R6" s="854" t="s">
        <v>20</v>
      </c>
      <c r="S6" s="854"/>
      <c r="T6" s="854"/>
      <c r="U6" s="855"/>
      <c r="V6" s="9"/>
      <c r="W6" s="106"/>
      <c r="X6" s="838" t="s">
        <v>21</v>
      </c>
      <c r="Y6" s="838" t="s">
        <v>22</v>
      </c>
      <c r="Z6" s="847"/>
      <c r="AA6" s="848"/>
      <c r="AB6" s="10"/>
      <c r="AC6" s="838"/>
      <c r="AD6" s="842"/>
      <c r="AE6" s="838" t="s">
        <v>25</v>
      </c>
      <c r="AF6" s="838" t="s">
        <v>26</v>
      </c>
    </row>
    <row r="7" spans="1:33" s="8" customFormat="1" ht="9" customHeight="1" x14ac:dyDescent="0.2">
      <c r="A7" s="867"/>
      <c r="B7" s="869"/>
      <c r="C7" s="857"/>
      <c r="D7" s="867"/>
      <c r="E7" s="867"/>
      <c r="F7" s="309" t="s">
        <v>389</v>
      </c>
      <c r="G7" s="841"/>
      <c r="H7" s="839"/>
      <c r="I7" s="858"/>
      <c r="J7" s="858"/>
      <c r="K7" s="858"/>
      <c r="L7" s="858"/>
      <c r="M7" s="886"/>
      <c r="N7" s="839"/>
      <c r="O7" s="839"/>
      <c r="P7" s="877" t="s">
        <v>27</v>
      </c>
      <c r="Q7" s="877" t="s">
        <v>28</v>
      </c>
      <c r="R7" s="879" t="s">
        <v>29</v>
      </c>
      <c r="S7" s="879"/>
      <c r="T7" s="879"/>
      <c r="U7" s="879"/>
      <c r="V7" s="838" t="s">
        <v>30</v>
      </c>
      <c r="W7" s="827" t="s">
        <v>61</v>
      </c>
      <c r="X7" s="838"/>
      <c r="Y7" s="839"/>
      <c r="Z7" s="847"/>
      <c r="AA7" s="848"/>
      <c r="AB7" s="844" t="s">
        <v>32</v>
      </c>
      <c r="AC7" s="838"/>
      <c r="AD7" s="842"/>
      <c r="AE7" s="839"/>
      <c r="AF7" s="838"/>
    </row>
    <row r="8" spans="1:33" s="8" customFormat="1" ht="13.5" customHeight="1" x14ac:dyDescent="0.2">
      <c r="A8" s="10"/>
      <c r="B8" s="869"/>
      <c r="C8" s="858"/>
      <c r="D8" s="11"/>
      <c r="E8" s="107"/>
      <c r="F8" s="107"/>
      <c r="G8" s="238"/>
      <c r="H8" s="114"/>
      <c r="I8" s="858"/>
      <c r="J8" s="858"/>
      <c r="K8" s="858"/>
      <c r="L8" s="858"/>
      <c r="M8" s="886"/>
      <c r="N8" s="115"/>
      <c r="O8" s="115"/>
      <c r="P8" s="878"/>
      <c r="Q8" s="878"/>
      <c r="R8" s="836" t="s">
        <v>27</v>
      </c>
      <c r="S8" s="836" t="s">
        <v>33</v>
      </c>
      <c r="T8" s="851" t="s">
        <v>34</v>
      </c>
      <c r="U8" s="852" t="s">
        <v>222</v>
      </c>
      <c r="V8" s="838"/>
      <c r="W8" s="827"/>
      <c r="X8" s="838"/>
      <c r="Y8" s="839"/>
      <c r="Z8" s="849"/>
      <c r="AA8" s="850"/>
      <c r="AB8" s="844"/>
      <c r="AC8" s="838"/>
      <c r="AD8" s="843"/>
      <c r="AE8" s="839"/>
      <c r="AF8" s="838"/>
    </row>
    <row r="9" spans="1:33" s="8" customFormat="1" ht="15.75" customHeight="1" x14ac:dyDescent="0.2">
      <c r="A9" s="10"/>
      <c r="B9" s="869"/>
      <c r="C9" s="858"/>
      <c r="D9" s="11"/>
      <c r="E9" s="107"/>
      <c r="F9" s="107"/>
      <c r="G9" s="238"/>
      <c r="H9" s="114"/>
      <c r="I9" s="7"/>
      <c r="J9" s="7"/>
      <c r="K9" s="113"/>
      <c r="L9" s="113"/>
      <c r="M9" s="886"/>
      <c r="N9" s="115"/>
      <c r="O9" s="115"/>
      <c r="P9" s="107"/>
      <c r="Q9" s="12" t="s">
        <v>37</v>
      </c>
      <c r="R9" s="837"/>
      <c r="S9" s="837"/>
      <c r="T9" s="838"/>
      <c r="U9" s="853"/>
      <c r="V9" s="7"/>
      <c r="W9" s="106"/>
      <c r="X9" s="109"/>
      <c r="Y9" s="109"/>
      <c r="Z9" s="109" t="s">
        <v>23</v>
      </c>
      <c r="AA9" s="106" t="s">
        <v>250</v>
      </c>
      <c r="AB9" s="10"/>
      <c r="AC9" s="838"/>
      <c r="AD9" s="843"/>
      <c r="AE9" s="7"/>
      <c r="AF9" s="7"/>
    </row>
    <row r="10" spans="1:33" s="15" customFormat="1" ht="12" thickBot="1" x14ac:dyDescent="0.25">
      <c r="A10" s="99">
        <v>1</v>
      </c>
      <c r="B10" s="13">
        <v>2</v>
      </c>
      <c r="C10" s="13">
        <v>3</v>
      </c>
      <c r="D10" s="13">
        <v>4</v>
      </c>
      <c r="E10" s="13">
        <v>5</v>
      </c>
      <c r="F10" s="13"/>
      <c r="G10" s="177">
        <v>6</v>
      </c>
      <c r="H10" s="13">
        <v>7</v>
      </c>
      <c r="I10" s="13">
        <v>8</v>
      </c>
      <c r="J10" s="13">
        <v>9</v>
      </c>
      <c r="K10" s="13">
        <v>10</v>
      </c>
      <c r="L10" s="13">
        <v>11</v>
      </c>
      <c r="M10" s="13">
        <v>12</v>
      </c>
      <c r="N10" s="13">
        <v>13</v>
      </c>
      <c r="O10" s="13">
        <v>14</v>
      </c>
      <c r="P10" s="13">
        <v>15</v>
      </c>
      <c r="Q10" s="13">
        <v>16</v>
      </c>
      <c r="R10" s="168">
        <v>17</v>
      </c>
      <c r="S10" s="168">
        <v>18</v>
      </c>
      <c r="T10" s="13">
        <v>19</v>
      </c>
      <c r="U10" s="13">
        <v>20</v>
      </c>
      <c r="V10" s="13">
        <v>21</v>
      </c>
      <c r="W10" s="13">
        <v>22</v>
      </c>
      <c r="X10" s="13">
        <v>23</v>
      </c>
      <c r="Y10" s="13">
        <v>24</v>
      </c>
      <c r="Z10" s="13">
        <v>25</v>
      </c>
      <c r="AA10" s="13">
        <v>26</v>
      </c>
      <c r="AB10" s="13">
        <v>27</v>
      </c>
      <c r="AC10" s="13">
        <v>28</v>
      </c>
      <c r="AD10" s="13">
        <v>29</v>
      </c>
      <c r="AE10" s="13">
        <v>30</v>
      </c>
      <c r="AF10" s="13">
        <v>31</v>
      </c>
    </row>
    <row r="11" spans="1:33" s="15" customFormat="1" ht="24" customHeight="1" thickTop="1" x14ac:dyDescent="0.25">
      <c r="A11" s="222"/>
      <c r="B11" s="66"/>
      <c r="C11" s="215"/>
      <c r="D11" s="216"/>
      <c r="E11" s="216"/>
      <c r="F11" s="216"/>
      <c r="G11" s="178"/>
      <c r="H11" s="41"/>
      <c r="I11" s="41"/>
      <c r="J11" s="41"/>
      <c r="K11" s="41"/>
      <c r="L11" s="41"/>
      <c r="M11" s="41"/>
      <c r="N11" s="41"/>
      <c r="O11" s="41"/>
      <c r="P11" s="41"/>
      <c r="Q11" s="41"/>
      <c r="R11" s="234"/>
      <c r="S11" s="234"/>
      <c r="T11" s="41"/>
      <c r="U11" s="41"/>
      <c r="V11" s="41"/>
      <c r="W11" s="41"/>
      <c r="X11" s="41"/>
      <c r="Y11" s="41"/>
      <c r="Z11" s="41"/>
      <c r="AA11" s="41"/>
      <c r="AB11" s="41"/>
      <c r="AC11" s="41"/>
      <c r="AD11" s="222"/>
      <c r="AE11" s="208"/>
      <c r="AF11" s="22"/>
    </row>
    <row r="12" spans="1:33" s="15" customFormat="1" ht="28.5" customHeight="1" x14ac:dyDescent="0.2">
      <c r="A12" s="222"/>
      <c r="B12" s="374">
        <v>4411</v>
      </c>
      <c r="C12" s="210"/>
      <c r="D12" s="209"/>
      <c r="E12" s="209"/>
      <c r="F12" s="209"/>
      <c r="G12" s="172"/>
      <c r="H12" s="39"/>
      <c r="I12" s="39"/>
      <c r="J12" s="39"/>
      <c r="K12" s="39"/>
      <c r="L12" s="39"/>
      <c r="M12" s="39"/>
      <c r="N12" s="39"/>
      <c r="O12" s="39"/>
      <c r="P12" s="39"/>
      <c r="Q12" s="39"/>
      <c r="R12" s="171"/>
      <c r="S12" s="171"/>
      <c r="T12" s="39"/>
      <c r="U12" s="39"/>
      <c r="V12" s="39"/>
      <c r="W12" s="39"/>
      <c r="X12" s="38"/>
      <c r="Y12" s="39"/>
      <c r="Z12" s="39"/>
      <c r="AA12" s="39"/>
      <c r="AB12" s="39"/>
      <c r="AC12" s="349"/>
      <c r="AD12" s="222"/>
      <c r="AE12" s="207"/>
      <c r="AF12" s="21"/>
    </row>
    <row r="13" spans="1:33" s="15" customFormat="1" ht="28.5" customHeight="1" x14ac:dyDescent="0.35">
      <c r="A13" s="222" t="s">
        <v>38</v>
      </c>
      <c r="B13" s="375" t="s">
        <v>289</v>
      </c>
      <c r="C13" s="43" t="s">
        <v>281</v>
      </c>
      <c r="D13" s="883" t="s">
        <v>397</v>
      </c>
      <c r="E13" s="884"/>
      <c r="F13" s="242">
        <v>12</v>
      </c>
      <c r="G13" s="179">
        <v>430.82</v>
      </c>
      <c r="H13" s="27">
        <f>G13*F13</f>
        <v>5169.84</v>
      </c>
      <c r="I13" s="26">
        <v>0</v>
      </c>
      <c r="J13" s="38"/>
      <c r="K13" s="38"/>
      <c r="L13" s="26">
        <v>0</v>
      </c>
      <c r="M13" s="38"/>
      <c r="N13" s="26">
        <v>0</v>
      </c>
      <c r="O13" s="26">
        <v>0</v>
      </c>
      <c r="P13" s="26">
        <v>112.5</v>
      </c>
      <c r="Q13" s="26">
        <f>P13</f>
        <v>112.5</v>
      </c>
      <c r="R13" s="169">
        <f>ROUND((G13*22)*0.09,2)</f>
        <v>853.02</v>
      </c>
      <c r="S13" s="169">
        <f>ROUND(G13*22*0.12,2)</f>
        <v>1137.3599999999999</v>
      </c>
      <c r="T13" s="38"/>
      <c r="U13" s="38"/>
      <c r="V13" s="38"/>
      <c r="W13" s="38"/>
      <c r="X13" s="38"/>
      <c r="Y13" s="38"/>
      <c r="Z13" s="38"/>
      <c r="AA13" s="38"/>
      <c r="AB13" s="26">
        <v>94.78</v>
      </c>
      <c r="AC13" s="25">
        <f>H13-(SUM(I13:P13)+R13+SUM(T13:AA13))</f>
        <v>4204.32</v>
      </c>
      <c r="AD13" s="222" t="s">
        <v>38</v>
      </c>
      <c r="AE13" s="207"/>
      <c r="AF13" s="21"/>
      <c r="AG13" s="84"/>
    </row>
    <row r="14" spans="1:33" s="15" customFormat="1" ht="28.5" customHeight="1" x14ac:dyDescent="0.2">
      <c r="A14" s="222" t="s">
        <v>127</v>
      </c>
      <c r="B14" s="376" t="s">
        <v>396</v>
      </c>
      <c r="C14" s="43" t="s">
        <v>281</v>
      </c>
      <c r="D14" s="883" t="s">
        <v>253</v>
      </c>
      <c r="E14" s="884"/>
      <c r="F14" s="242">
        <v>13</v>
      </c>
      <c r="G14" s="179">
        <v>430.82</v>
      </c>
      <c r="H14" s="27">
        <f>G14*F14</f>
        <v>5600.66</v>
      </c>
      <c r="I14" s="26">
        <v>0</v>
      </c>
      <c r="J14" s="26"/>
      <c r="K14" s="26"/>
      <c r="L14" s="26">
        <v>0</v>
      </c>
      <c r="M14" s="26" t="s">
        <v>37</v>
      </c>
      <c r="N14" s="26">
        <v>0</v>
      </c>
      <c r="O14" s="26">
        <v>0</v>
      </c>
      <c r="P14" s="26">
        <v>112.5</v>
      </c>
      <c r="Q14" s="26">
        <f>P14</f>
        <v>112.5</v>
      </c>
      <c r="R14" s="169">
        <f>ROUND((G14*22)*0.09,2)</f>
        <v>853.02</v>
      </c>
      <c r="S14" s="169">
        <f>ROUND(G14*22*0.12,2)</f>
        <v>1137.3599999999999</v>
      </c>
      <c r="T14" s="26">
        <v>0</v>
      </c>
      <c r="U14" s="26">
        <v>0</v>
      </c>
      <c r="V14" s="26">
        <v>0</v>
      </c>
      <c r="W14" s="26"/>
      <c r="X14" s="26"/>
      <c r="Y14" s="26"/>
      <c r="Z14" s="26">
        <v>0</v>
      </c>
      <c r="AA14" s="26">
        <v>0</v>
      </c>
      <c r="AB14" s="26">
        <v>94.78</v>
      </c>
      <c r="AC14" s="26">
        <f>H14-(SUM(I14:P14)+R14+SUM(T14:AA14))</f>
        <v>4635.1399999999994</v>
      </c>
      <c r="AD14" s="222" t="s">
        <v>127</v>
      </c>
      <c r="AE14" s="207"/>
      <c r="AF14" s="21"/>
    </row>
    <row r="15" spans="1:33" s="15" customFormat="1" ht="28.5" customHeight="1" x14ac:dyDescent="0.2">
      <c r="A15" s="222"/>
      <c r="B15" s="376"/>
      <c r="C15" s="223"/>
      <c r="D15" s="883"/>
      <c r="E15" s="884"/>
      <c r="F15" s="242"/>
      <c r="G15" s="179"/>
      <c r="H15" s="27"/>
      <c r="I15" s="26"/>
      <c r="J15" s="26"/>
      <c r="K15" s="26"/>
      <c r="L15" s="26"/>
      <c r="M15" s="26"/>
      <c r="N15" s="26"/>
      <c r="O15" s="26"/>
      <c r="P15" s="26"/>
      <c r="Q15" s="38"/>
      <c r="R15" s="169"/>
      <c r="S15" s="169"/>
      <c r="T15" s="39"/>
      <c r="U15" s="39"/>
      <c r="V15" s="39"/>
      <c r="W15" s="39"/>
      <c r="X15" s="39"/>
      <c r="Y15" s="39"/>
      <c r="Z15" s="39"/>
      <c r="AA15" s="39"/>
      <c r="AB15" s="26"/>
      <c r="AC15" s="25"/>
      <c r="AD15" s="222"/>
      <c r="AE15" s="207"/>
      <c r="AF15" s="21"/>
    </row>
    <row r="16" spans="1:33" s="15" customFormat="1" ht="28.5" customHeight="1" x14ac:dyDescent="0.2">
      <c r="A16" s="222"/>
      <c r="B16" s="51"/>
      <c r="C16" s="43"/>
      <c r="D16" s="217"/>
      <c r="E16" s="213"/>
      <c r="F16" s="213"/>
      <c r="G16" s="169"/>
      <c r="H16" s="226"/>
      <c r="I16" s="226"/>
      <c r="J16" s="226"/>
      <c r="K16" s="226"/>
      <c r="L16" s="226"/>
      <c r="M16" s="226"/>
      <c r="N16" s="226"/>
      <c r="O16" s="226"/>
      <c r="P16" s="226"/>
      <c r="Q16" s="226"/>
      <c r="R16" s="237"/>
      <c r="S16" s="237"/>
      <c r="T16" s="226"/>
      <c r="U16" s="226"/>
      <c r="V16" s="226"/>
      <c r="W16" s="226"/>
      <c r="X16" s="226"/>
      <c r="Y16" s="226"/>
      <c r="Z16" s="226"/>
      <c r="AA16" s="226"/>
      <c r="AB16" s="226"/>
      <c r="AC16" s="356"/>
      <c r="AD16" s="222"/>
      <c r="AE16" s="207"/>
      <c r="AF16" s="21"/>
    </row>
    <row r="17" spans="1:33" s="15" customFormat="1" ht="28.5" customHeight="1" x14ac:dyDescent="0.2">
      <c r="A17" s="222"/>
      <c r="B17" s="66"/>
      <c r="C17" s="223"/>
      <c r="D17" s="217"/>
      <c r="E17" s="213"/>
      <c r="F17" s="220"/>
      <c r="G17" s="172"/>
      <c r="H17" s="26"/>
      <c r="I17" s="26"/>
      <c r="J17" s="26"/>
      <c r="K17" s="26"/>
      <c r="L17" s="26"/>
      <c r="M17" s="26"/>
      <c r="N17" s="26"/>
      <c r="O17" s="26"/>
      <c r="P17" s="26"/>
      <c r="Q17" s="26"/>
      <c r="R17" s="169"/>
      <c r="S17" s="169"/>
      <c r="T17" s="26"/>
      <c r="U17" s="26"/>
      <c r="V17" s="26"/>
      <c r="W17" s="26"/>
      <c r="X17" s="26"/>
      <c r="Y17" s="26"/>
      <c r="Z17" s="26"/>
      <c r="AA17" s="26"/>
      <c r="AB17" s="26"/>
      <c r="AC17" s="349"/>
      <c r="AD17" s="222"/>
      <c r="AE17" s="208"/>
      <c r="AF17" s="22"/>
    </row>
    <row r="18" spans="1:33" ht="28.5" customHeight="1" x14ac:dyDescent="0.2">
      <c r="A18" s="222"/>
      <c r="B18" s="52"/>
      <c r="C18" s="43"/>
      <c r="D18" s="256"/>
      <c r="E18" s="255"/>
      <c r="F18" s="255"/>
      <c r="G18" s="179"/>
      <c r="H18" s="27"/>
      <c r="I18" s="26"/>
      <c r="J18" s="26"/>
      <c r="K18" s="26"/>
      <c r="L18" s="26"/>
      <c r="M18" s="26"/>
      <c r="N18" s="26"/>
      <c r="O18" s="26"/>
      <c r="P18" s="26"/>
      <c r="Q18" s="26"/>
      <c r="R18" s="169"/>
      <c r="S18" s="169"/>
      <c r="T18" s="26"/>
      <c r="U18" s="26"/>
      <c r="V18" s="26"/>
      <c r="W18" s="26"/>
      <c r="X18" s="26"/>
      <c r="Y18" s="26"/>
      <c r="Z18" s="26"/>
      <c r="AA18" s="26"/>
      <c r="AB18" s="26"/>
      <c r="AC18" s="349"/>
      <c r="AD18" s="222"/>
      <c r="AE18" s="203"/>
      <c r="AF18" s="16"/>
    </row>
    <row r="19" spans="1:33" ht="28.5" customHeight="1" x14ac:dyDescent="0.2">
      <c r="A19" s="222"/>
      <c r="B19" s="52"/>
      <c r="C19" s="43"/>
      <c r="D19" s="256"/>
      <c r="E19" s="255"/>
      <c r="F19" s="255"/>
      <c r="G19" s="179"/>
      <c r="H19" s="27"/>
      <c r="I19" s="26"/>
      <c r="J19" s="26"/>
      <c r="K19" s="26"/>
      <c r="L19" s="26"/>
      <c r="M19" s="26"/>
      <c r="N19" s="26"/>
      <c r="O19" s="26"/>
      <c r="P19" s="26"/>
      <c r="Q19" s="26"/>
      <c r="R19" s="169"/>
      <c r="S19" s="169"/>
      <c r="T19" s="26"/>
      <c r="U19" s="26"/>
      <c r="V19" s="26"/>
      <c r="W19" s="26"/>
      <c r="X19" s="26"/>
      <c r="Y19" s="26"/>
      <c r="Z19" s="26"/>
      <c r="AA19" s="26"/>
      <c r="AB19" s="26"/>
      <c r="AC19" s="349"/>
      <c r="AD19" s="222"/>
      <c r="AE19" s="203"/>
      <c r="AF19" s="16"/>
    </row>
    <row r="20" spans="1:33" ht="28.5" customHeight="1" x14ac:dyDescent="0.2">
      <c r="A20" s="222"/>
      <c r="B20" s="52"/>
      <c r="C20" s="43"/>
      <c r="D20" s="256"/>
      <c r="E20" s="255"/>
      <c r="F20" s="255"/>
      <c r="G20" s="179"/>
      <c r="H20" s="27"/>
      <c r="I20" s="26"/>
      <c r="J20" s="26"/>
      <c r="K20" s="26"/>
      <c r="L20" s="26"/>
      <c r="M20" s="26"/>
      <c r="N20" s="26"/>
      <c r="O20" s="26"/>
      <c r="P20" s="26"/>
      <c r="Q20" s="26"/>
      <c r="R20" s="169"/>
      <c r="S20" s="169"/>
      <c r="T20" s="26"/>
      <c r="U20" s="26"/>
      <c r="V20" s="26"/>
      <c r="W20" s="26"/>
      <c r="X20" s="26"/>
      <c r="Y20" s="26"/>
      <c r="Z20" s="26"/>
      <c r="AA20" s="26"/>
      <c r="AB20" s="26"/>
      <c r="AC20" s="349"/>
      <c r="AD20" s="222"/>
      <c r="AE20" s="203"/>
      <c r="AF20" s="16"/>
    </row>
    <row r="21" spans="1:33" ht="28.5" customHeight="1" x14ac:dyDescent="0.2">
      <c r="A21" s="222"/>
      <c r="B21" s="51"/>
      <c r="C21" s="43"/>
      <c r="D21" s="256"/>
      <c r="E21" s="255"/>
      <c r="F21" s="255"/>
      <c r="G21" s="179"/>
      <c r="H21" s="27"/>
      <c r="I21" s="26"/>
      <c r="J21" s="26"/>
      <c r="K21" s="26"/>
      <c r="L21" s="26"/>
      <c r="M21" s="26"/>
      <c r="N21" s="26"/>
      <c r="O21" s="26"/>
      <c r="P21" s="26"/>
      <c r="Q21" s="26"/>
      <c r="R21" s="169"/>
      <c r="S21" s="169"/>
      <c r="T21" s="26"/>
      <c r="U21" s="26"/>
      <c r="V21" s="26"/>
      <c r="W21" s="26"/>
      <c r="X21" s="26"/>
      <c r="Y21" s="26"/>
      <c r="Z21" s="26"/>
      <c r="AA21" s="26"/>
      <c r="AB21" s="26"/>
      <c r="AC21" s="349"/>
      <c r="AD21" s="222"/>
      <c r="AE21" s="205"/>
      <c r="AF21" s="63"/>
    </row>
    <row r="22" spans="1:33" s="15" customFormat="1" ht="28.5" customHeight="1" x14ac:dyDescent="0.2">
      <c r="A22" s="222"/>
      <c r="B22" s="51"/>
      <c r="C22" s="43"/>
      <c r="D22" s="256"/>
      <c r="E22" s="255"/>
      <c r="F22" s="255"/>
      <c r="G22" s="179"/>
      <c r="H22" s="27"/>
      <c r="I22" s="26"/>
      <c r="J22" s="26"/>
      <c r="K22" s="26"/>
      <c r="L22" s="26"/>
      <c r="M22" s="26"/>
      <c r="N22" s="26"/>
      <c r="O22" s="26"/>
      <c r="P22" s="26"/>
      <c r="Q22" s="26"/>
      <c r="R22" s="169"/>
      <c r="S22" s="169"/>
      <c r="T22" s="26"/>
      <c r="U22" s="26"/>
      <c r="V22" s="26"/>
      <c r="W22" s="26"/>
      <c r="X22" s="26"/>
      <c r="Y22" s="26"/>
      <c r="Z22" s="26"/>
      <c r="AA22" s="26"/>
      <c r="AB22" s="26"/>
      <c r="AC22" s="349"/>
      <c r="AD22" s="222"/>
      <c r="AE22" s="207"/>
      <c r="AF22" s="21"/>
    </row>
    <row r="23" spans="1:33" ht="28.5" customHeight="1" x14ac:dyDescent="0.2">
      <c r="A23" s="222"/>
      <c r="B23" s="51"/>
      <c r="C23" s="43"/>
      <c r="D23" s="377"/>
      <c r="E23" s="378"/>
      <c r="F23" s="378"/>
      <c r="G23" s="179"/>
      <c r="H23" s="27"/>
      <c r="I23" s="26"/>
      <c r="J23" s="26"/>
      <c r="K23" s="26"/>
      <c r="L23" s="26"/>
      <c r="M23" s="26"/>
      <c r="N23" s="26"/>
      <c r="O23" s="26"/>
      <c r="P23" s="26"/>
      <c r="Q23" s="26"/>
      <c r="R23" s="169"/>
      <c r="S23" s="169"/>
      <c r="T23" s="26"/>
      <c r="U23" s="26"/>
      <c r="V23" s="26"/>
      <c r="W23" s="26"/>
      <c r="X23" s="26"/>
      <c r="Y23" s="26"/>
      <c r="Z23" s="26"/>
      <c r="AA23" s="26"/>
      <c r="AB23" s="26"/>
      <c r="AC23" s="349"/>
      <c r="AD23" s="222"/>
      <c r="AE23" s="203"/>
      <c r="AF23" s="16"/>
      <c r="AG23" s="35"/>
    </row>
    <row r="24" spans="1:33" s="15" customFormat="1" ht="28.5" customHeight="1" thickBot="1" x14ac:dyDescent="0.25">
      <c r="A24" s="222"/>
      <c r="B24" s="51"/>
      <c r="C24" s="43"/>
      <c r="D24" s="377"/>
      <c r="E24" s="378"/>
      <c r="F24" s="378"/>
      <c r="G24" s="179"/>
      <c r="H24" s="29"/>
      <c r="I24" s="28"/>
      <c r="J24" s="28"/>
      <c r="K24" s="28"/>
      <c r="L24" s="28"/>
      <c r="M24" s="28"/>
      <c r="N24" s="28"/>
      <c r="O24" s="28"/>
      <c r="P24" s="28"/>
      <c r="Q24" s="28"/>
      <c r="R24" s="241"/>
      <c r="S24" s="241"/>
      <c r="T24" s="28"/>
      <c r="U24" s="28"/>
      <c r="V24" s="28"/>
      <c r="W24" s="28"/>
      <c r="X24" s="28"/>
      <c r="Y24" s="28"/>
      <c r="Z24" s="28"/>
      <c r="AA24" s="28"/>
      <c r="AB24" s="28"/>
      <c r="AC24" s="380"/>
      <c r="AD24" s="222"/>
      <c r="AE24" s="208"/>
      <c r="AF24" s="22"/>
    </row>
    <row r="25" spans="1:33" ht="28.5" customHeight="1" thickTop="1" thickBot="1" x14ac:dyDescent="0.25">
      <c r="A25" s="48"/>
      <c r="B25" s="40"/>
      <c r="C25" s="211"/>
      <c r="D25" s="211"/>
      <c r="E25" s="211"/>
      <c r="F25" s="211"/>
      <c r="G25" s="241"/>
      <c r="H25" s="379">
        <f>SUM(H13:H24)</f>
        <v>10770.5</v>
      </c>
      <c r="I25" s="379"/>
      <c r="J25" s="379"/>
      <c r="K25" s="379"/>
      <c r="L25" s="379"/>
      <c r="M25" s="379"/>
      <c r="N25" s="379"/>
      <c r="O25" s="379"/>
      <c r="P25" s="379">
        <f>SUM(P13:P24)</f>
        <v>225</v>
      </c>
      <c r="Q25" s="379">
        <f>SUM(Q13:Q24)</f>
        <v>225</v>
      </c>
      <c r="R25" s="379">
        <f>SUM(R13:R24)</f>
        <v>1706.04</v>
      </c>
      <c r="S25" s="379">
        <f>SUM(S13:S24)</f>
        <v>2274.7199999999998</v>
      </c>
      <c r="T25" s="379"/>
      <c r="U25" s="379"/>
      <c r="V25" s="379"/>
      <c r="W25" s="379"/>
      <c r="X25" s="379"/>
      <c r="Y25" s="379"/>
      <c r="Z25" s="379"/>
      <c r="AA25" s="379"/>
      <c r="AB25" s="379">
        <f>SUM(AB13:AB24)</f>
        <v>189.56</v>
      </c>
      <c r="AC25" s="379">
        <f>SUM(AC13:AC24)</f>
        <v>8839.4599999999991</v>
      </c>
      <c r="AD25" s="222"/>
      <c r="AE25" s="206"/>
      <c r="AF25" s="49"/>
    </row>
    <row r="26" spans="1:33" ht="12" thickTop="1" x14ac:dyDescent="0.2">
      <c r="H26" s="35"/>
      <c r="L26" s="35"/>
      <c r="O26" s="35"/>
      <c r="P26" s="35"/>
      <c r="R26" s="175"/>
      <c r="S26" s="175"/>
      <c r="U26" s="35"/>
      <c r="Z26" s="35"/>
      <c r="AA26" s="35"/>
      <c r="AB26" s="35"/>
      <c r="AE26" s="18"/>
    </row>
    <row r="27" spans="1:33" ht="5.25" customHeight="1" x14ac:dyDescent="0.2">
      <c r="C27" s="1" t="s">
        <v>37</v>
      </c>
      <c r="G27" s="176" t="s">
        <v>37</v>
      </c>
      <c r="H27" s="35"/>
      <c r="N27" s="35" t="s">
        <v>37</v>
      </c>
      <c r="P27" s="1" t="s">
        <v>37</v>
      </c>
      <c r="R27" s="176" t="s">
        <v>37</v>
      </c>
      <c r="S27" s="176" t="s">
        <v>37</v>
      </c>
      <c r="V27" s="35"/>
      <c r="AC27" s="35"/>
      <c r="AE27" s="18"/>
    </row>
    <row r="28" spans="1:33" hidden="1" x14ac:dyDescent="0.2">
      <c r="H28" s="35"/>
      <c r="I28" s="35"/>
      <c r="J28" s="35"/>
      <c r="L28" s="35"/>
      <c r="N28" s="35"/>
      <c r="O28" s="35"/>
      <c r="P28" s="35"/>
      <c r="Q28" s="35"/>
      <c r="R28" s="175"/>
      <c r="AB28" s="889" t="s">
        <v>48</v>
      </c>
      <c r="AC28" s="830"/>
      <c r="AD28" s="830"/>
      <c r="AE28" s="830"/>
    </row>
    <row r="29" spans="1:33" ht="11.25" customHeight="1" x14ac:dyDescent="0.2">
      <c r="A29" s="889" t="s">
        <v>49</v>
      </c>
      <c r="B29" s="889"/>
      <c r="C29" s="889"/>
      <c r="D29" s="889"/>
      <c r="E29" s="889"/>
      <c r="F29" s="889"/>
      <c r="G29" s="889"/>
      <c r="I29" s="1" t="s">
        <v>50</v>
      </c>
      <c r="N29" s="35"/>
      <c r="Q29" s="35"/>
      <c r="R29" s="175"/>
      <c r="S29" s="175"/>
      <c r="Z29" s="35"/>
      <c r="AB29" s="830"/>
      <c r="AC29" s="830"/>
      <c r="AD29" s="830"/>
      <c r="AE29" s="830"/>
    </row>
    <row r="30" spans="1:33" x14ac:dyDescent="0.2">
      <c r="A30" s="889"/>
      <c r="B30" s="889"/>
      <c r="C30" s="889"/>
      <c r="D30" s="889"/>
      <c r="E30" s="889"/>
      <c r="F30" s="889"/>
      <c r="G30" s="889"/>
      <c r="AB30" s="830"/>
      <c r="AC30" s="830"/>
      <c r="AD30" s="830"/>
      <c r="AE30" s="830"/>
    </row>
    <row r="31" spans="1:33" ht="15" x14ac:dyDescent="0.25">
      <c r="A31" s="889"/>
      <c r="B31" s="889"/>
      <c r="C31" s="889"/>
      <c r="D31" s="889"/>
      <c r="E31" s="889"/>
      <c r="F31" s="889"/>
      <c r="G31" s="889"/>
      <c r="J31" s="890" t="s">
        <v>200</v>
      </c>
      <c r="K31" s="890"/>
      <c r="L31" s="890"/>
      <c r="M31" s="890"/>
      <c r="N31" s="890"/>
      <c r="O31" s="890"/>
      <c r="Q31" s="1" t="s">
        <v>37</v>
      </c>
      <c r="AB31" s="830"/>
      <c r="AC31" s="830"/>
      <c r="AD31" s="830"/>
      <c r="AE31" s="830"/>
    </row>
    <row r="32" spans="1:33" ht="12.75" x14ac:dyDescent="0.2">
      <c r="J32" s="824" t="s">
        <v>79</v>
      </c>
      <c r="K32" s="824"/>
      <c r="L32" s="824"/>
      <c r="M32" s="824"/>
      <c r="N32" s="824"/>
      <c r="O32" s="824"/>
      <c r="AB32" s="830"/>
      <c r="AC32" s="830"/>
      <c r="AD32" s="830"/>
      <c r="AE32" s="830"/>
    </row>
    <row r="33" spans="1:32" ht="15" x14ac:dyDescent="0.25">
      <c r="D33" s="891" t="s">
        <v>399</v>
      </c>
      <c r="E33" s="891"/>
      <c r="F33" s="891"/>
      <c r="G33" s="891"/>
      <c r="H33" s="892"/>
      <c r="J33" s="824" t="s">
        <v>51</v>
      </c>
      <c r="K33" s="824"/>
      <c r="L33" s="824"/>
      <c r="M33" s="824"/>
      <c r="N33" s="824"/>
      <c r="O33" s="824"/>
      <c r="AB33" s="830"/>
      <c r="AC33" s="830"/>
      <c r="AD33" s="830"/>
      <c r="AE33" s="830"/>
    </row>
    <row r="34" spans="1:32" ht="12.75" x14ac:dyDescent="0.2">
      <c r="D34" s="829" t="s">
        <v>400</v>
      </c>
      <c r="E34" s="829"/>
      <c r="F34" s="829"/>
      <c r="G34" s="829"/>
      <c r="H34" s="830"/>
      <c r="AB34" s="830"/>
      <c r="AC34" s="830"/>
      <c r="AD34" s="830"/>
      <c r="AE34" s="830"/>
    </row>
    <row r="35" spans="1:32" x14ac:dyDescent="0.2">
      <c r="AE35" s="18"/>
    </row>
    <row r="36" spans="1:32" x14ac:dyDescent="0.2">
      <c r="A36" s="17" t="s">
        <v>52</v>
      </c>
      <c r="AB36" s="888" t="s">
        <v>55</v>
      </c>
      <c r="AC36" s="830"/>
      <c r="AD36" s="830"/>
      <c r="AE36" s="830"/>
    </row>
    <row r="37" spans="1:32" x14ac:dyDescent="0.2">
      <c r="AB37" s="830"/>
      <c r="AC37" s="830"/>
      <c r="AD37" s="830"/>
      <c r="AE37" s="830"/>
    </row>
    <row r="38" spans="1:32" x14ac:dyDescent="0.2">
      <c r="E38" s="1" t="s">
        <v>53</v>
      </c>
      <c r="AB38" s="830"/>
      <c r="AC38" s="830"/>
      <c r="AD38" s="830"/>
      <c r="AE38" s="830"/>
    </row>
    <row r="39" spans="1:32" x14ac:dyDescent="0.2">
      <c r="A39" s="17" t="s">
        <v>54</v>
      </c>
      <c r="AB39" s="830"/>
      <c r="AC39" s="830"/>
      <c r="AD39" s="830"/>
      <c r="AE39" s="830"/>
    </row>
    <row r="40" spans="1:32" x14ac:dyDescent="0.2">
      <c r="C40" s="1" t="s">
        <v>56</v>
      </c>
      <c r="E40" s="1" t="s">
        <v>57</v>
      </c>
      <c r="AB40" s="830"/>
      <c r="AC40" s="830"/>
      <c r="AD40" s="830"/>
      <c r="AE40" s="830"/>
      <c r="AF40" s="19" t="s">
        <v>53</v>
      </c>
    </row>
    <row r="41" spans="1:32" x14ac:dyDescent="0.2">
      <c r="AB41" s="104"/>
      <c r="AC41" s="104"/>
      <c r="AD41" s="104"/>
      <c r="AE41" s="104"/>
    </row>
    <row r="42" spans="1:32" x14ac:dyDescent="0.2">
      <c r="AB42" s="104"/>
      <c r="AC42" s="104"/>
      <c r="AD42" s="104"/>
      <c r="AE42" s="104"/>
    </row>
    <row r="45" spans="1:32" x14ac:dyDescent="0.2">
      <c r="C45" s="17"/>
    </row>
  </sheetData>
  <mergeCells count="51">
    <mergeCell ref="D13:E13"/>
    <mergeCell ref="AB36:AE40"/>
    <mergeCell ref="D15:E15"/>
    <mergeCell ref="AB28:AE34"/>
    <mergeCell ref="A29:G31"/>
    <mergeCell ref="J31:O31"/>
    <mergeCell ref="J32:O32"/>
    <mergeCell ref="D33:H33"/>
    <mergeCell ref="J33:O33"/>
    <mergeCell ref="D34:H34"/>
    <mergeCell ref="D14:E14"/>
    <mergeCell ref="X6:X8"/>
    <mergeCell ref="Y6:Y8"/>
    <mergeCell ref="AE6:AE8"/>
    <mergeCell ref="AF6:AF8"/>
    <mergeCell ref="P7:P8"/>
    <mergeCell ref="Q7:Q8"/>
    <mergeCell ref="R7:U7"/>
    <mergeCell ref="V7:V8"/>
    <mergeCell ref="W7:W8"/>
    <mergeCell ref="AB7:AB8"/>
    <mergeCell ref="D5:D7"/>
    <mergeCell ref="E5:E7"/>
    <mergeCell ref="R8:R9"/>
    <mergeCell ref="S8:S9"/>
    <mergeCell ref="T8:T9"/>
    <mergeCell ref="N6:N7"/>
    <mergeCell ref="O6:O7"/>
    <mergeCell ref="P6:Q6"/>
    <mergeCell ref="R6:U6"/>
    <mergeCell ref="I5:I8"/>
    <mergeCell ref="J5:J8"/>
    <mergeCell ref="K5:K8"/>
    <mergeCell ref="L5:L8"/>
    <mergeCell ref="U8:U9"/>
    <mergeCell ref="A1:AF1"/>
    <mergeCell ref="A2:AF3"/>
    <mergeCell ref="A4:A7"/>
    <mergeCell ref="B4:B9"/>
    <mergeCell ref="C4:C9"/>
    <mergeCell ref="D4:E4"/>
    <mergeCell ref="F4:F5"/>
    <mergeCell ref="G4:G5"/>
    <mergeCell ref="H4:H7"/>
    <mergeCell ref="I4:W4"/>
    <mergeCell ref="N5:V5"/>
    <mergeCell ref="Z5:AA8"/>
    <mergeCell ref="AC5:AC9"/>
    <mergeCell ref="AD5:AD9"/>
    <mergeCell ref="G6:G7"/>
    <mergeCell ref="M6:M9"/>
  </mergeCells>
  <pageMargins left="0.28000000000000003" right="0.7" top="0.43" bottom="0.75" header="0.3" footer="0.3"/>
  <pageSetup paperSize="5" scale="6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FF00"/>
  </sheetPr>
  <dimension ref="A1:AI39"/>
  <sheetViews>
    <sheetView workbookViewId="0">
      <selection activeCell="S33" sqref="S33"/>
    </sheetView>
  </sheetViews>
  <sheetFormatPr defaultColWidth="9.140625" defaultRowHeight="11.25" x14ac:dyDescent="0.2"/>
  <cols>
    <col min="1" max="1" width="3.28515625" style="105" customWidth="1"/>
    <col min="2" max="2" width="18.85546875" style="17" customWidth="1"/>
    <col min="3" max="3" width="11.7109375" style="1" customWidth="1"/>
    <col min="4" max="4" width="7" style="1" customWidth="1"/>
    <col min="5" max="5" width="8" style="1" customWidth="1"/>
    <col min="6" max="6" width="3.85546875" style="105" customWidth="1"/>
    <col min="7" max="7" width="9.5703125" style="176" customWidth="1"/>
    <col min="8" max="8" width="13.5703125" style="1" customWidth="1"/>
    <col min="9" max="9" width="10.28515625" style="1" customWidth="1"/>
    <col min="10" max="10" width="5.5703125" style="1" hidden="1" customWidth="1"/>
    <col min="11" max="11" width="5" style="1" hidden="1" customWidth="1"/>
    <col min="12" max="12" width="6.5703125" style="1" hidden="1" customWidth="1"/>
    <col min="13" max="13" width="4.7109375" style="1" hidden="1" customWidth="1"/>
    <col min="14" max="14" width="6.5703125" style="1" hidden="1" customWidth="1"/>
    <col min="15" max="15" width="7.140625" style="1" hidden="1" customWidth="1"/>
    <col min="16" max="16" width="9.7109375" style="1" hidden="1" customWidth="1"/>
    <col min="17" max="17" width="9.28515625" style="1" hidden="1" customWidth="1"/>
    <col min="18" max="18" width="10.28515625" style="176" customWidth="1"/>
    <col min="19" max="19" width="10.140625" style="176" customWidth="1"/>
    <col min="20" max="20" width="7.7109375" style="1" customWidth="1"/>
    <col min="21" max="21" width="7.140625" style="1" customWidth="1"/>
    <col min="22" max="22" width="7.42578125" style="1" customWidth="1"/>
    <col min="23" max="23" width="8" style="1" customWidth="1"/>
    <col min="24" max="24" width="7.28515625" style="1" customWidth="1"/>
    <col min="25" max="25" width="7" style="1" hidden="1" customWidth="1"/>
    <col min="26" max="26" width="6.85546875" style="1" hidden="1" customWidth="1"/>
    <col min="27" max="27" width="0.140625" style="1" hidden="1" customWidth="1"/>
    <col min="28" max="28" width="9.140625" style="1" customWidth="1"/>
    <col min="29" max="29" width="8.7109375" style="1" customWidth="1"/>
    <col min="30" max="30" width="6.28515625" style="1" hidden="1" customWidth="1"/>
    <col min="31" max="31" width="7" style="18" customWidth="1"/>
    <col min="32" max="32" width="12" style="1" customWidth="1"/>
    <col min="33" max="33" width="3.5703125" style="1" customWidth="1"/>
    <col min="34" max="34" width="17.42578125" style="1" customWidth="1"/>
    <col min="35" max="35" width="10.7109375" style="1" customWidth="1"/>
    <col min="36" max="36" width="9.140625" style="1"/>
    <col min="37" max="37" width="24.140625" style="1" customWidth="1"/>
    <col min="38" max="16384" width="9.140625" style="1"/>
  </cols>
  <sheetData>
    <row r="1" spans="1:35" ht="24" customHeight="1"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3"/>
      <c r="AI1" s="863"/>
    </row>
    <row r="2" spans="1:35" ht="11.25" customHeight="1"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s="864"/>
      <c r="AF2" s="864"/>
      <c r="AG2" s="864"/>
      <c r="AH2" s="864"/>
      <c r="AI2" s="864"/>
    </row>
    <row r="3" spans="1:35" ht="21.75" customHeight="1"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s="865"/>
      <c r="AF3" s="865"/>
      <c r="AG3" s="865"/>
      <c r="AH3" s="865"/>
      <c r="AI3" s="865"/>
    </row>
    <row r="4" spans="1:35" s="4" customFormat="1" ht="21" customHeight="1" thickTop="1" x14ac:dyDescent="0.3">
      <c r="A4" s="866" t="s">
        <v>1</v>
      </c>
      <c r="B4" s="868" t="s">
        <v>2</v>
      </c>
      <c r="C4" s="870" t="s">
        <v>3</v>
      </c>
      <c r="D4" s="871" t="s">
        <v>4</v>
      </c>
      <c r="E4" s="871"/>
      <c r="F4" s="311"/>
      <c r="G4" s="872"/>
      <c r="H4" s="866" t="s">
        <v>5</v>
      </c>
      <c r="I4" s="887" t="s">
        <v>6</v>
      </c>
      <c r="J4" s="887"/>
      <c r="K4" s="887"/>
      <c r="L4" s="887"/>
      <c r="M4" s="887"/>
      <c r="N4" s="887"/>
      <c r="O4" s="887"/>
      <c r="P4" s="887"/>
      <c r="Q4" s="887"/>
      <c r="R4" s="887"/>
      <c r="S4" s="887"/>
      <c r="T4" s="887"/>
      <c r="U4" s="887"/>
      <c r="V4" s="887"/>
      <c r="W4" s="887"/>
      <c r="X4" s="887"/>
      <c r="Y4" s="887"/>
      <c r="Z4" s="887"/>
      <c r="AA4" s="110"/>
      <c r="AB4" s="110"/>
      <c r="AC4" s="110"/>
      <c r="AD4" s="110"/>
      <c r="AE4" s="321"/>
      <c r="AF4" s="3"/>
      <c r="AG4" s="3"/>
      <c r="AH4" s="3"/>
      <c r="AI4" s="3"/>
    </row>
    <row r="5" spans="1:35" s="8" customFormat="1" ht="13.5" customHeight="1" x14ac:dyDescent="0.2">
      <c r="A5" s="867"/>
      <c r="B5" s="869"/>
      <c r="C5" s="857"/>
      <c r="D5" s="851" t="s">
        <v>7</v>
      </c>
      <c r="E5" s="852" t="s">
        <v>8</v>
      </c>
      <c r="F5" s="305"/>
      <c r="G5" s="873"/>
      <c r="H5" s="874"/>
      <c r="I5" s="915" t="s">
        <v>17</v>
      </c>
      <c r="J5" s="856" t="s">
        <v>10</v>
      </c>
      <c r="K5" s="856" t="s">
        <v>11</v>
      </c>
      <c r="L5" s="856" t="s">
        <v>160</v>
      </c>
      <c r="M5" s="111"/>
      <c r="N5" s="880" t="s">
        <v>13</v>
      </c>
      <c r="O5" s="881"/>
      <c r="P5" s="881"/>
      <c r="Q5" s="881"/>
      <c r="R5" s="881"/>
      <c r="S5" s="881"/>
      <c r="T5" s="881"/>
      <c r="U5" s="881"/>
      <c r="V5" s="881"/>
      <c r="W5" s="881"/>
      <c r="X5" s="881"/>
      <c r="Y5" s="882"/>
      <c r="Z5" s="5"/>
      <c r="AA5" s="903" t="s">
        <v>252</v>
      </c>
      <c r="AB5" s="904"/>
      <c r="AC5" s="905"/>
      <c r="AD5" s="5"/>
      <c r="AE5" s="901" t="s">
        <v>238</v>
      </c>
      <c r="AF5" s="838" t="s">
        <v>14</v>
      </c>
      <c r="AG5" s="842" t="s">
        <v>15</v>
      </c>
      <c r="AH5" s="7"/>
      <c r="AI5" s="7"/>
    </row>
    <row r="6" spans="1:35" s="8" customFormat="1" ht="10.5" customHeight="1" x14ac:dyDescent="0.2">
      <c r="A6" s="867"/>
      <c r="B6" s="869"/>
      <c r="C6" s="857"/>
      <c r="D6" s="867"/>
      <c r="E6" s="867"/>
      <c r="F6" s="309"/>
      <c r="G6" s="840" t="s">
        <v>16</v>
      </c>
      <c r="H6" s="839"/>
      <c r="I6" s="900"/>
      <c r="J6" s="859"/>
      <c r="K6" s="859"/>
      <c r="L6" s="859"/>
      <c r="M6" s="859"/>
      <c r="N6" s="851" t="s">
        <v>172</v>
      </c>
      <c r="O6" s="851" t="s">
        <v>18</v>
      </c>
      <c r="P6" s="304"/>
      <c r="Q6" s="304"/>
      <c r="R6" s="898" t="s">
        <v>231</v>
      </c>
      <c r="S6" s="899"/>
      <c r="T6" s="896" t="s">
        <v>20</v>
      </c>
      <c r="U6" s="896"/>
      <c r="V6" s="308"/>
      <c r="W6" s="308"/>
      <c r="X6" s="108"/>
      <c r="Y6" s="9"/>
      <c r="Z6" s="106"/>
      <c r="AA6" s="906"/>
      <c r="AB6" s="907"/>
      <c r="AC6" s="908"/>
      <c r="AD6" s="838"/>
      <c r="AE6" s="902"/>
      <c r="AF6" s="838"/>
      <c r="AG6" s="842"/>
      <c r="AH6" s="838" t="s">
        <v>25</v>
      </c>
      <c r="AI6" s="838" t="s">
        <v>26</v>
      </c>
    </row>
    <row r="7" spans="1:35" s="8" customFormat="1" ht="21.75" customHeight="1" x14ac:dyDescent="0.2">
      <c r="A7" s="867"/>
      <c r="B7" s="869"/>
      <c r="C7" s="857"/>
      <c r="D7" s="867"/>
      <c r="E7" s="867"/>
      <c r="F7" s="309"/>
      <c r="G7" s="841"/>
      <c r="H7" s="839"/>
      <c r="I7" s="916"/>
      <c r="J7" s="858"/>
      <c r="K7" s="858"/>
      <c r="L7" s="858"/>
      <c r="M7" s="886"/>
      <c r="N7" s="839"/>
      <c r="O7" s="839"/>
      <c r="P7" s="302"/>
      <c r="Q7" s="302"/>
      <c r="R7" s="893" t="s">
        <v>27</v>
      </c>
      <c r="S7" s="893" t="s">
        <v>28</v>
      </c>
      <c r="T7" s="895" t="s">
        <v>29</v>
      </c>
      <c r="U7" s="896"/>
      <c r="V7" s="896"/>
      <c r="W7" s="896"/>
      <c r="X7" s="897"/>
      <c r="Y7" s="838" t="s">
        <v>37</v>
      </c>
      <c r="Z7" s="827" t="s">
        <v>220</v>
      </c>
      <c r="AA7" s="909"/>
      <c r="AB7" s="910"/>
      <c r="AC7" s="911"/>
      <c r="AD7" s="838"/>
      <c r="AE7" s="322"/>
      <c r="AF7" s="838"/>
      <c r="AG7" s="842"/>
      <c r="AH7" s="839"/>
      <c r="AI7" s="838"/>
    </row>
    <row r="8" spans="1:35" s="8" customFormat="1" ht="13.5" customHeight="1" x14ac:dyDescent="0.2">
      <c r="A8" s="10"/>
      <c r="B8" s="869"/>
      <c r="C8" s="858"/>
      <c r="D8" s="11"/>
      <c r="E8" s="107"/>
      <c r="F8" s="315"/>
      <c r="G8" s="114"/>
      <c r="H8" s="114"/>
      <c r="I8" s="916"/>
      <c r="J8" s="858"/>
      <c r="K8" s="858"/>
      <c r="L8" s="858"/>
      <c r="M8" s="886"/>
      <c r="N8" s="115"/>
      <c r="O8" s="115"/>
      <c r="P8" s="912" t="s">
        <v>380</v>
      </c>
      <c r="Q8" s="913"/>
      <c r="R8" s="894"/>
      <c r="S8" s="894"/>
      <c r="T8" s="851" t="s">
        <v>378</v>
      </c>
      <c r="U8" s="851" t="s">
        <v>379</v>
      </c>
      <c r="V8" s="852" t="s">
        <v>381</v>
      </c>
      <c r="W8" s="914"/>
      <c r="X8" s="852" t="s">
        <v>31</v>
      </c>
      <c r="Y8" s="838"/>
      <c r="Z8" s="827"/>
      <c r="AA8" s="900" t="s">
        <v>37</v>
      </c>
      <c r="AB8" s="900" t="s">
        <v>30</v>
      </c>
      <c r="AC8" s="857" t="s">
        <v>23</v>
      </c>
      <c r="AD8" s="838"/>
      <c r="AE8" s="901" t="s">
        <v>32</v>
      </c>
      <c r="AF8" s="838"/>
      <c r="AG8" s="843"/>
      <c r="AH8" s="839"/>
      <c r="AI8" s="838"/>
    </row>
    <row r="9" spans="1:35" s="8" customFormat="1" ht="15.75" customHeight="1" x14ac:dyDescent="0.2">
      <c r="A9" s="10"/>
      <c r="B9" s="869"/>
      <c r="C9" s="858"/>
      <c r="D9" s="11"/>
      <c r="E9" s="107"/>
      <c r="F9" s="315"/>
      <c r="G9" s="114"/>
      <c r="H9" s="114"/>
      <c r="I9" s="7"/>
      <c r="J9" s="7"/>
      <c r="K9" s="113"/>
      <c r="L9" s="113"/>
      <c r="M9" s="886"/>
      <c r="N9" s="115"/>
      <c r="O9" s="115"/>
      <c r="P9" s="112" t="s">
        <v>378</v>
      </c>
      <c r="Q9" s="112" t="s">
        <v>379</v>
      </c>
      <c r="R9" s="186"/>
      <c r="S9" s="187" t="s">
        <v>37</v>
      </c>
      <c r="T9" s="838"/>
      <c r="U9" s="838"/>
      <c r="V9" s="112" t="s">
        <v>378</v>
      </c>
      <c r="W9" s="112" t="s">
        <v>379</v>
      </c>
      <c r="X9" s="853"/>
      <c r="Y9" s="112" t="s">
        <v>298</v>
      </c>
      <c r="Z9" s="106"/>
      <c r="AA9" s="900"/>
      <c r="AB9" s="900"/>
      <c r="AC9" s="857"/>
      <c r="AD9" s="106"/>
      <c r="AE9" s="902"/>
      <c r="AF9" s="838"/>
      <c r="AG9" s="843"/>
      <c r="AH9" s="7"/>
      <c r="AI9" s="7"/>
    </row>
    <row r="10" spans="1:35" s="15" customFormat="1" ht="9.75" customHeight="1" thickBot="1" x14ac:dyDescent="0.25">
      <c r="A10" s="13">
        <v>1</v>
      </c>
      <c r="B10" s="13">
        <v>2</v>
      </c>
      <c r="C10" s="13">
        <v>3</v>
      </c>
      <c r="D10" s="13">
        <v>4</v>
      </c>
      <c r="E10" s="13">
        <v>5</v>
      </c>
      <c r="F10" s="13"/>
      <c r="G10" s="177">
        <v>6</v>
      </c>
      <c r="H10" s="13">
        <v>7</v>
      </c>
      <c r="I10" s="13">
        <v>8</v>
      </c>
      <c r="J10" s="13">
        <v>9</v>
      </c>
      <c r="K10" s="13">
        <v>10</v>
      </c>
      <c r="L10" s="13">
        <v>9</v>
      </c>
      <c r="M10" s="13">
        <v>10</v>
      </c>
      <c r="N10" s="13">
        <v>11</v>
      </c>
      <c r="O10" s="13">
        <v>12</v>
      </c>
      <c r="P10" s="13"/>
      <c r="Q10" s="13"/>
      <c r="R10" s="177">
        <v>13</v>
      </c>
      <c r="S10" s="177">
        <v>14</v>
      </c>
      <c r="T10" s="14">
        <v>15</v>
      </c>
      <c r="U10" s="14">
        <v>17</v>
      </c>
      <c r="V10" s="13"/>
      <c r="W10" s="13"/>
      <c r="X10" s="13">
        <v>18</v>
      </c>
      <c r="Y10" s="13">
        <v>19</v>
      </c>
      <c r="Z10" s="13">
        <v>20</v>
      </c>
      <c r="AA10" s="13">
        <v>21</v>
      </c>
      <c r="AB10" s="13">
        <v>22</v>
      </c>
      <c r="AC10" s="13">
        <v>22</v>
      </c>
      <c r="AD10" s="13">
        <v>26</v>
      </c>
      <c r="AE10" s="323"/>
      <c r="AF10" s="13">
        <v>24</v>
      </c>
      <c r="AG10" s="99">
        <v>25</v>
      </c>
      <c r="AH10" s="13">
        <v>26</v>
      </c>
      <c r="AI10" s="13">
        <v>27</v>
      </c>
    </row>
    <row r="11" spans="1:35" s="15" customFormat="1" ht="15" customHeight="1" thickTop="1" x14ac:dyDescent="0.25">
      <c r="A11" s="459"/>
      <c r="B11" s="181"/>
      <c r="C11" s="79"/>
      <c r="D11" s="41"/>
      <c r="E11" s="41"/>
      <c r="F11" s="216"/>
      <c r="G11" s="178"/>
      <c r="H11" s="41"/>
      <c r="I11" s="41"/>
      <c r="J11" s="41"/>
      <c r="K11" s="41"/>
      <c r="L11" s="41"/>
      <c r="M11" s="41"/>
      <c r="N11" s="41"/>
      <c r="O11" s="41"/>
      <c r="P11" s="41"/>
      <c r="Q11" s="41"/>
      <c r="R11" s="178"/>
      <c r="S11" s="178"/>
      <c r="T11" s="42"/>
      <c r="U11" s="42"/>
      <c r="V11" s="41"/>
      <c r="W11" s="41"/>
      <c r="X11" s="41"/>
      <c r="Y11" s="41"/>
      <c r="Z11" s="41"/>
      <c r="AA11" s="41"/>
      <c r="AB11" s="41"/>
      <c r="AC11" s="41"/>
      <c r="AD11" s="41"/>
      <c r="AE11" s="324"/>
      <c r="AF11" s="41"/>
      <c r="AG11" s="461"/>
      <c r="AH11" s="463"/>
      <c r="AI11" s="22"/>
    </row>
    <row r="12" spans="1:35" ht="12.75" x14ac:dyDescent="0.2">
      <c r="A12" s="459"/>
      <c r="B12" s="184" t="s">
        <v>362</v>
      </c>
      <c r="C12" s="75" t="s">
        <v>37</v>
      </c>
      <c r="D12" s="76" t="s">
        <v>37</v>
      </c>
      <c r="E12" s="26" t="s">
        <v>37</v>
      </c>
      <c r="F12" s="318"/>
      <c r="G12" s="180"/>
      <c r="H12" s="24"/>
      <c r="I12" s="25"/>
      <c r="J12" s="25"/>
      <c r="K12" s="25"/>
      <c r="L12" s="25"/>
      <c r="M12" s="25"/>
      <c r="N12" s="25"/>
      <c r="O12" s="25"/>
      <c r="P12" s="25"/>
      <c r="Q12" s="25"/>
      <c r="R12" s="172"/>
      <c r="S12" s="172"/>
      <c r="T12" s="25"/>
      <c r="U12" s="25"/>
      <c r="V12" s="25"/>
      <c r="W12" s="25"/>
      <c r="X12" s="25"/>
      <c r="Y12" s="25"/>
      <c r="Z12" s="25"/>
      <c r="AA12" s="25"/>
      <c r="AB12" s="25"/>
      <c r="AC12" s="25" t="s">
        <v>37</v>
      </c>
      <c r="AD12" s="25"/>
      <c r="AE12" s="331"/>
      <c r="AF12" s="91"/>
      <c r="AG12" s="461"/>
      <c r="AH12" s="464"/>
      <c r="AI12" s="20" t="s">
        <v>37</v>
      </c>
    </row>
    <row r="13" spans="1:35" ht="12.75" x14ac:dyDescent="0.2">
      <c r="A13" s="459">
        <v>1</v>
      </c>
      <c r="B13" s="80" t="s">
        <v>279</v>
      </c>
      <c r="C13" s="43" t="s">
        <v>281</v>
      </c>
      <c r="D13" s="883" t="s">
        <v>398</v>
      </c>
      <c r="E13" s="884"/>
      <c r="F13" s="313">
        <v>9</v>
      </c>
      <c r="G13" s="190">
        <f>ROUND(7582/22,2)</f>
        <v>344.64</v>
      </c>
      <c r="H13" s="103">
        <f>G13*F13</f>
        <v>3101.7599999999998</v>
      </c>
      <c r="I13" s="26"/>
      <c r="J13" s="26"/>
      <c r="K13" s="26"/>
      <c r="L13" s="26"/>
      <c r="M13" s="26"/>
      <c r="N13" s="26"/>
      <c r="O13" s="26"/>
      <c r="P13" s="26"/>
      <c r="Q13" s="26"/>
      <c r="R13" s="188">
        <f>ROUND(G13*22*0.02,2)</f>
        <v>151.63999999999999</v>
      </c>
      <c r="S13" s="169">
        <f>R13</f>
        <v>151.63999999999999</v>
      </c>
      <c r="T13" s="26"/>
      <c r="U13" s="26"/>
      <c r="V13" s="26"/>
      <c r="W13" s="26"/>
      <c r="X13" s="26"/>
      <c r="Y13" s="26"/>
      <c r="Z13" s="26"/>
      <c r="AA13" s="26"/>
      <c r="AB13" s="26"/>
      <c r="AC13" s="26"/>
      <c r="AD13" s="26" t="s">
        <v>37</v>
      </c>
      <c r="AE13" s="331"/>
      <c r="AF13" s="91">
        <f>H13-(SUM(I13:R13)+T13+SUM(V13:AD13))</f>
        <v>2950.12</v>
      </c>
      <c r="AG13" s="462">
        <v>1</v>
      </c>
      <c r="AH13" s="465"/>
      <c r="AI13" s="16"/>
    </row>
    <row r="14" spans="1:35" ht="12.75" x14ac:dyDescent="0.2">
      <c r="A14" s="459">
        <v>2</v>
      </c>
      <c r="B14" s="80" t="s">
        <v>304</v>
      </c>
      <c r="C14" s="43" t="s">
        <v>281</v>
      </c>
      <c r="D14" s="883" t="s">
        <v>253</v>
      </c>
      <c r="E14" s="884"/>
      <c r="F14" s="313">
        <v>11</v>
      </c>
      <c r="G14" s="190">
        <f>ROUND(7582/22,2)</f>
        <v>344.64</v>
      </c>
      <c r="H14" s="103">
        <f>G14*F14</f>
        <v>3791.04</v>
      </c>
      <c r="I14" s="26">
        <v>209.55</v>
      </c>
      <c r="J14" s="26"/>
      <c r="K14" s="26"/>
      <c r="L14" s="26">
        <v>0</v>
      </c>
      <c r="M14" s="26"/>
      <c r="N14" s="26">
        <v>0</v>
      </c>
      <c r="O14" s="26">
        <v>0</v>
      </c>
      <c r="P14" s="26"/>
      <c r="Q14" s="26"/>
      <c r="R14" s="188">
        <f>ROUND(G14*22*0.02,2)</f>
        <v>151.63999999999999</v>
      </c>
      <c r="S14" s="169">
        <f>R14</f>
        <v>151.63999999999999</v>
      </c>
      <c r="T14" s="26">
        <v>0</v>
      </c>
      <c r="U14" s="26">
        <v>0</v>
      </c>
      <c r="V14" s="26"/>
      <c r="W14" s="26"/>
      <c r="X14" s="26">
        <v>0</v>
      </c>
      <c r="Y14" s="26">
        <v>0</v>
      </c>
      <c r="Z14" s="26">
        <v>0</v>
      </c>
      <c r="AA14" s="26"/>
      <c r="AB14" s="26">
        <v>0</v>
      </c>
      <c r="AC14" s="26">
        <v>0</v>
      </c>
      <c r="AD14" s="26"/>
      <c r="AE14" s="331"/>
      <c r="AF14" s="91">
        <f>H14-(SUM(I14:R14)+T14+SUM(V14:AD14))</f>
        <v>3429.85</v>
      </c>
      <c r="AG14" s="462">
        <v>2</v>
      </c>
      <c r="AH14" s="465"/>
      <c r="AI14" s="16"/>
    </row>
    <row r="15" spans="1:35" ht="12.75" x14ac:dyDescent="0.2">
      <c r="A15" s="459"/>
      <c r="B15" s="78"/>
      <c r="C15" s="43"/>
      <c r="D15" s="883"/>
      <c r="E15" s="884"/>
      <c r="F15" s="242"/>
      <c r="G15" s="190"/>
      <c r="H15" s="103"/>
      <c r="I15" s="26"/>
      <c r="J15" s="26"/>
      <c r="K15" s="26"/>
      <c r="L15" s="26"/>
      <c r="M15" s="26"/>
      <c r="N15" s="26"/>
      <c r="O15" s="26"/>
      <c r="P15" s="26"/>
      <c r="Q15" s="26"/>
      <c r="R15" s="188"/>
      <c r="S15" s="169"/>
      <c r="T15" s="26"/>
      <c r="U15" s="26"/>
      <c r="V15" s="25"/>
      <c r="W15" s="25"/>
      <c r="X15" s="26"/>
      <c r="Y15" s="26"/>
      <c r="Z15" s="26"/>
      <c r="AA15" s="26"/>
      <c r="AB15" s="26"/>
      <c r="AC15" s="26"/>
      <c r="AD15" s="26"/>
      <c r="AE15" s="329"/>
      <c r="AF15" s="90"/>
      <c r="AG15" s="461"/>
      <c r="AH15" s="465"/>
      <c r="AI15" s="16"/>
    </row>
    <row r="16" spans="1:35" ht="12.75" x14ac:dyDescent="0.2">
      <c r="A16" s="459"/>
      <c r="B16" s="78"/>
      <c r="C16" s="43"/>
      <c r="D16" s="883"/>
      <c r="E16" s="884"/>
      <c r="F16" s="242"/>
      <c r="G16" s="190"/>
      <c r="H16" s="103"/>
      <c r="I16" s="26"/>
      <c r="J16" s="26"/>
      <c r="K16" s="26"/>
      <c r="L16" s="26"/>
      <c r="M16" s="26"/>
      <c r="N16" s="26"/>
      <c r="O16" s="26"/>
      <c r="P16" s="26"/>
      <c r="Q16" s="26"/>
      <c r="R16" s="188"/>
      <c r="S16" s="169"/>
      <c r="T16" s="26"/>
      <c r="U16" s="26"/>
      <c r="V16" s="25"/>
      <c r="W16" s="25"/>
      <c r="X16" s="26"/>
      <c r="Y16" s="26"/>
      <c r="Z16" s="26"/>
      <c r="AA16" s="26"/>
      <c r="AB16" s="26"/>
      <c r="AC16" s="26"/>
      <c r="AD16" s="26"/>
      <c r="AE16" s="329"/>
      <c r="AF16" s="90"/>
      <c r="AG16" s="461"/>
      <c r="AH16" s="465"/>
      <c r="AI16" s="16"/>
    </row>
    <row r="17" spans="1:35" ht="12.75" x14ac:dyDescent="0.2">
      <c r="A17" s="459"/>
      <c r="B17" s="81"/>
      <c r="C17" s="43"/>
      <c r="D17" s="883"/>
      <c r="E17" s="884"/>
      <c r="F17" s="242"/>
      <c r="G17" s="190"/>
      <c r="H17" s="103"/>
      <c r="I17" s="26"/>
      <c r="J17" s="25"/>
      <c r="K17" s="25"/>
      <c r="L17" s="25"/>
      <c r="M17" s="25"/>
      <c r="N17" s="25"/>
      <c r="O17" s="25"/>
      <c r="P17" s="25"/>
      <c r="Q17" s="25"/>
      <c r="R17" s="188"/>
      <c r="S17" s="169"/>
      <c r="T17" s="26"/>
      <c r="U17" s="26"/>
      <c r="V17" s="25"/>
      <c r="W17" s="25"/>
      <c r="X17" s="25"/>
      <c r="Y17" s="25"/>
      <c r="Z17" s="25"/>
      <c r="AA17" s="25"/>
      <c r="AB17" s="25"/>
      <c r="AC17" s="25"/>
      <c r="AD17" s="25"/>
      <c r="AE17" s="331"/>
      <c r="AF17" s="91"/>
      <c r="AG17" s="461"/>
      <c r="AH17" s="465"/>
      <c r="AI17" s="16"/>
    </row>
    <row r="18" spans="1:35" ht="12.75" x14ac:dyDescent="0.2">
      <c r="A18" s="459"/>
      <c r="B18" s="184"/>
      <c r="C18" s="75"/>
      <c r="D18" s="76"/>
      <c r="E18" s="26"/>
      <c r="F18" s="318"/>
      <c r="G18" s="180"/>
      <c r="H18" s="27"/>
      <c r="I18" s="26"/>
      <c r="J18" s="26"/>
      <c r="K18" s="26"/>
      <c r="L18" s="26"/>
      <c r="M18" s="26"/>
      <c r="N18" s="26"/>
      <c r="O18" s="26"/>
      <c r="P18" s="26"/>
      <c r="Q18" s="26"/>
      <c r="R18" s="169"/>
      <c r="S18" s="169"/>
      <c r="T18" s="26"/>
      <c r="U18" s="26"/>
      <c r="V18" s="26"/>
      <c r="W18" s="26"/>
      <c r="X18" s="26"/>
      <c r="Y18" s="26"/>
      <c r="Z18" s="26"/>
      <c r="AA18" s="26"/>
      <c r="AB18" s="26"/>
      <c r="AC18" s="26"/>
      <c r="AD18" s="26"/>
      <c r="AE18" s="33"/>
      <c r="AF18" s="90"/>
      <c r="AG18" s="461"/>
      <c r="AH18" s="464"/>
      <c r="AI18" s="20"/>
    </row>
    <row r="19" spans="1:35" ht="12.75" x14ac:dyDescent="0.2">
      <c r="A19" s="459"/>
      <c r="B19" s="80"/>
      <c r="C19" s="43"/>
      <c r="D19" s="467"/>
      <c r="E19" s="468"/>
      <c r="F19" s="242"/>
      <c r="G19" s="190"/>
      <c r="H19" s="103"/>
      <c r="I19" s="26"/>
      <c r="J19" s="26"/>
      <c r="K19" s="26"/>
      <c r="L19" s="26"/>
      <c r="M19" s="26"/>
      <c r="N19" s="26"/>
      <c r="O19" s="26"/>
      <c r="P19" s="26"/>
      <c r="Q19" s="26"/>
      <c r="R19" s="188"/>
      <c r="S19" s="169"/>
      <c r="T19" s="26"/>
      <c r="U19" s="26"/>
      <c r="V19" s="26"/>
      <c r="W19" s="26"/>
      <c r="X19" s="26"/>
      <c r="Y19" s="26"/>
      <c r="Z19" s="26"/>
      <c r="AA19" s="26"/>
      <c r="AB19" s="26"/>
      <c r="AC19" s="26"/>
      <c r="AD19" s="26"/>
      <c r="AE19" s="33"/>
      <c r="AF19" s="90"/>
      <c r="AG19" s="461"/>
      <c r="AH19" s="465"/>
      <c r="AI19" s="16"/>
    </row>
    <row r="20" spans="1:35" ht="12.75" x14ac:dyDescent="0.2">
      <c r="A20" s="459"/>
      <c r="B20" s="80"/>
      <c r="C20" s="43"/>
      <c r="D20" s="467"/>
      <c r="E20" s="468"/>
      <c r="F20" s="242"/>
      <c r="G20" s="190"/>
      <c r="H20" s="103"/>
      <c r="I20" s="26"/>
      <c r="J20" s="26"/>
      <c r="K20" s="26"/>
      <c r="L20" s="26"/>
      <c r="M20" s="26"/>
      <c r="N20" s="26"/>
      <c r="O20" s="26"/>
      <c r="P20" s="26"/>
      <c r="Q20" s="26"/>
      <c r="R20" s="188"/>
      <c r="S20" s="169"/>
      <c r="T20" s="26"/>
      <c r="U20" s="26"/>
      <c r="V20" s="26"/>
      <c r="W20" s="26"/>
      <c r="X20" s="26"/>
      <c r="Y20" s="26"/>
      <c r="Z20" s="26"/>
      <c r="AA20" s="26"/>
      <c r="AB20" s="26"/>
      <c r="AC20" s="26"/>
      <c r="AD20" s="26"/>
      <c r="AE20" s="33"/>
      <c r="AF20" s="90"/>
      <c r="AG20" s="461"/>
      <c r="AH20" s="465"/>
      <c r="AI20" s="16"/>
    </row>
    <row r="21" spans="1:35" ht="19.5" thickBot="1" x14ac:dyDescent="0.4">
      <c r="A21" s="459"/>
      <c r="B21" s="82" t="s">
        <v>37</v>
      </c>
      <c r="C21" s="26" t="s">
        <v>37</v>
      </c>
      <c r="D21" s="25" t="s">
        <v>37</v>
      </c>
      <c r="E21" s="25" t="s">
        <v>37</v>
      </c>
      <c r="F21" s="318"/>
      <c r="G21" s="169" t="s">
        <v>37</v>
      </c>
      <c r="H21" s="65">
        <f>SUM(H13:H15)</f>
        <v>6892.7999999999993</v>
      </c>
      <c r="I21" s="65">
        <f t="shared" ref="I21:AF21" si="0">SUM(I13:I15)</f>
        <v>209.55</v>
      </c>
      <c r="J21" s="65">
        <f t="shared" si="0"/>
        <v>0</v>
      </c>
      <c r="K21" s="65">
        <f t="shared" si="0"/>
        <v>0</v>
      </c>
      <c r="L21" s="65">
        <f t="shared" si="0"/>
        <v>0</v>
      </c>
      <c r="M21" s="65">
        <f t="shared" si="0"/>
        <v>0</v>
      </c>
      <c r="N21" s="65">
        <f t="shared" si="0"/>
        <v>0</v>
      </c>
      <c r="O21" s="65">
        <f t="shared" si="0"/>
        <v>0</v>
      </c>
      <c r="P21" s="65">
        <f t="shared" si="0"/>
        <v>0</v>
      </c>
      <c r="Q21" s="65">
        <f t="shared" si="0"/>
        <v>0</v>
      </c>
      <c r="R21" s="65">
        <f t="shared" si="0"/>
        <v>303.27999999999997</v>
      </c>
      <c r="S21" s="65">
        <f t="shared" si="0"/>
        <v>303.27999999999997</v>
      </c>
      <c r="T21" s="65">
        <f t="shared" si="0"/>
        <v>0</v>
      </c>
      <c r="U21" s="65">
        <f t="shared" si="0"/>
        <v>0</v>
      </c>
      <c r="V21" s="65">
        <f t="shared" si="0"/>
        <v>0</v>
      </c>
      <c r="W21" s="65">
        <f t="shared" si="0"/>
        <v>0</v>
      </c>
      <c r="X21" s="65">
        <f t="shared" si="0"/>
        <v>0</v>
      </c>
      <c r="Y21" s="65">
        <f t="shared" si="0"/>
        <v>0</v>
      </c>
      <c r="Z21" s="65">
        <f t="shared" si="0"/>
        <v>0</v>
      </c>
      <c r="AA21" s="65">
        <f t="shared" si="0"/>
        <v>0</v>
      </c>
      <c r="AB21" s="65">
        <f t="shared" si="0"/>
        <v>0</v>
      </c>
      <c r="AC21" s="65">
        <f t="shared" si="0"/>
        <v>0</v>
      </c>
      <c r="AD21" s="65">
        <f t="shared" si="0"/>
        <v>0</v>
      </c>
      <c r="AE21" s="65">
        <f t="shared" si="0"/>
        <v>0</v>
      </c>
      <c r="AF21" s="460">
        <f t="shared" si="0"/>
        <v>6379.9699999999993</v>
      </c>
      <c r="AG21" s="461"/>
      <c r="AH21" s="466"/>
      <c r="AI21" s="16"/>
    </row>
    <row r="22" spans="1:35" ht="12" thickTop="1" x14ac:dyDescent="0.2">
      <c r="H22" s="35"/>
      <c r="K22" s="1" t="s">
        <v>37</v>
      </c>
      <c r="AF22" s="35"/>
      <c r="AH22" s="18"/>
    </row>
    <row r="23" spans="1:35" x14ac:dyDescent="0.2">
      <c r="A23" s="889" t="s">
        <v>49</v>
      </c>
      <c r="B23" s="889"/>
      <c r="C23" s="889"/>
      <c r="D23" s="889"/>
      <c r="E23" s="889"/>
      <c r="F23" s="889"/>
      <c r="G23" s="889"/>
      <c r="R23" s="1" t="s">
        <v>382</v>
      </c>
      <c r="AE23" s="251"/>
      <c r="AF23" s="251"/>
      <c r="AG23" s="251"/>
      <c r="AH23" s="251"/>
    </row>
    <row r="24" spans="1:35" x14ac:dyDescent="0.2">
      <c r="A24" s="889"/>
      <c r="B24" s="889"/>
      <c r="C24" s="889"/>
      <c r="D24" s="889"/>
      <c r="E24" s="889"/>
      <c r="F24" s="889"/>
      <c r="G24" s="889"/>
      <c r="S24" s="339"/>
      <c r="AB24" s="35"/>
      <c r="AC24" s="826" t="s">
        <v>212</v>
      </c>
      <c r="AD24" s="826"/>
      <c r="AE24" s="826"/>
      <c r="AF24" s="826"/>
      <c r="AG24" s="826"/>
      <c r="AH24" s="826"/>
      <c r="AI24" s="251"/>
    </row>
    <row r="25" spans="1:35" ht="15.75" x14ac:dyDescent="0.25">
      <c r="A25" s="889"/>
      <c r="B25" s="889"/>
      <c r="C25" s="889"/>
      <c r="D25" s="889"/>
      <c r="E25" s="889"/>
      <c r="F25" s="889"/>
      <c r="G25" s="889"/>
      <c r="P25" s="307"/>
      <c r="Q25" s="307"/>
      <c r="R25" s="835" t="s">
        <v>200</v>
      </c>
      <c r="S25" s="835"/>
      <c r="T25" s="835"/>
      <c r="U25" s="835"/>
      <c r="V25" s="835"/>
      <c r="W25" s="835"/>
      <c r="AB25" s="35"/>
      <c r="AC25" s="826"/>
      <c r="AD25" s="826"/>
      <c r="AE25" s="826"/>
      <c r="AF25" s="826"/>
      <c r="AG25" s="826"/>
      <c r="AH25" s="826"/>
      <c r="AI25" s="251"/>
    </row>
    <row r="26" spans="1:35" ht="12.75" x14ac:dyDescent="0.2">
      <c r="P26" s="306"/>
      <c r="Q26" s="306"/>
      <c r="R26" s="824" t="s">
        <v>171</v>
      </c>
      <c r="S26" s="824"/>
      <c r="T26" s="824"/>
      <c r="U26" s="824"/>
      <c r="V26" s="824"/>
      <c r="W26" s="824"/>
      <c r="AC26" s="826"/>
      <c r="AD26" s="826"/>
      <c r="AE26" s="826"/>
      <c r="AF26" s="826"/>
      <c r="AG26" s="826"/>
      <c r="AH26" s="826"/>
      <c r="AI26" s="251"/>
    </row>
    <row r="27" spans="1:35" ht="15" x14ac:dyDescent="0.25">
      <c r="D27" s="891" t="s">
        <v>422</v>
      </c>
      <c r="E27" s="891"/>
      <c r="F27" s="891"/>
      <c r="G27" s="891"/>
      <c r="H27" s="892"/>
      <c r="P27" s="306"/>
      <c r="Q27" s="306"/>
      <c r="R27" s="824" t="s">
        <v>51</v>
      </c>
      <c r="S27" s="824"/>
      <c r="T27" s="824"/>
      <c r="U27" s="824"/>
      <c r="V27" s="824"/>
      <c r="W27" s="824"/>
      <c r="AC27" s="826"/>
      <c r="AD27" s="826"/>
      <c r="AE27" s="826"/>
      <c r="AF27" s="826"/>
      <c r="AG27" s="826"/>
      <c r="AH27" s="826"/>
      <c r="AI27" s="251"/>
    </row>
    <row r="28" spans="1:35" ht="12.75" x14ac:dyDescent="0.2">
      <c r="D28" s="829" t="s">
        <v>424</v>
      </c>
      <c r="E28" s="829"/>
      <c r="F28" s="829"/>
      <c r="G28" s="829"/>
      <c r="H28" s="830"/>
      <c r="AE28" s="251"/>
      <c r="AF28" s="251"/>
      <c r="AG28" s="251"/>
      <c r="AH28" s="251"/>
    </row>
    <row r="29" spans="1:35" x14ac:dyDescent="0.2">
      <c r="AH29" s="18"/>
    </row>
    <row r="30" spans="1:35" x14ac:dyDescent="0.2">
      <c r="A30" s="17" t="s">
        <v>52</v>
      </c>
    </row>
    <row r="31" spans="1:35" x14ac:dyDescent="0.2">
      <c r="AC31" s="825" t="s">
        <v>213</v>
      </c>
      <c r="AD31" s="825"/>
      <c r="AE31" s="825"/>
      <c r="AF31" s="825"/>
      <c r="AG31" s="825"/>
      <c r="AH31" s="825"/>
    </row>
    <row r="32" spans="1:35" x14ac:dyDescent="0.2">
      <c r="E32" s="1" t="s">
        <v>53</v>
      </c>
      <c r="Z32" s="105"/>
      <c r="AC32" s="825"/>
      <c r="AD32" s="825"/>
      <c r="AE32" s="825"/>
      <c r="AF32" s="825"/>
      <c r="AG32" s="825"/>
      <c r="AH32" s="825"/>
    </row>
    <row r="33" spans="1:35" x14ac:dyDescent="0.2">
      <c r="A33" s="17" t="s">
        <v>54</v>
      </c>
      <c r="AC33" s="825"/>
      <c r="AD33" s="825"/>
      <c r="AE33" s="825"/>
      <c r="AF33" s="825"/>
      <c r="AG33" s="825"/>
      <c r="AH33" s="825"/>
    </row>
    <row r="34" spans="1:35" ht="12.75" x14ac:dyDescent="0.2">
      <c r="C34" s="1" t="s">
        <v>56</v>
      </c>
      <c r="E34" s="1" t="s">
        <v>57</v>
      </c>
      <c r="AE34" s="381"/>
      <c r="AF34" s="381"/>
      <c r="AG34" s="381"/>
      <c r="AH34" s="381"/>
      <c r="AI34" s="19" t="s">
        <v>53</v>
      </c>
    </row>
    <row r="35" spans="1:35" x14ac:dyDescent="0.2">
      <c r="AE35" s="334"/>
      <c r="AF35" s="104"/>
      <c r="AG35" s="104"/>
      <c r="AH35" s="104"/>
    </row>
    <row r="36" spans="1:35" x14ac:dyDescent="0.2">
      <c r="AE36" s="334"/>
      <c r="AF36" s="104"/>
      <c r="AG36" s="104"/>
      <c r="AH36" s="104"/>
    </row>
    <row r="39" spans="1:35" x14ac:dyDescent="0.2">
      <c r="C39" s="17"/>
    </row>
  </sheetData>
  <mergeCells count="56">
    <mergeCell ref="D28:H28"/>
    <mergeCell ref="AC31:AH33"/>
    <mergeCell ref="A23:G25"/>
    <mergeCell ref="AC24:AH27"/>
    <mergeCell ref="R25:W25"/>
    <mergeCell ref="R26:W26"/>
    <mergeCell ref="D27:H27"/>
    <mergeCell ref="R27:W27"/>
    <mergeCell ref="D17:E17"/>
    <mergeCell ref="D15:E15"/>
    <mergeCell ref="D16:E16"/>
    <mergeCell ref="D14:E14"/>
    <mergeCell ref="AA8:AA9"/>
    <mergeCell ref="X8:X9"/>
    <mergeCell ref="D13:E13"/>
    <mergeCell ref="M6:M9"/>
    <mergeCell ref="N6:N7"/>
    <mergeCell ref="O6:O7"/>
    <mergeCell ref="P8:Q8"/>
    <mergeCell ref="V8:W8"/>
    <mergeCell ref="E5:E7"/>
    <mergeCell ref="I5:I8"/>
    <mergeCell ref="J5:J8"/>
    <mergeCell ref="K5:K8"/>
    <mergeCell ref="L5:L8"/>
    <mergeCell ref="G6:G7"/>
    <mergeCell ref="AF5:AF9"/>
    <mergeCell ref="AG5:AG9"/>
    <mergeCell ref="R6:S6"/>
    <mergeCell ref="T6:U6"/>
    <mergeCell ref="N5:Y5"/>
    <mergeCell ref="AB8:AB9"/>
    <mergeCell ref="AC8:AC9"/>
    <mergeCell ref="AE8:AE9"/>
    <mergeCell ref="Z7:Z8"/>
    <mergeCell ref="T8:T9"/>
    <mergeCell ref="U8:U9"/>
    <mergeCell ref="AA5:AC7"/>
    <mergeCell ref="AE5:AE6"/>
    <mergeCell ref="AD6:AD8"/>
    <mergeCell ref="A1:AI1"/>
    <mergeCell ref="A2:AI3"/>
    <mergeCell ref="A4:A7"/>
    <mergeCell ref="B4:B9"/>
    <mergeCell ref="C4:C9"/>
    <mergeCell ref="D4:E4"/>
    <mergeCell ref="G4:G5"/>
    <mergeCell ref="H4:H7"/>
    <mergeCell ref="I4:Z4"/>
    <mergeCell ref="D5:D7"/>
    <mergeCell ref="AH6:AH8"/>
    <mergeCell ref="AI6:AI8"/>
    <mergeCell ref="R7:R8"/>
    <mergeCell ref="S7:S8"/>
    <mergeCell ref="T7:X7"/>
    <mergeCell ref="Y7:Y8"/>
  </mergeCells>
  <pageMargins left="0.16" right="0.31" top="0.75" bottom="0.75" header="0.3" footer="0.3"/>
  <pageSetup paperSize="5" scale="8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FF00"/>
  </sheetPr>
  <dimension ref="A1:AI44"/>
  <sheetViews>
    <sheetView workbookViewId="0">
      <selection activeCell="AE23" sqref="AE23"/>
    </sheetView>
  </sheetViews>
  <sheetFormatPr defaultColWidth="9.140625" defaultRowHeight="11.25" x14ac:dyDescent="0.2"/>
  <cols>
    <col min="1" max="1" width="2.85546875" style="105" customWidth="1"/>
    <col min="2" max="2" width="17.42578125" style="17" customWidth="1"/>
    <col min="3" max="3" width="11" style="1" customWidth="1"/>
    <col min="4" max="5" width="7.140625" style="1" customWidth="1"/>
    <col min="6" max="6" width="4.42578125" style="1" customWidth="1"/>
    <col min="7" max="7" width="9.28515625" style="176" customWidth="1"/>
    <col min="8" max="8" width="12" style="1" customWidth="1"/>
    <col min="9" max="9" width="9" style="1" customWidth="1"/>
    <col min="10" max="10" width="5.5703125" style="1" hidden="1" customWidth="1"/>
    <col min="11" max="11" width="5" style="1" hidden="1" customWidth="1"/>
    <col min="12" max="12" width="8" style="1" customWidth="1"/>
    <col min="13" max="13" width="4.7109375" style="1" hidden="1" customWidth="1"/>
    <col min="14" max="15" width="7.42578125" style="1" customWidth="1"/>
    <col min="16" max="16" width="9.7109375" style="176" customWidth="1"/>
    <col min="17" max="17" width="9.5703125" style="176" customWidth="1"/>
    <col min="18" max="18" width="8.7109375" style="1" hidden="1" customWidth="1"/>
    <col min="19" max="19" width="10.7109375" style="1" hidden="1" customWidth="1"/>
    <col min="20" max="20" width="9.5703125" style="1" hidden="1" customWidth="1"/>
    <col min="21" max="21" width="10.7109375" style="1" hidden="1" customWidth="1"/>
    <col min="22" max="23" width="9.28515625" style="1" hidden="1" customWidth="1"/>
    <col min="24" max="24" width="7.7109375" style="1" hidden="1" customWidth="1"/>
    <col min="25" max="25" width="0.140625" style="1" hidden="1" customWidth="1"/>
    <col min="26" max="27" width="7.28515625" style="1" customWidth="1"/>
    <col min="28" max="28" width="6.28515625" style="1" hidden="1" customWidth="1"/>
    <col min="29" max="29" width="12.7109375" style="1" hidden="1" customWidth="1"/>
    <col min="30" max="30" width="7" style="1" customWidth="1"/>
    <col min="31" max="31" width="12.140625" style="1" customWidth="1"/>
    <col min="32" max="32" width="2.5703125" style="1" customWidth="1"/>
    <col min="33" max="33" width="26.140625" style="1" customWidth="1"/>
    <col min="34" max="34" width="12.140625" style="1" customWidth="1"/>
    <col min="35" max="35" width="9.140625" style="1"/>
    <col min="36" max="36" width="24.140625" style="1" customWidth="1"/>
    <col min="37" max="16384" width="9.140625" style="1"/>
  </cols>
  <sheetData>
    <row r="1" spans="1:35"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3"/>
    </row>
    <row r="2" spans="1:35"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s="864"/>
      <c r="AF2" s="864"/>
      <c r="AG2" s="864"/>
      <c r="AH2" s="864"/>
    </row>
    <row r="3" spans="1:35" ht="12"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s="865"/>
      <c r="AF3" s="865"/>
      <c r="AG3" s="865"/>
      <c r="AH3" s="865"/>
    </row>
    <row r="4" spans="1:35" s="4" customFormat="1" ht="21" thickTop="1" x14ac:dyDescent="0.3">
      <c r="A4" s="866" t="s">
        <v>1</v>
      </c>
      <c r="B4" s="868" t="s">
        <v>2</v>
      </c>
      <c r="C4" s="870" t="s">
        <v>3</v>
      </c>
      <c r="D4" s="871" t="s">
        <v>4</v>
      </c>
      <c r="E4" s="871"/>
      <c r="F4" s="311"/>
      <c r="G4" s="872"/>
      <c r="H4" s="866" t="s">
        <v>5</v>
      </c>
      <c r="I4" s="887" t="s">
        <v>6</v>
      </c>
      <c r="J4" s="887"/>
      <c r="K4" s="887"/>
      <c r="L4" s="887"/>
      <c r="M4" s="887"/>
      <c r="N4" s="887"/>
      <c r="O4" s="887"/>
      <c r="P4" s="887"/>
      <c r="Q4" s="887"/>
      <c r="R4" s="887"/>
      <c r="S4" s="887"/>
      <c r="T4" s="887"/>
      <c r="U4" s="887"/>
      <c r="V4" s="887"/>
      <c r="W4" s="887"/>
      <c r="X4" s="887"/>
      <c r="Y4" s="110"/>
      <c r="Z4" s="110"/>
      <c r="AA4" s="110"/>
      <c r="AB4" s="110"/>
      <c r="AC4" s="2"/>
      <c r="AD4" s="2"/>
      <c r="AE4" s="3"/>
      <c r="AF4" s="3"/>
      <c r="AG4" s="3"/>
      <c r="AH4" s="3"/>
    </row>
    <row r="5" spans="1:35" s="8" customFormat="1" ht="12.75" customHeight="1" x14ac:dyDescent="0.2">
      <c r="A5" s="867"/>
      <c r="B5" s="869"/>
      <c r="C5" s="857"/>
      <c r="D5" s="851" t="s">
        <v>7</v>
      </c>
      <c r="E5" s="852" t="s">
        <v>8</v>
      </c>
      <c r="F5" s="305"/>
      <c r="G5" s="873"/>
      <c r="H5" s="874"/>
      <c r="I5" s="915" t="s">
        <v>17</v>
      </c>
      <c r="J5" s="856" t="s">
        <v>10</v>
      </c>
      <c r="K5" s="856" t="s">
        <v>11</v>
      </c>
      <c r="L5" s="856" t="s">
        <v>160</v>
      </c>
      <c r="M5" s="111"/>
      <c r="N5" s="880"/>
      <c r="O5" s="881"/>
      <c r="P5" s="881"/>
      <c r="Q5" s="881"/>
      <c r="R5" s="881"/>
      <c r="S5" s="881"/>
      <c r="T5" s="881"/>
      <c r="U5" s="881"/>
      <c r="V5" s="881"/>
      <c r="W5" s="882"/>
      <c r="X5" s="5"/>
      <c r="Y5" s="903" t="s">
        <v>252</v>
      </c>
      <c r="Z5" s="904"/>
      <c r="AA5" s="905"/>
      <c r="AB5" s="5"/>
      <c r="AC5" s="6"/>
      <c r="AD5" s="877" t="s">
        <v>238</v>
      </c>
      <c r="AE5" s="838" t="s">
        <v>14</v>
      </c>
      <c r="AF5" s="838" t="s">
        <v>15</v>
      </c>
      <c r="AG5" s="7"/>
      <c r="AH5" s="7"/>
    </row>
    <row r="6" spans="1:35" s="8" customFormat="1" ht="12.75" customHeight="1" x14ac:dyDescent="0.2">
      <c r="A6" s="867"/>
      <c r="B6" s="869"/>
      <c r="C6" s="857"/>
      <c r="D6" s="867"/>
      <c r="E6" s="867"/>
      <c r="F6" s="309"/>
      <c r="G6" s="917" t="s">
        <v>16</v>
      </c>
      <c r="H6" s="839"/>
      <c r="I6" s="900"/>
      <c r="J6" s="859"/>
      <c r="K6" s="859"/>
      <c r="L6" s="859"/>
      <c r="M6" s="859"/>
      <c r="N6" s="851" t="s">
        <v>172</v>
      </c>
      <c r="O6" s="851" t="s">
        <v>18</v>
      </c>
      <c r="P6" s="898" t="s">
        <v>231</v>
      </c>
      <c r="Q6" s="899"/>
      <c r="R6" s="351" t="s">
        <v>20</v>
      </c>
      <c r="S6" s="351"/>
      <c r="T6" s="351" t="s">
        <v>174</v>
      </c>
      <c r="U6" s="351"/>
      <c r="V6" s="108"/>
      <c r="W6" s="9"/>
      <c r="X6" s="106"/>
      <c r="Y6" s="906"/>
      <c r="Z6" s="907"/>
      <c r="AA6" s="908"/>
      <c r="AB6" s="838"/>
      <c r="AC6" s="10"/>
      <c r="AD6" s="878"/>
      <c r="AE6" s="838"/>
      <c r="AF6" s="838"/>
      <c r="AG6" s="838" t="s">
        <v>25</v>
      </c>
      <c r="AH6" s="838" t="s">
        <v>26</v>
      </c>
    </row>
    <row r="7" spans="1:35" s="8" customFormat="1" ht="12.75" customHeight="1" x14ac:dyDescent="0.2">
      <c r="A7" s="867"/>
      <c r="B7" s="869"/>
      <c r="C7" s="857"/>
      <c r="D7" s="867"/>
      <c r="E7" s="867"/>
      <c r="F7" s="309"/>
      <c r="G7" s="917"/>
      <c r="H7" s="839"/>
      <c r="I7" s="916"/>
      <c r="J7" s="858"/>
      <c r="K7" s="858"/>
      <c r="L7" s="858"/>
      <c r="M7" s="886"/>
      <c r="N7" s="839"/>
      <c r="O7" s="839"/>
      <c r="P7" s="893" t="s">
        <v>27</v>
      </c>
      <c r="Q7" s="893" t="s">
        <v>28</v>
      </c>
      <c r="R7" s="355" t="s">
        <v>29</v>
      </c>
      <c r="S7" s="352"/>
      <c r="T7" s="352"/>
      <c r="U7" s="352"/>
      <c r="V7" s="353"/>
      <c r="W7" s="838" t="s">
        <v>37</v>
      </c>
      <c r="X7" s="827" t="s">
        <v>220</v>
      </c>
      <c r="Y7" s="909"/>
      <c r="Z7" s="910"/>
      <c r="AA7" s="911"/>
      <c r="AB7" s="838"/>
      <c r="AC7" s="878" t="s">
        <v>32</v>
      </c>
      <c r="AD7" s="303"/>
      <c r="AE7" s="838"/>
      <c r="AF7" s="838"/>
      <c r="AG7" s="839"/>
      <c r="AH7" s="838"/>
    </row>
    <row r="8" spans="1:35" s="8" customFormat="1" ht="18.75" x14ac:dyDescent="0.2">
      <c r="A8" s="10"/>
      <c r="B8" s="869"/>
      <c r="C8" s="858"/>
      <c r="D8" s="11"/>
      <c r="E8" s="107"/>
      <c r="F8" s="11" t="s">
        <v>374</v>
      </c>
      <c r="G8" s="917"/>
      <c r="H8" s="114"/>
      <c r="I8" s="916"/>
      <c r="J8" s="858"/>
      <c r="K8" s="858"/>
      <c r="L8" s="858"/>
      <c r="M8" s="886"/>
      <c r="N8" s="115"/>
      <c r="O8" s="115"/>
      <c r="P8" s="894"/>
      <c r="Q8" s="894"/>
      <c r="R8" s="851" t="s">
        <v>27</v>
      </c>
      <c r="S8" s="851" t="s">
        <v>33</v>
      </c>
      <c r="T8" s="851" t="s">
        <v>27</v>
      </c>
      <c r="U8" s="851" t="s">
        <v>33</v>
      </c>
      <c r="V8" s="354"/>
      <c r="W8" s="838"/>
      <c r="X8" s="827"/>
      <c r="Y8" s="900" t="s">
        <v>37</v>
      </c>
      <c r="Z8" s="900" t="s">
        <v>30</v>
      </c>
      <c r="AA8" s="857" t="s">
        <v>23</v>
      </c>
      <c r="AB8" s="838"/>
      <c r="AC8" s="878"/>
      <c r="AD8" s="877" t="s">
        <v>32</v>
      </c>
      <c r="AE8" s="838"/>
      <c r="AF8" s="838"/>
      <c r="AG8" s="839"/>
      <c r="AH8" s="838"/>
    </row>
    <row r="9" spans="1:35" s="8" customFormat="1" ht="12.75" x14ac:dyDescent="0.2">
      <c r="A9" s="10"/>
      <c r="B9" s="869"/>
      <c r="C9" s="858"/>
      <c r="D9" s="11"/>
      <c r="E9" s="107"/>
      <c r="F9" s="11" t="s">
        <v>377</v>
      </c>
      <c r="G9" s="114"/>
      <c r="H9" s="114"/>
      <c r="I9" s="7"/>
      <c r="J9" s="7"/>
      <c r="K9" s="113"/>
      <c r="L9" s="113"/>
      <c r="M9" s="886"/>
      <c r="N9" s="115"/>
      <c r="O9" s="115"/>
      <c r="P9" s="186"/>
      <c r="Q9" s="187" t="s">
        <v>37</v>
      </c>
      <c r="R9" s="838"/>
      <c r="S9" s="838"/>
      <c r="T9" s="838"/>
      <c r="U9" s="838"/>
      <c r="V9" s="109" t="s">
        <v>31</v>
      </c>
      <c r="W9" s="112" t="s">
        <v>298</v>
      </c>
      <c r="X9" s="106"/>
      <c r="Y9" s="900"/>
      <c r="Z9" s="900"/>
      <c r="AA9" s="857"/>
      <c r="AB9" s="106"/>
      <c r="AC9" s="839"/>
      <c r="AD9" s="878"/>
      <c r="AE9" s="838"/>
      <c r="AF9" s="838"/>
      <c r="AG9" s="7"/>
      <c r="AH9" s="7"/>
    </row>
    <row r="10" spans="1:35" s="15" customFormat="1" ht="12" thickBot="1" x14ac:dyDescent="0.25">
      <c r="A10" s="13">
        <v>1</v>
      </c>
      <c r="B10" s="13">
        <v>2</v>
      </c>
      <c r="C10" s="13">
        <v>3</v>
      </c>
      <c r="D10" s="13">
        <v>4</v>
      </c>
      <c r="E10" s="13">
        <v>5</v>
      </c>
      <c r="F10" s="13"/>
      <c r="G10" s="177">
        <v>6</v>
      </c>
      <c r="H10" s="13">
        <v>7</v>
      </c>
      <c r="I10" s="13">
        <v>8</v>
      </c>
      <c r="J10" s="13">
        <v>9</v>
      </c>
      <c r="K10" s="13">
        <v>10</v>
      </c>
      <c r="L10" s="13">
        <v>9</v>
      </c>
      <c r="M10" s="13">
        <v>10</v>
      </c>
      <c r="N10" s="13">
        <v>11</v>
      </c>
      <c r="O10" s="13">
        <v>12</v>
      </c>
      <c r="P10" s="177">
        <v>13</v>
      </c>
      <c r="Q10" s="177">
        <v>14</v>
      </c>
      <c r="R10" s="14">
        <v>15</v>
      </c>
      <c r="S10" s="14">
        <v>17</v>
      </c>
      <c r="T10" s="14"/>
      <c r="U10" s="13">
        <v>17</v>
      </c>
      <c r="V10" s="13">
        <v>18</v>
      </c>
      <c r="W10" s="13">
        <v>19</v>
      </c>
      <c r="X10" s="13">
        <v>20</v>
      </c>
      <c r="Y10" s="13">
        <v>21</v>
      </c>
      <c r="Z10" s="13">
        <v>22</v>
      </c>
      <c r="AA10" s="13">
        <v>22</v>
      </c>
      <c r="AB10" s="13">
        <v>26</v>
      </c>
      <c r="AC10" s="13">
        <v>23</v>
      </c>
      <c r="AD10" s="13"/>
      <c r="AE10" s="13">
        <v>24</v>
      </c>
      <c r="AF10" s="99">
        <v>25</v>
      </c>
      <c r="AG10" s="13">
        <v>26</v>
      </c>
      <c r="AH10" s="13">
        <v>27</v>
      </c>
    </row>
    <row r="11" spans="1:35" ht="24" customHeight="1" thickTop="1" x14ac:dyDescent="0.2">
      <c r="A11" s="222" t="s">
        <v>38</v>
      </c>
      <c r="B11" s="310" t="s">
        <v>355</v>
      </c>
      <c r="C11" s="26"/>
      <c r="D11" s="25"/>
      <c r="E11" s="25"/>
      <c r="F11" s="25"/>
      <c r="G11" s="172"/>
      <c r="H11" s="39"/>
      <c r="I11" s="39"/>
      <c r="J11" s="39"/>
      <c r="K11" s="39"/>
      <c r="L11" s="39"/>
      <c r="M11" s="39"/>
      <c r="N11" s="39"/>
      <c r="O11" s="39"/>
      <c r="P11" s="171"/>
      <c r="Q11" s="171"/>
      <c r="R11" s="39"/>
      <c r="S11" s="39"/>
      <c r="T11" s="39"/>
      <c r="U11" s="39"/>
      <c r="V11" s="39"/>
      <c r="W11" s="39"/>
      <c r="X11" s="39"/>
      <c r="Y11" s="38"/>
      <c r="Z11" s="39"/>
      <c r="AA11" s="39"/>
      <c r="AB11" s="39"/>
      <c r="AC11" s="39"/>
      <c r="AD11" s="89"/>
      <c r="AE11" s="89"/>
      <c r="AF11" s="222" t="s">
        <v>38</v>
      </c>
      <c r="AG11" s="94"/>
      <c r="AH11" s="16"/>
    </row>
    <row r="12" spans="1:35" s="15" customFormat="1" ht="24" customHeight="1" x14ac:dyDescent="0.25">
      <c r="A12" s="222" t="s">
        <v>127</v>
      </c>
      <c r="B12" s="51" t="s">
        <v>289</v>
      </c>
      <c r="C12" s="43" t="s">
        <v>281</v>
      </c>
      <c r="D12" s="918" t="s">
        <v>401</v>
      </c>
      <c r="E12" s="919"/>
      <c r="F12" s="360">
        <v>14</v>
      </c>
      <c r="G12" s="359">
        <v>430.82</v>
      </c>
      <c r="H12" s="27">
        <f>G12*F12</f>
        <v>6031.48</v>
      </c>
      <c r="I12" s="26"/>
      <c r="J12" s="26"/>
      <c r="K12" s="26"/>
      <c r="L12" s="26">
        <v>0</v>
      </c>
      <c r="M12" s="26" t="s">
        <v>37</v>
      </c>
      <c r="N12" s="26"/>
      <c r="O12" s="26">
        <v>0</v>
      </c>
      <c r="P12" s="358">
        <f>ROUND(G12*22*0.02,2)</f>
        <v>189.56</v>
      </c>
      <c r="Q12" s="169">
        <f>P12</f>
        <v>189.56</v>
      </c>
      <c r="R12" s="26"/>
      <c r="S12" s="26"/>
      <c r="T12" s="26"/>
      <c r="U12" s="26" t="s">
        <v>37</v>
      </c>
      <c r="V12" s="26">
        <v>0</v>
      </c>
      <c r="W12" s="26"/>
      <c r="X12" s="26">
        <v>0</v>
      </c>
      <c r="Y12" s="26"/>
      <c r="Z12" s="26"/>
      <c r="AA12" s="26"/>
      <c r="AB12" s="26" t="s">
        <v>37</v>
      </c>
      <c r="AC12" s="26"/>
      <c r="AD12" s="26"/>
      <c r="AE12" s="26">
        <f>H12-(SUM(I12:P12)+R12+SUM(U12:AB12))</f>
        <v>5841.9199999999992</v>
      </c>
      <c r="AF12" s="222" t="s">
        <v>127</v>
      </c>
      <c r="AG12" s="70"/>
      <c r="AH12" s="21"/>
      <c r="AI12" s="98"/>
    </row>
    <row r="13" spans="1:35" ht="24" customHeight="1" x14ac:dyDescent="0.2">
      <c r="A13" s="222" t="s">
        <v>128</v>
      </c>
      <c r="B13" s="51" t="s">
        <v>276</v>
      </c>
      <c r="C13" s="43" t="s">
        <v>281</v>
      </c>
      <c r="D13" s="918" t="s">
        <v>253</v>
      </c>
      <c r="E13" s="919"/>
      <c r="F13" s="360">
        <v>14</v>
      </c>
      <c r="G13" s="359">
        <v>430.82</v>
      </c>
      <c r="H13" s="27">
        <f>G13*F13</f>
        <v>6031.48</v>
      </c>
      <c r="I13" s="26">
        <v>246.16</v>
      </c>
      <c r="J13" s="26"/>
      <c r="K13" s="26"/>
      <c r="L13" s="26">
        <v>0</v>
      </c>
      <c r="M13" s="26" t="s">
        <v>37</v>
      </c>
      <c r="N13" s="26"/>
      <c r="O13" s="26">
        <v>0</v>
      </c>
      <c r="P13" s="358">
        <f>ROUND(G13*22*0.02,2)</f>
        <v>189.56</v>
      </c>
      <c r="Q13" s="169">
        <f>P13</f>
        <v>189.56</v>
      </c>
      <c r="R13" s="26"/>
      <c r="S13" s="26"/>
      <c r="T13" s="26"/>
      <c r="U13" s="26" t="s">
        <v>37</v>
      </c>
      <c r="V13" s="26">
        <v>0</v>
      </c>
      <c r="W13" s="26"/>
      <c r="X13" s="26">
        <v>0</v>
      </c>
      <c r="Y13" s="26"/>
      <c r="Z13" s="26" t="s">
        <v>37</v>
      </c>
      <c r="AA13" s="26"/>
      <c r="AB13" s="26" t="s">
        <v>37</v>
      </c>
      <c r="AC13" s="26"/>
      <c r="AD13" s="26"/>
      <c r="AE13" s="26">
        <f>H13-(SUM(I13:P13)+R13+SUM(U13:AB13))</f>
        <v>5595.7599999999993</v>
      </c>
      <c r="AF13" s="222" t="s">
        <v>128</v>
      </c>
      <c r="AG13" s="94"/>
      <c r="AH13" s="16"/>
    </row>
    <row r="14" spans="1:35" s="15" customFormat="1" ht="24" customHeight="1" x14ac:dyDescent="0.35">
      <c r="A14" s="222" t="s">
        <v>129</v>
      </c>
      <c r="B14" s="80"/>
      <c r="C14" s="69"/>
      <c r="D14" s="71"/>
      <c r="E14" s="27"/>
      <c r="F14" s="27"/>
      <c r="G14" s="169"/>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356"/>
      <c r="AF14" s="222" t="s">
        <v>129</v>
      </c>
      <c r="AG14" s="85"/>
      <c r="AH14" s="21"/>
    </row>
    <row r="15" spans="1:35" s="15" customFormat="1" ht="24" customHeight="1" x14ac:dyDescent="0.2">
      <c r="A15" s="222" t="s">
        <v>130</v>
      </c>
      <c r="B15" s="183"/>
      <c r="C15" s="72"/>
      <c r="D15" s="76"/>
      <c r="E15" s="24"/>
      <c r="F15" s="24"/>
      <c r="G15" s="172"/>
      <c r="H15" s="39"/>
      <c r="I15" s="39"/>
      <c r="J15" s="39"/>
      <c r="K15" s="39"/>
      <c r="L15" s="39"/>
      <c r="M15" s="39"/>
      <c r="N15" s="39"/>
      <c r="O15" s="39"/>
      <c r="P15" s="39"/>
      <c r="Q15" s="39"/>
      <c r="R15" s="39"/>
      <c r="S15" s="39"/>
      <c r="T15" s="39"/>
      <c r="U15" s="39"/>
      <c r="V15" s="39"/>
      <c r="W15" s="39"/>
      <c r="X15" s="39"/>
      <c r="Y15" s="39"/>
      <c r="Z15" s="39"/>
      <c r="AA15" s="39"/>
      <c r="AB15" s="39"/>
      <c r="AC15" s="39"/>
      <c r="AD15" s="39"/>
      <c r="AE15" s="39"/>
      <c r="AF15" s="222" t="s">
        <v>130</v>
      </c>
      <c r="AG15" s="74"/>
      <c r="AH15" s="22"/>
    </row>
    <row r="16" spans="1:35" s="15" customFormat="1" ht="24" customHeight="1" x14ac:dyDescent="0.2">
      <c r="A16" s="222" t="s">
        <v>131</v>
      </c>
      <c r="B16" s="80"/>
      <c r="C16" s="43"/>
      <c r="D16" s="256"/>
      <c r="E16" s="255"/>
      <c r="F16" s="346"/>
      <c r="G16" s="190"/>
      <c r="H16" s="27"/>
      <c r="I16" s="26"/>
      <c r="J16" s="26"/>
      <c r="K16" s="26"/>
      <c r="L16" s="26"/>
      <c r="M16" s="26"/>
      <c r="N16" s="26"/>
      <c r="O16" s="26"/>
      <c r="P16" s="188"/>
      <c r="Q16" s="169"/>
      <c r="R16" s="26"/>
      <c r="S16" s="26"/>
      <c r="T16" s="26"/>
      <c r="U16" s="26"/>
      <c r="V16" s="26"/>
      <c r="W16" s="26"/>
      <c r="X16" s="26"/>
      <c r="Y16" s="26"/>
      <c r="Z16" s="26"/>
      <c r="AA16" s="26"/>
      <c r="AB16" s="26"/>
      <c r="AC16" s="26"/>
      <c r="AD16" s="26"/>
      <c r="AE16" s="349"/>
      <c r="AF16" s="222" t="s">
        <v>131</v>
      </c>
      <c r="AG16" s="74"/>
      <c r="AH16" s="22"/>
    </row>
    <row r="17" spans="1:35" s="15" customFormat="1" ht="24" customHeight="1" x14ac:dyDescent="0.2">
      <c r="A17" s="222" t="s">
        <v>132</v>
      </c>
      <c r="B17" s="80"/>
      <c r="C17" s="43"/>
      <c r="D17" s="256"/>
      <c r="E17" s="255"/>
      <c r="F17" s="346"/>
      <c r="G17" s="190"/>
      <c r="H17" s="27"/>
      <c r="I17" s="26"/>
      <c r="J17" s="26"/>
      <c r="K17" s="26"/>
      <c r="L17" s="26"/>
      <c r="M17" s="26"/>
      <c r="N17" s="26"/>
      <c r="O17" s="26"/>
      <c r="P17" s="188"/>
      <c r="Q17" s="169"/>
      <c r="R17" s="26"/>
      <c r="S17" s="26"/>
      <c r="T17" s="26"/>
      <c r="U17" s="26"/>
      <c r="V17" s="26"/>
      <c r="W17" s="26"/>
      <c r="X17" s="26"/>
      <c r="Y17" s="26"/>
      <c r="Z17" s="26"/>
      <c r="AA17" s="26"/>
      <c r="AB17" s="26"/>
      <c r="AC17" s="26"/>
      <c r="AD17" s="26"/>
      <c r="AE17" s="349"/>
      <c r="AF17" s="222" t="s">
        <v>132</v>
      </c>
      <c r="AG17" s="74"/>
      <c r="AH17" s="22"/>
    </row>
    <row r="18" spans="1:35" s="15" customFormat="1" ht="24" customHeight="1" x14ac:dyDescent="0.25">
      <c r="A18" s="222" t="s">
        <v>133</v>
      </c>
      <c r="B18" s="51"/>
      <c r="C18" s="43"/>
      <c r="D18" s="256"/>
      <c r="E18" s="255"/>
      <c r="F18" s="346"/>
      <c r="G18" s="190"/>
      <c r="H18" s="27"/>
      <c r="I18" s="26"/>
      <c r="J18" s="26"/>
      <c r="K18" s="26"/>
      <c r="L18" s="26"/>
      <c r="M18" s="26"/>
      <c r="N18" s="26"/>
      <c r="O18" s="26"/>
      <c r="P18" s="188"/>
      <c r="Q18" s="169"/>
      <c r="R18" s="26"/>
      <c r="S18" s="26"/>
      <c r="T18" s="26"/>
      <c r="U18" s="26"/>
      <c r="V18" s="26"/>
      <c r="W18" s="26"/>
      <c r="X18" s="26"/>
      <c r="Y18" s="26"/>
      <c r="Z18" s="26"/>
      <c r="AA18" s="26"/>
      <c r="AB18" s="26"/>
      <c r="AC18" s="26"/>
      <c r="AD18" s="26"/>
      <c r="AE18" s="349"/>
      <c r="AF18" s="222" t="s">
        <v>133</v>
      </c>
      <c r="AG18" s="70"/>
      <c r="AH18" s="21"/>
      <c r="AI18" s="98"/>
    </row>
    <row r="19" spans="1:35" s="15" customFormat="1" ht="24" customHeight="1" x14ac:dyDescent="0.35">
      <c r="A19" s="222" t="s">
        <v>65</v>
      </c>
      <c r="B19" s="78"/>
      <c r="C19" s="72"/>
      <c r="D19" s="71"/>
      <c r="E19" s="27"/>
      <c r="F19" s="27"/>
      <c r="G19" s="169"/>
      <c r="H19" s="347"/>
      <c r="I19" s="347"/>
      <c r="J19" s="347"/>
      <c r="K19" s="347"/>
      <c r="L19" s="347"/>
      <c r="M19" s="347"/>
      <c r="N19" s="347"/>
      <c r="O19" s="347"/>
      <c r="P19" s="348"/>
      <c r="Q19" s="348"/>
      <c r="R19" s="347"/>
      <c r="S19" s="347"/>
      <c r="T19" s="347"/>
      <c r="U19" s="347"/>
      <c r="V19" s="347"/>
      <c r="W19" s="347"/>
      <c r="X19" s="347"/>
      <c r="Y19" s="347"/>
      <c r="Z19" s="347"/>
      <c r="AA19" s="347"/>
      <c r="AB19" s="347"/>
      <c r="AC19" s="347"/>
      <c r="AD19" s="347"/>
      <c r="AE19" s="350"/>
      <c r="AF19" s="222" t="s">
        <v>65</v>
      </c>
      <c r="AG19" s="85"/>
      <c r="AH19" s="22"/>
    </row>
    <row r="20" spans="1:35" ht="24" customHeight="1" x14ac:dyDescent="0.2">
      <c r="A20" s="222" t="s">
        <v>134</v>
      </c>
      <c r="B20" s="80"/>
      <c r="C20" s="43"/>
      <c r="D20" s="256"/>
      <c r="E20" s="255"/>
      <c r="F20" s="346"/>
      <c r="G20" s="190"/>
      <c r="H20" s="27"/>
      <c r="I20" s="26"/>
      <c r="J20" s="26"/>
      <c r="K20" s="26"/>
      <c r="L20" s="26"/>
      <c r="M20" s="26"/>
      <c r="N20" s="26"/>
      <c r="O20" s="26"/>
      <c r="P20" s="188"/>
      <c r="Q20" s="169"/>
      <c r="R20" s="26"/>
      <c r="S20" s="26"/>
      <c r="T20" s="26"/>
      <c r="U20" s="26"/>
      <c r="V20" s="26"/>
      <c r="W20" s="26"/>
      <c r="X20" s="26"/>
      <c r="Y20" s="26"/>
      <c r="Z20" s="26"/>
      <c r="AA20" s="26"/>
      <c r="AB20" s="26"/>
      <c r="AC20" s="26"/>
      <c r="AD20" s="26"/>
      <c r="AE20" s="349"/>
      <c r="AF20" s="222" t="s">
        <v>134</v>
      </c>
      <c r="AG20" s="94"/>
      <c r="AH20" s="16"/>
    </row>
    <row r="21" spans="1:35" ht="24" customHeight="1" x14ac:dyDescent="0.2">
      <c r="A21" s="222" t="s">
        <v>135</v>
      </c>
      <c r="B21" s="80"/>
      <c r="C21" s="43"/>
      <c r="D21" s="256"/>
      <c r="E21" s="255"/>
      <c r="F21" s="346"/>
      <c r="G21" s="190"/>
      <c r="H21" s="27"/>
      <c r="I21" s="26"/>
      <c r="J21" s="26"/>
      <c r="K21" s="26"/>
      <c r="L21" s="26"/>
      <c r="M21" s="26"/>
      <c r="N21" s="26"/>
      <c r="O21" s="26"/>
      <c r="P21" s="188"/>
      <c r="Q21" s="169"/>
      <c r="R21" s="26"/>
      <c r="S21" s="26"/>
      <c r="T21" s="26"/>
      <c r="U21" s="26"/>
      <c r="V21" s="26"/>
      <c r="W21" s="26"/>
      <c r="X21" s="26"/>
      <c r="Y21" s="26"/>
      <c r="Z21" s="26"/>
      <c r="AA21" s="26"/>
      <c r="AB21" s="26"/>
      <c r="AC21" s="26"/>
      <c r="AD21" s="26"/>
      <c r="AE21" s="349"/>
      <c r="AF21" s="222" t="s">
        <v>135</v>
      </c>
      <c r="AG21" s="94"/>
      <c r="AH21" s="16"/>
    </row>
    <row r="22" spans="1:35" ht="24" customHeight="1" x14ac:dyDescent="0.2">
      <c r="A22" s="222" t="s">
        <v>136</v>
      </c>
      <c r="B22" s="80"/>
      <c r="C22" s="43"/>
      <c r="D22" s="256"/>
      <c r="E22" s="255"/>
      <c r="F22" s="346"/>
      <c r="G22" s="190"/>
      <c r="H22" s="27"/>
      <c r="I22" s="26"/>
      <c r="J22" s="26"/>
      <c r="K22" s="26"/>
      <c r="L22" s="26"/>
      <c r="M22" s="26"/>
      <c r="N22" s="26"/>
      <c r="O22" s="26"/>
      <c r="P22" s="188"/>
      <c r="Q22" s="169"/>
      <c r="R22" s="26"/>
      <c r="S22" s="26"/>
      <c r="T22" s="26"/>
      <c r="U22" s="26"/>
      <c r="V22" s="26"/>
      <c r="W22" s="26"/>
      <c r="X22" s="26"/>
      <c r="Y22" s="26"/>
      <c r="Z22" s="26"/>
      <c r="AA22" s="26"/>
      <c r="AB22" s="26"/>
      <c r="AC22" s="26"/>
      <c r="AD22" s="26"/>
      <c r="AE22" s="349"/>
      <c r="AF22" s="222" t="s">
        <v>136</v>
      </c>
      <c r="AG22" s="94"/>
      <c r="AH22" s="16"/>
    </row>
    <row r="23" spans="1:35" s="15" customFormat="1" ht="24" customHeight="1" x14ac:dyDescent="0.2">
      <c r="A23" s="222" t="s">
        <v>137</v>
      </c>
      <c r="B23" s="78"/>
      <c r="C23" s="43"/>
      <c r="D23" s="256"/>
      <c r="E23" s="255"/>
      <c r="F23" s="346"/>
      <c r="G23" s="190"/>
      <c r="H23" s="27"/>
      <c r="I23" s="26"/>
      <c r="J23" s="26"/>
      <c r="K23" s="26"/>
      <c r="L23" s="26"/>
      <c r="M23" s="26"/>
      <c r="N23" s="26"/>
      <c r="O23" s="26"/>
      <c r="P23" s="188"/>
      <c r="Q23" s="169"/>
      <c r="R23" s="26"/>
      <c r="S23" s="26"/>
      <c r="T23" s="26"/>
      <c r="U23" s="26"/>
      <c r="V23" s="26"/>
      <c r="W23" s="26"/>
      <c r="X23" s="26"/>
      <c r="Y23" s="26"/>
      <c r="Z23" s="26"/>
      <c r="AA23" s="26"/>
      <c r="AB23" s="26"/>
      <c r="AC23" s="26"/>
      <c r="AD23" s="26"/>
      <c r="AE23" s="349"/>
      <c r="AF23" s="222" t="s">
        <v>137</v>
      </c>
      <c r="AG23" s="74"/>
      <c r="AH23" s="22"/>
    </row>
    <row r="24" spans="1:35" ht="24" customHeight="1" thickBot="1" x14ac:dyDescent="0.4">
      <c r="A24" s="222" t="s">
        <v>138</v>
      </c>
      <c r="B24" s="80"/>
      <c r="C24" s="26"/>
      <c r="D24" s="28"/>
      <c r="E24" s="28"/>
      <c r="F24" s="28"/>
      <c r="G24" s="241"/>
      <c r="H24" s="65"/>
      <c r="I24" s="65"/>
      <c r="J24" s="65"/>
      <c r="K24" s="65"/>
      <c r="L24" s="65"/>
      <c r="M24" s="65"/>
      <c r="N24" s="65"/>
      <c r="O24" s="65"/>
      <c r="P24" s="170"/>
      <c r="Q24" s="170"/>
      <c r="R24" s="65"/>
      <c r="S24" s="65"/>
      <c r="T24" s="65"/>
      <c r="U24" s="65"/>
      <c r="V24" s="65"/>
      <c r="W24" s="65"/>
      <c r="X24" s="65"/>
      <c r="Y24" s="65"/>
      <c r="Z24" s="65"/>
      <c r="AA24" s="65"/>
      <c r="AB24" s="65"/>
      <c r="AC24" s="65"/>
      <c r="AD24" s="65"/>
      <c r="AE24" s="357"/>
      <c r="AF24" s="222" t="s">
        <v>138</v>
      </c>
      <c r="AG24" s="85"/>
      <c r="AH24" s="16"/>
    </row>
    <row r="25" spans="1:35" ht="24" customHeight="1" thickTop="1" thickBot="1" x14ac:dyDescent="0.25">
      <c r="A25" s="222" t="s">
        <v>139</v>
      </c>
      <c r="B25" s="83"/>
      <c r="C25" s="65"/>
      <c r="D25" s="65"/>
      <c r="E25" s="65"/>
      <c r="F25" s="65"/>
      <c r="G25" s="170"/>
      <c r="H25" s="185">
        <f>SUM(H12:H24)</f>
        <v>12062.96</v>
      </c>
      <c r="I25" s="185">
        <f t="shared" ref="I25:AE25" si="0">SUM(I12:I24)</f>
        <v>246.16</v>
      </c>
      <c r="J25" s="185">
        <f t="shared" si="0"/>
        <v>0</v>
      </c>
      <c r="K25" s="185">
        <f t="shared" si="0"/>
        <v>0</v>
      </c>
      <c r="L25" s="185"/>
      <c r="M25" s="185"/>
      <c r="N25" s="185"/>
      <c r="O25" s="185"/>
      <c r="P25" s="185">
        <f t="shared" si="0"/>
        <v>379.12</v>
      </c>
      <c r="Q25" s="185">
        <f t="shared" si="0"/>
        <v>379.12</v>
      </c>
      <c r="R25" s="185">
        <f t="shared" si="0"/>
        <v>0</v>
      </c>
      <c r="S25" s="185">
        <f t="shared" si="0"/>
        <v>0</v>
      </c>
      <c r="T25" s="185">
        <f t="shared" si="0"/>
        <v>0</v>
      </c>
      <c r="U25" s="185">
        <f t="shared" si="0"/>
        <v>0</v>
      </c>
      <c r="V25" s="185">
        <f t="shared" si="0"/>
        <v>0</v>
      </c>
      <c r="W25" s="185">
        <f t="shared" si="0"/>
        <v>0</v>
      </c>
      <c r="X25" s="185">
        <f t="shared" si="0"/>
        <v>0</v>
      </c>
      <c r="Y25" s="185">
        <f t="shared" si="0"/>
        <v>0</v>
      </c>
      <c r="Z25" s="185"/>
      <c r="AA25" s="185"/>
      <c r="AB25" s="185"/>
      <c r="AC25" s="185"/>
      <c r="AD25" s="185"/>
      <c r="AE25" s="185">
        <f t="shared" si="0"/>
        <v>11437.679999999998</v>
      </c>
      <c r="AF25" s="222" t="s">
        <v>139</v>
      </c>
      <c r="AG25" s="96"/>
      <c r="AH25" s="49"/>
    </row>
    <row r="26" spans="1:35" ht="12" thickTop="1" x14ac:dyDescent="0.2">
      <c r="H26" s="35"/>
      <c r="K26" s="1" t="s">
        <v>37</v>
      </c>
      <c r="AE26" s="35"/>
      <c r="AG26" s="18"/>
    </row>
    <row r="27" spans="1:35" x14ac:dyDescent="0.2">
      <c r="H27" s="35"/>
      <c r="I27" s="35" t="s">
        <v>382</v>
      </c>
      <c r="J27" s="35"/>
      <c r="N27" s="35"/>
      <c r="P27" s="175"/>
      <c r="Q27" s="175"/>
      <c r="Z27" s="35"/>
      <c r="AA27" s="35"/>
      <c r="AC27" s="889" t="s">
        <v>212</v>
      </c>
      <c r="AD27" s="889"/>
      <c r="AE27" s="830"/>
      <c r="AF27" s="830"/>
      <c r="AG27" s="830"/>
    </row>
    <row r="28" spans="1:35" x14ac:dyDescent="0.2">
      <c r="A28" s="889" t="s">
        <v>49</v>
      </c>
      <c r="B28" s="889"/>
      <c r="C28" s="889"/>
      <c r="D28" s="889"/>
      <c r="E28" s="889"/>
      <c r="F28" s="889"/>
      <c r="G28" s="889"/>
      <c r="Q28" s="339"/>
      <c r="AC28" s="830"/>
      <c r="AD28" s="830"/>
      <c r="AE28" s="830"/>
      <c r="AF28" s="830"/>
      <c r="AG28" s="830"/>
    </row>
    <row r="29" spans="1:35" x14ac:dyDescent="0.2">
      <c r="A29" s="889"/>
      <c r="B29" s="889"/>
      <c r="C29" s="889"/>
      <c r="D29" s="889"/>
      <c r="E29" s="889"/>
      <c r="F29" s="889"/>
      <c r="G29" s="889"/>
      <c r="Z29" s="35"/>
      <c r="AC29" s="830"/>
      <c r="AD29" s="830"/>
      <c r="AE29" s="830"/>
      <c r="AF29" s="830"/>
      <c r="AG29" s="830"/>
    </row>
    <row r="30" spans="1:35" ht="15.75" x14ac:dyDescent="0.25">
      <c r="A30" s="889"/>
      <c r="B30" s="889"/>
      <c r="C30" s="889"/>
      <c r="D30" s="889"/>
      <c r="E30" s="889"/>
      <c r="F30" s="889"/>
      <c r="G30" s="889"/>
      <c r="J30" s="835" t="s">
        <v>200</v>
      </c>
      <c r="K30" s="835"/>
      <c r="L30" s="835"/>
      <c r="M30" s="835"/>
      <c r="N30" s="835"/>
      <c r="O30" s="835"/>
      <c r="P30" s="835"/>
      <c r="Z30" s="35"/>
      <c r="AC30" s="830"/>
      <c r="AD30" s="830"/>
      <c r="AE30" s="830"/>
      <c r="AF30" s="830"/>
      <c r="AG30" s="830"/>
    </row>
    <row r="31" spans="1:35" ht="12.75" x14ac:dyDescent="0.2">
      <c r="J31" s="824" t="s">
        <v>79</v>
      </c>
      <c r="K31" s="824"/>
      <c r="L31" s="824"/>
      <c r="M31" s="824"/>
      <c r="N31" s="824"/>
      <c r="O31" s="824"/>
      <c r="P31" s="824"/>
      <c r="AC31" s="830"/>
      <c r="AD31" s="830"/>
      <c r="AE31" s="830"/>
      <c r="AF31" s="830"/>
      <c r="AG31" s="830"/>
    </row>
    <row r="32" spans="1:35" ht="15" x14ac:dyDescent="0.25">
      <c r="D32" s="891" t="s">
        <v>399</v>
      </c>
      <c r="E32" s="891"/>
      <c r="F32" s="891"/>
      <c r="G32" s="891"/>
      <c r="H32" s="892"/>
      <c r="J32" s="824" t="s">
        <v>51</v>
      </c>
      <c r="K32" s="824"/>
      <c r="L32" s="824"/>
      <c r="M32" s="824"/>
      <c r="N32" s="824"/>
      <c r="O32" s="824"/>
      <c r="P32" s="824"/>
      <c r="AC32" s="830"/>
      <c r="AD32" s="830"/>
      <c r="AE32" s="830"/>
      <c r="AF32" s="830"/>
      <c r="AG32" s="830"/>
    </row>
    <row r="33" spans="1:34" ht="12.75" x14ac:dyDescent="0.2">
      <c r="D33" s="829" t="s">
        <v>400</v>
      </c>
      <c r="E33" s="829"/>
      <c r="F33" s="829"/>
      <c r="G33" s="829"/>
      <c r="H33" s="830"/>
      <c r="AC33" s="830"/>
      <c r="AD33" s="830"/>
      <c r="AE33" s="830"/>
      <c r="AF33" s="830"/>
      <c r="AG33" s="830"/>
    </row>
    <row r="34" spans="1:34" x14ac:dyDescent="0.2">
      <c r="AG34" s="18"/>
    </row>
    <row r="35" spans="1:34" x14ac:dyDescent="0.2">
      <c r="A35" s="17" t="s">
        <v>52</v>
      </c>
    </row>
    <row r="36" spans="1:34" x14ac:dyDescent="0.2">
      <c r="AC36" s="888" t="s">
        <v>213</v>
      </c>
      <c r="AD36" s="888"/>
      <c r="AE36" s="888"/>
      <c r="AF36" s="888"/>
      <c r="AG36" s="888"/>
    </row>
    <row r="37" spans="1:34" x14ac:dyDescent="0.2">
      <c r="E37" s="1" t="s">
        <v>53</v>
      </c>
      <c r="AC37" s="888"/>
      <c r="AD37" s="888"/>
      <c r="AE37" s="888"/>
      <c r="AF37" s="888"/>
      <c r="AG37" s="888"/>
    </row>
    <row r="38" spans="1:34" x14ac:dyDescent="0.2">
      <c r="A38" s="17" t="s">
        <v>54</v>
      </c>
      <c r="AC38" s="920"/>
      <c r="AD38" s="920"/>
      <c r="AE38" s="920"/>
      <c r="AF38" s="920"/>
      <c r="AG38" s="920"/>
    </row>
    <row r="39" spans="1:34" x14ac:dyDescent="0.2">
      <c r="C39" s="1" t="s">
        <v>56</v>
      </c>
      <c r="E39" s="1" t="s">
        <v>57</v>
      </c>
      <c r="AC39" s="920"/>
      <c r="AD39" s="920"/>
      <c r="AE39" s="920"/>
      <c r="AF39" s="920"/>
      <c r="AG39" s="920"/>
      <c r="AH39" s="19" t="s">
        <v>53</v>
      </c>
    </row>
    <row r="40" spans="1:34" x14ac:dyDescent="0.2">
      <c r="AC40" s="104"/>
      <c r="AD40" s="104"/>
      <c r="AE40" s="104"/>
      <c r="AF40" s="104"/>
      <c r="AG40" s="104"/>
    </row>
    <row r="41" spans="1:34" x14ac:dyDescent="0.2">
      <c r="AC41" s="104"/>
      <c r="AD41" s="104"/>
      <c r="AE41" s="104"/>
      <c r="AF41" s="104"/>
      <c r="AG41" s="104"/>
    </row>
    <row r="44" spans="1:34" x14ac:dyDescent="0.2">
      <c r="C44" s="17"/>
    </row>
  </sheetData>
  <mergeCells count="51">
    <mergeCell ref="D13:E13"/>
    <mergeCell ref="AC36:AG39"/>
    <mergeCell ref="AC27:AG33"/>
    <mergeCell ref="A28:G30"/>
    <mergeCell ref="D32:H32"/>
    <mergeCell ref="D33:H33"/>
    <mergeCell ref="J30:P30"/>
    <mergeCell ref="J31:P31"/>
    <mergeCell ref="J32:P32"/>
    <mergeCell ref="AG6:AG8"/>
    <mergeCell ref="AH6:AH8"/>
    <mergeCell ref="P7:P8"/>
    <mergeCell ref="Q7:Q8"/>
    <mergeCell ref="W7:W8"/>
    <mergeCell ref="X7:X8"/>
    <mergeCell ref="AC7:AC9"/>
    <mergeCell ref="R8:R9"/>
    <mergeCell ref="Y5:AA7"/>
    <mergeCell ref="AD5:AD6"/>
    <mergeCell ref="AE5:AE9"/>
    <mergeCell ref="AF5:AF9"/>
    <mergeCell ref="Y8:Y9"/>
    <mergeCell ref="Z8:Z9"/>
    <mergeCell ref="AA8:AA9"/>
    <mergeCell ref="AD8:AD9"/>
    <mergeCell ref="N6:N7"/>
    <mergeCell ref="O6:O7"/>
    <mergeCell ref="P6:Q6"/>
    <mergeCell ref="D12:E12"/>
    <mergeCell ref="AB6:AB8"/>
    <mergeCell ref="I5:I8"/>
    <mergeCell ref="J5:J8"/>
    <mergeCell ref="K5:K8"/>
    <mergeCell ref="L5:L8"/>
    <mergeCell ref="M6:M9"/>
    <mergeCell ref="A1:AH1"/>
    <mergeCell ref="A2:AH3"/>
    <mergeCell ref="A4:A7"/>
    <mergeCell ref="B4:B9"/>
    <mergeCell ref="C4:C9"/>
    <mergeCell ref="D4:E4"/>
    <mergeCell ref="G4:G5"/>
    <mergeCell ref="H4:H7"/>
    <mergeCell ref="I4:X4"/>
    <mergeCell ref="D5:D7"/>
    <mergeCell ref="G6:G8"/>
    <mergeCell ref="N5:W5"/>
    <mergeCell ref="S8:S9"/>
    <mergeCell ref="T8:T9"/>
    <mergeCell ref="U8:U9"/>
    <mergeCell ref="E5:E7"/>
  </mergeCells>
  <pageMargins left="0.27" right="0.25" top="0.34" bottom="0.32" header="0.3" footer="0.3"/>
  <pageSetup paperSize="256" scale="8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FF00"/>
  </sheetPr>
  <dimension ref="A1:AG44"/>
  <sheetViews>
    <sheetView view="pageBreakPreview" topLeftCell="A16" zoomScale="88" zoomScaleSheetLayoutView="88" workbookViewId="0">
      <selection activeCell="D13" sqref="D13:E13"/>
    </sheetView>
  </sheetViews>
  <sheetFormatPr defaultColWidth="9.140625" defaultRowHeight="11.25" x14ac:dyDescent="0.2"/>
  <cols>
    <col min="1" max="1" width="3" style="105" customWidth="1"/>
    <col min="2" max="2" width="21.28515625" style="17" customWidth="1"/>
    <col min="3" max="3" width="12.42578125" style="1" customWidth="1"/>
    <col min="4" max="5" width="7.140625" style="1" customWidth="1"/>
    <col min="6" max="6" width="5" style="1" customWidth="1"/>
    <col min="7" max="7" width="9.5703125" style="176" customWidth="1"/>
    <col min="8" max="8" width="12.28515625" style="1" customWidth="1"/>
    <col min="9" max="9" width="9.7109375" style="1" hidden="1" customWidth="1"/>
    <col min="10" max="10" width="6.5703125" style="1" hidden="1" customWidth="1"/>
    <col min="11" max="11" width="5.42578125" style="1" hidden="1" customWidth="1"/>
    <col min="12" max="12" width="7.85546875" style="1" customWidth="1"/>
    <col min="13" max="13" width="8.42578125" style="1" hidden="1" customWidth="1"/>
    <col min="14" max="14" width="10.42578125" style="1" customWidth="1"/>
    <col min="15" max="15" width="9.85546875" style="1" customWidth="1"/>
    <col min="16" max="17" width="9.28515625" style="1" customWidth="1"/>
    <col min="18" max="18" width="10.5703125" style="176" customWidth="1"/>
    <col min="19" max="19" width="11.28515625" style="176" customWidth="1"/>
    <col min="20" max="21" width="8.85546875" style="1" customWidth="1"/>
    <col min="22" max="22" width="11.7109375" style="1" hidden="1" customWidth="1"/>
    <col min="23" max="23" width="9.140625" style="1" hidden="1" customWidth="1"/>
    <col min="24" max="24" width="5.5703125" style="1" hidden="1" customWidth="1"/>
    <col min="25" max="25" width="10.140625" style="1" hidden="1" customWidth="1"/>
    <col min="26" max="26" width="9.85546875" style="1" customWidth="1"/>
    <col min="27" max="27" width="9.5703125" style="1" customWidth="1"/>
    <col min="28" max="28" width="8.5703125" style="1" customWidth="1"/>
    <col min="29" max="29" width="12.28515625" style="1" customWidth="1"/>
    <col min="30" max="30" width="3.28515625" style="1" customWidth="1"/>
    <col min="31" max="31" width="26.5703125" style="1" customWidth="1"/>
    <col min="32" max="32" width="13" style="1" customWidth="1"/>
    <col min="33" max="16384" width="9.140625" style="1"/>
  </cols>
  <sheetData>
    <row r="1" spans="1:33"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row>
    <row r="2" spans="1:33" ht="11.25" customHeight="1"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s="864"/>
      <c r="AF2" s="864"/>
    </row>
    <row r="3" spans="1:33" ht="21.75" customHeight="1"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s="865"/>
      <c r="AF3" s="865"/>
    </row>
    <row r="4" spans="1:33" s="4" customFormat="1" ht="24" customHeight="1" thickTop="1" x14ac:dyDescent="0.3">
      <c r="A4" s="866" t="s">
        <v>1</v>
      </c>
      <c r="B4" s="868" t="s">
        <v>2</v>
      </c>
      <c r="C4" s="870" t="s">
        <v>3</v>
      </c>
      <c r="D4" s="871" t="s">
        <v>4</v>
      </c>
      <c r="E4" s="871"/>
      <c r="F4" s="872"/>
      <c r="G4" s="872"/>
      <c r="H4" s="866" t="s">
        <v>5</v>
      </c>
      <c r="I4" s="887" t="s">
        <v>6</v>
      </c>
      <c r="J4" s="887"/>
      <c r="K4" s="887"/>
      <c r="L4" s="887"/>
      <c r="M4" s="887"/>
      <c r="N4" s="887"/>
      <c r="O4" s="887"/>
      <c r="P4" s="887"/>
      <c r="Q4" s="887"/>
      <c r="R4" s="887"/>
      <c r="S4" s="887"/>
      <c r="T4" s="887"/>
      <c r="U4" s="887"/>
      <c r="V4" s="887"/>
      <c r="W4" s="887"/>
      <c r="X4" s="110"/>
      <c r="Y4" s="110"/>
      <c r="Z4" s="110"/>
      <c r="AA4" s="110"/>
      <c r="AB4" s="2"/>
      <c r="AC4" s="3"/>
      <c r="AD4" s="3"/>
      <c r="AE4" s="3"/>
      <c r="AF4" s="3"/>
    </row>
    <row r="5" spans="1:33" s="8" customFormat="1" ht="13.5" customHeight="1" x14ac:dyDescent="0.2">
      <c r="A5" s="867"/>
      <c r="B5" s="869"/>
      <c r="C5" s="857"/>
      <c r="D5" s="851" t="s">
        <v>7</v>
      </c>
      <c r="E5" s="852" t="s">
        <v>8</v>
      </c>
      <c r="F5" s="873"/>
      <c r="G5" s="873"/>
      <c r="H5" s="874"/>
      <c r="I5" s="856" t="s">
        <v>9</v>
      </c>
      <c r="J5" s="856" t="s">
        <v>10</v>
      </c>
      <c r="K5" s="856" t="s">
        <v>11</v>
      </c>
      <c r="L5" s="856" t="s">
        <v>160</v>
      </c>
      <c r="M5" s="111"/>
      <c r="N5" s="880" t="s">
        <v>13</v>
      </c>
      <c r="O5" s="881"/>
      <c r="P5" s="881"/>
      <c r="Q5" s="881"/>
      <c r="R5" s="881"/>
      <c r="S5" s="881"/>
      <c r="T5" s="881"/>
      <c r="U5" s="881"/>
      <c r="V5" s="882"/>
      <c r="W5" s="5"/>
      <c r="X5" s="5"/>
      <c r="Y5" s="5"/>
      <c r="Z5" s="845" t="s">
        <v>249</v>
      </c>
      <c r="AA5" s="846"/>
      <c r="AB5" s="6"/>
      <c r="AC5" s="838" t="s">
        <v>14</v>
      </c>
      <c r="AD5" s="842" t="s">
        <v>15</v>
      </c>
      <c r="AE5" s="7"/>
      <c r="AF5" s="7"/>
    </row>
    <row r="6" spans="1:33" s="8" customFormat="1" ht="13.5" customHeight="1" x14ac:dyDescent="0.2">
      <c r="A6" s="867"/>
      <c r="B6" s="869"/>
      <c r="C6" s="857"/>
      <c r="D6" s="867"/>
      <c r="E6" s="867"/>
      <c r="F6" s="309"/>
      <c r="G6" s="840" t="s">
        <v>16</v>
      </c>
      <c r="H6" s="839"/>
      <c r="I6" s="857"/>
      <c r="J6" s="859"/>
      <c r="K6" s="859"/>
      <c r="L6" s="859"/>
      <c r="M6" s="859"/>
      <c r="N6" s="851" t="s">
        <v>172</v>
      </c>
      <c r="O6" s="851" t="s">
        <v>18</v>
      </c>
      <c r="P6" s="860" t="s">
        <v>230</v>
      </c>
      <c r="Q6" s="861"/>
      <c r="R6" s="854" t="s">
        <v>20</v>
      </c>
      <c r="S6" s="854"/>
      <c r="T6" s="854"/>
      <c r="U6" s="855"/>
      <c r="V6" s="9"/>
      <c r="W6" s="106"/>
      <c r="X6" s="838" t="s">
        <v>21</v>
      </c>
      <c r="Y6" s="838" t="s">
        <v>22</v>
      </c>
      <c r="Z6" s="847"/>
      <c r="AA6" s="848"/>
      <c r="AB6" s="10"/>
      <c r="AC6" s="838"/>
      <c r="AD6" s="842"/>
      <c r="AE6" s="838" t="s">
        <v>25</v>
      </c>
      <c r="AF6" s="838" t="s">
        <v>26</v>
      </c>
    </row>
    <row r="7" spans="1:33" s="8" customFormat="1" ht="9" customHeight="1" x14ac:dyDescent="0.2">
      <c r="A7" s="867"/>
      <c r="B7" s="869"/>
      <c r="C7" s="857"/>
      <c r="D7" s="867"/>
      <c r="E7" s="867"/>
      <c r="F7" s="309" t="s">
        <v>389</v>
      </c>
      <c r="G7" s="841"/>
      <c r="H7" s="839"/>
      <c r="I7" s="858"/>
      <c r="J7" s="858"/>
      <c r="K7" s="858"/>
      <c r="L7" s="858"/>
      <c r="M7" s="886"/>
      <c r="N7" s="839"/>
      <c r="O7" s="839"/>
      <c r="P7" s="877" t="s">
        <v>27</v>
      </c>
      <c r="Q7" s="877" t="s">
        <v>28</v>
      </c>
      <c r="R7" s="879" t="s">
        <v>29</v>
      </c>
      <c r="S7" s="879"/>
      <c r="T7" s="879"/>
      <c r="U7" s="879"/>
      <c r="V7" s="838" t="s">
        <v>30</v>
      </c>
      <c r="W7" s="827" t="s">
        <v>61</v>
      </c>
      <c r="X7" s="838"/>
      <c r="Y7" s="839"/>
      <c r="Z7" s="847"/>
      <c r="AA7" s="848"/>
      <c r="AB7" s="844" t="s">
        <v>32</v>
      </c>
      <c r="AC7" s="838"/>
      <c r="AD7" s="842"/>
      <c r="AE7" s="839"/>
      <c r="AF7" s="838"/>
    </row>
    <row r="8" spans="1:33" s="8" customFormat="1" ht="13.5" customHeight="1" x14ac:dyDescent="0.2">
      <c r="A8" s="10"/>
      <c r="B8" s="869"/>
      <c r="C8" s="858"/>
      <c r="D8" s="11"/>
      <c r="E8" s="107"/>
      <c r="F8" s="107"/>
      <c r="G8" s="238"/>
      <c r="H8" s="114"/>
      <c r="I8" s="858"/>
      <c r="J8" s="858"/>
      <c r="K8" s="858"/>
      <c r="L8" s="858"/>
      <c r="M8" s="886"/>
      <c r="N8" s="115"/>
      <c r="O8" s="115"/>
      <c r="P8" s="878"/>
      <c r="Q8" s="878"/>
      <c r="R8" s="836" t="s">
        <v>27</v>
      </c>
      <c r="S8" s="836" t="s">
        <v>33</v>
      </c>
      <c r="T8" s="851" t="s">
        <v>34</v>
      </c>
      <c r="U8" s="852" t="s">
        <v>222</v>
      </c>
      <c r="V8" s="838"/>
      <c r="W8" s="827"/>
      <c r="X8" s="838"/>
      <c r="Y8" s="839"/>
      <c r="Z8" s="849"/>
      <c r="AA8" s="850"/>
      <c r="AB8" s="844"/>
      <c r="AC8" s="838"/>
      <c r="AD8" s="843"/>
      <c r="AE8" s="839"/>
      <c r="AF8" s="838"/>
    </row>
    <row r="9" spans="1:33" s="8" customFormat="1" ht="15.75" customHeight="1" x14ac:dyDescent="0.2">
      <c r="A9" s="10"/>
      <c r="B9" s="869"/>
      <c r="C9" s="858"/>
      <c r="D9" s="11"/>
      <c r="E9" s="107"/>
      <c r="F9" s="107"/>
      <c r="G9" s="238"/>
      <c r="H9" s="114"/>
      <c r="I9" s="7"/>
      <c r="J9" s="7"/>
      <c r="K9" s="113"/>
      <c r="L9" s="113"/>
      <c r="M9" s="886"/>
      <c r="N9" s="115"/>
      <c r="O9" s="115"/>
      <c r="P9" s="107"/>
      <c r="Q9" s="12" t="s">
        <v>37</v>
      </c>
      <c r="R9" s="837"/>
      <c r="S9" s="837"/>
      <c r="T9" s="838"/>
      <c r="U9" s="853"/>
      <c r="V9" s="7"/>
      <c r="W9" s="106"/>
      <c r="X9" s="109"/>
      <c r="Y9" s="109"/>
      <c r="Z9" s="109" t="s">
        <v>23</v>
      </c>
      <c r="AA9" s="106" t="s">
        <v>250</v>
      </c>
      <c r="AB9" s="10"/>
      <c r="AC9" s="838"/>
      <c r="AD9" s="843"/>
      <c r="AE9" s="7"/>
      <c r="AF9" s="7"/>
    </row>
    <row r="10" spans="1:33" s="15" customFormat="1" ht="12" thickBot="1" x14ac:dyDescent="0.25">
      <c r="A10" s="99">
        <v>1</v>
      </c>
      <c r="B10" s="13">
        <v>2</v>
      </c>
      <c r="C10" s="13">
        <v>3</v>
      </c>
      <c r="D10" s="13">
        <v>4</v>
      </c>
      <c r="E10" s="13">
        <v>5</v>
      </c>
      <c r="F10" s="13"/>
      <c r="G10" s="177">
        <v>6</v>
      </c>
      <c r="H10" s="13">
        <v>7</v>
      </c>
      <c r="I10" s="13">
        <v>8</v>
      </c>
      <c r="J10" s="13">
        <v>9</v>
      </c>
      <c r="K10" s="13">
        <v>10</v>
      </c>
      <c r="L10" s="13">
        <v>11</v>
      </c>
      <c r="M10" s="13">
        <v>12</v>
      </c>
      <c r="N10" s="13">
        <v>13</v>
      </c>
      <c r="O10" s="13">
        <v>14</v>
      </c>
      <c r="P10" s="13">
        <v>15</v>
      </c>
      <c r="Q10" s="13">
        <v>16</v>
      </c>
      <c r="R10" s="168">
        <v>17</v>
      </c>
      <c r="S10" s="168">
        <v>18</v>
      </c>
      <c r="T10" s="13">
        <v>19</v>
      </c>
      <c r="U10" s="13">
        <v>20</v>
      </c>
      <c r="V10" s="13">
        <v>21</v>
      </c>
      <c r="W10" s="13">
        <v>22</v>
      </c>
      <c r="X10" s="13">
        <v>23</v>
      </c>
      <c r="Y10" s="13">
        <v>24</v>
      </c>
      <c r="Z10" s="13">
        <v>25</v>
      </c>
      <c r="AA10" s="13">
        <v>26</v>
      </c>
      <c r="AB10" s="13">
        <v>27</v>
      </c>
      <c r="AC10" s="13">
        <v>28</v>
      </c>
      <c r="AD10" s="13">
        <v>29</v>
      </c>
      <c r="AE10" s="13">
        <v>30</v>
      </c>
      <c r="AF10" s="13">
        <v>31</v>
      </c>
    </row>
    <row r="11" spans="1:33" s="15" customFormat="1" ht="24" customHeight="1" thickTop="1" x14ac:dyDescent="0.25">
      <c r="A11" s="222"/>
      <c r="B11" s="66"/>
      <c r="C11" s="215"/>
      <c r="D11" s="216"/>
      <c r="E11" s="216"/>
      <c r="F11" s="216"/>
      <c r="G11" s="178"/>
      <c r="H11" s="41"/>
      <c r="I11" s="41"/>
      <c r="J11" s="41"/>
      <c r="K11" s="41"/>
      <c r="L11" s="41"/>
      <c r="M11" s="41"/>
      <c r="N11" s="41"/>
      <c r="O11" s="41"/>
      <c r="P11" s="41"/>
      <c r="Q11" s="41"/>
      <c r="R11" s="234"/>
      <c r="S11" s="234"/>
      <c r="T11" s="41"/>
      <c r="U11" s="41"/>
      <c r="V11" s="41"/>
      <c r="W11" s="41"/>
      <c r="X11" s="41"/>
      <c r="Y11" s="41"/>
      <c r="Z11" s="41"/>
      <c r="AA11" s="41"/>
      <c r="AB11" s="41"/>
      <c r="AC11" s="41"/>
      <c r="AD11" s="222"/>
      <c r="AE11" s="208"/>
      <c r="AF11" s="22"/>
    </row>
    <row r="12" spans="1:33" s="15" customFormat="1" ht="28.5" customHeight="1" x14ac:dyDescent="0.2">
      <c r="A12" s="222"/>
      <c r="B12" s="374">
        <v>1022</v>
      </c>
      <c r="C12" s="210"/>
      <c r="D12" s="209"/>
      <c r="E12" s="209"/>
      <c r="F12" s="209"/>
      <c r="G12" s="172"/>
      <c r="H12" s="39"/>
      <c r="I12" s="39"/>
      <c r="J12" s="39"/>
      <c r="K12" s="39"/>
      <c r="L12" s="39"/>
      <c r="M12" s="39"/>
      <c r="N12" s="39"/>
      <c r="O12" s="39"/>
      <c r="P12" s="39"/>
      <c r="Q12" s="39"/>
      <c r="R12" s="171"/>
      <c r="S12" s="171"/>
      <c r="T12" s="39"/>
      <c r="U12" s="39"/>
      <c r="V12" s="39"/>
      <c r="W12" s="39"/>
      <c r="X12" s="38"/>
      <c r="Y12" s="39"/>
      <c r="Z12" s="39"/>
      <c r="AA12" s="39"/>
      <c r="AB12" s="39"/>
      <c r="AC12" s="349"/>
      <c r="AD12" s="222"/>
      <c r="AE12" s="207"/>
      <c r="AF12" s="21"/>
    </row>
    <row r="13" spans="1:33" s="15" customFormat="1" ht="28.5" customHeight="1" x14ac:dyDescent="0.35">
      <c r="A13" s="222" t="s">
        <v>38</v>
      </c>
      <c r="B13" s="376" t="s">
        <v>256</v>
      </c>
      <c r="C13" s="43" t="s">
        <v>281</v>
      </c>
      <c r="D13" s="883" t="s">
        <v>397</v>
      </c>
      <c r="E13" s="922"/>
      <c r="F13" s="242">
        <v>11</v>
      </c>
      <c r="G13" s="179">
        <f>ROUND(7582/22,2)</f>
        <v>344.64</v>
      </c>
      <c r="H13" s="27">
        <f>F13*G13</f>
        <v>3791.04</v>
      </c>
      <c r="I13" s="26">
        <v>0</v>
      </c>
      <c r="J13" s="38"/>
      <c r="K13" s="38"/>
      <c r="L13" s="26">
        <v>0</v>
      </c>
      <c r="M13" s="38"/>
      <c r="N13" s="26">
        <v>0</v>
      </c>
      <c r="O13" s="26">
        <v>0</v>
      </c>
      <c r="P13" s="26">
        <v>100</v>
      </c>
      <c r="Q13" s="26">
        <f>P13</f>
        <v>100</v>
      </c>
      <c r="R13" s="169">
        <v>682.38</v>
      </c>
      <c r="S13" s="169">
        <v>909.84</v>
      </c>
      <c r="T13" s="38"/>
      <c r="U13" s="38"/>
      <c r="V13" s="38"/>
      <c r="W13" s="38"/>
      <c r="X13" s="38"/>
      <c r="Y13" s="38"/>
      <c r="Z13" s="38"/>
      <c r="AA13" s="38"/>
      <c r="AB13" s="26">
        <v>75.819999999999993</v>
      </c>
      <c r="AC13" s="25">
        <f>H13-(SUM(I13:P13)+R13+SUM(T13:AA13))</f>
        <v>3008.66</v>
      </c>
      <c r="AD13" s="222" t="s">
        <v>38</v>
      </c>
      <c r="AE13" s="207"/>
      <c r="AF13" s="21"/>
      <c r="AG13" s="84"/>
    </row>
    <row r="14" spans="1:33" s="15" customFormat="1" ht="28.5" customHeight="1" x14ac:dyDescent="0.35">
      <c r="A14" s="222"/>
      <c r="B14" s="458">
        <v>1021</v>
      </c>
      <c r="C14" s="223"/>
      <c r="D14" s="233"/>
      <c r="E14" s="457"/>
      <c r="F14" s="242"/>
      <c r="G14" s="179"/>
      <c r="H14" s="27"/>
      <c r="I14" s="26"/>
      <c r="J14" s="38"/>
      <c r="K14" s="38"/>
      <c r="L14" s="26"/>
      <c r="M14" s="38"/>
      <c r="N14" s="26"/>
      <c r="O14" s="26"/>
      <c r="P14" s="26"/>
      <c r="Q14" s="26"/>
      <c r="R14" s="169"/>
      <c r="S14" s="169"/>
      <c r="T14" s="38"/>
      <c r="U14" s="38"/>
      <c r="V14" s="38"/>
      <c r="W14" s="38"/>
      <c r="X14" s="38"/>
      <c r="Y14" s="38"/>
      <c r="Z14" s="38"/>
      <c r="AA14" s="38"/>
      <c r="AB14" s="26"/>
      <c r="AC14" s="25"/>
      <c r="AD14" s="222"/>
      <c r="AE14" s="207"/>
      <c r="AF14" s="21"/>
      <c r="AG14" s="84"/>
    </row>
    <row r="15" spans="1:33" s="15" customFormat="1" ht="28.5" customHeight="1" x14ac:dyDescent="0.2">
      <c r="A15" s="222" t="s">
        <v>127</v>
      </c>
      <c r="B15" s="376" t="s">
        <v>288</v>
      </c>
      <c r="C15" s="223" t="s">
        <v>281</v>
      </c>
      <c r="D15" s="883" t="s">
        <v>253</v>
      </c>
      <c r="E15" s="884"/>
      <c r="F15" s="242">
        <v>11</v>
      </c>
      <c r="G15" s="179">
        <f>ROUND(7582/22,2)</f>
        <v>344.64</v>
      </c>
      <c r="H15" s="27">
        <f>F15*G15</f>
        <v>3791.04</v>
      </c>
      <c r="I15" s="26">
        <v>0</v>
      </c>
      <c r="J15" s="26"/>
      <c r="K15" s="26"/>
      <c r="L15" s="26">
        <v>0</v>
      </c>
      <c r="M15" s="26" t="s">
        <v>37</v>
      </c>
      <c r="N15" s="26">
        <v>0</v>
      </c>
      <c r="O15" s="26">
        <v>0</v>
      </c>
      <c r="P15" s="26">
        <v>100</v>
      </c>
      <c r="Q15" s="26">
        <f>P15</f>
        <v>100</v>
      </c>
      <c r="R15" s="169">
        <v>682.38</v>
      </c>
      <c r="S15" s="169">
        <v>909.84</v>
      </c>
      <c r="T15" s="26">
        <v>0</v>
      </c>
      <c r="U15" s="26">
        <v>0</v>
      </c>
      <c r="V15" s="26">
        <v>0</v>
      </c>
      <c r="W15" s="26"/>
      <c r="X15" s="26"/>
      <c r="Y15" s="26"/>
      <c r="Z15" s="26">
        <v>0</v>
      </c>
      <c r="AA15" s="26">
        <v>0</v>
      </c>
      <c r="AB15" s="26">
        <v>75.819999999999993</v>
      </c>
      <c r="AC15" s="26">
        <f>H15-(SUM(I15:P15)+R15+SUM(T15:AA15))</f>
        <v>3008.66</v>
      </c>
      <c r="AD15" s="222" t="s">
        <v>127</v>
      </c>
      <c r="AE15" s="207"/>
      <c r="AF15" s="21"/>
    </row>
    <row r="16" spans="1:33" s="15" customFormat="1" ht="28.5" customHeight="1" x14ac:dyDescent="0.2">
      <c r="A16" s="222"/>
      <c r="B16" s="376"/>
      <c r="C16" s="223"/>
      <c r="D16" s="883"/>
      <c r="E16" s="884"/>
      <c r="F16" s="242"/>
      <c r="G16" s="179"/>
      <c r="H16" s="27"/>
      <c r="I16" s="26"/>
      <c r="J16" s="26"/>
      <c r="K16" s="26"/>
      <c r="L16" s="26"/>
      <c r="M16" s="26"/>
      <c r="N16" s="26"/>
      <c r="O16" s="26"/>
      <c r="P16" s="26"/>
      <c r="Q16" s="38"/>
      <c r="R16" s="169"/>
      <c r="S16" s="169"/>
      <c r="T16" s="39"/>
      <c r="U16" s="39"/>
      <c r="V16" s="39"/>
      <c r="W16" s="39"/>
      <c r="X16" s="39"/>
      <c r="Y16" s="39"/>
      <c r="Z16" s="39"/>
      <c r="AA16" s="39"/>
      <c r="AB16" s="26"/>
      <c r="AC16" s="25"/>
      <c r="AD16" s="222"/>
      <c r="AE16" s="207"/>
      <c r="AF16" s="21"/>
    </row>
    <row r="17" spans="1:33" s="15" customFormat="1" ht="28.5" customHeight="1" x14ac:dyDescent="0.2">
      <c r="A17" s="222"/>
      <c r="B17" s="51"/>
      <c r="C17" s="43"/>
      <c r="D17" s="217"/>
      <c r="E17" s="213"/>
      <c r="F17" s="213"/>
      <c r="G17" s="169"/>
      <c r="H17" s="226"/>
      <c r="I17" s="226"/>
      <c r="J17" s="226"/>
      <c r="K17" s="226"/>
      <c r="L17" s="226"/>
      <c r="M17" s="226"/>
      <c r="N17" s="226"/>
      <c r="O17" s="226"/>
      <c r="P17" s="226"/>
      <c r="Q17" s="226"/>
      <c r="R17" s="237"/>
      <c r="S17" s="237"/>
      <c r="T17" s="226"/>
      <c r="U17" s="226"/>
      <c r="V17" s="226"/>
      <c r="W17" s="226"/>
      <c r="X17" s="226"/>
      <c r="Y17" s="226"/>
      <c r="Z17" s="226"/>
      <c r="AA17" s="226"/>
      <c r="AB17" s="226"/>
      <c r="AC17" s="356"/>
      <c r="AD17" s="222"/>
      <c r="AE17" s="207"/>
      <c r="AF17" s="21"/>
    </row>
    <row r="18" spans="1:33" s="15" customFormat="1" ht="28.5" customHeight="1" x14ac:dyDescent="0.2">
      <c r="A18" s="222"/>
      <c r="B18" s="66"/>
      <c r="C18" s="223"/>
      <c r="D18" s="217"/>
      <c r="E18" s="213"/>
      <c r="F18" s="220"/>
      <c r="G18" s="172"/>
      <c r="H18" s="26"/>
      <c r="I18" s="26"/>
      <c r="J18" s="26"/>
      <c r="K18" s="26"/>
      <c r="L18" s="26"/>
      <c r="M18" s="26"/>
      <c r="N18" s="26"/>
      <c r="O18" s="26"/>
      <c r="P18" s="26"/>
      <c r="Q18" s="26"/>
      <c r="R18" s="169"/>
      <c r="S18" s="169"/>
      <c r="T18" s="26"/>
      <c r="U18" s="26"/>
      <c r="V18" s="26"/>
      <c r="W18" s="26"/>
      <c r="X18" s="26"/>
      <c r="Y18" s="26"/>
      <c r="Z18" s="26"/>
      <c r="AA18" s="26"/>
      <c r="AB18" s="26"/>
      <c r="AC18" s="349"/>
      <c r="AD18" s="222"/>
      <c r="AE18" s="208"/>
      <c r="AF18" s="22"/>
    </row>
    <row r="19" spans="1:33" ht="28.5" customHeight="1" x14ac:dyDescent="0.2">
      <c r="A19" s="222"/>
      <c r="B19" s="52"/>
      <c r="C19" s="43"/>
      <c r="D19" s="256"/>
      <c r="E19" s="255"/>
      <c r="F19" s="255"/>
      <c r="G19" s="179"/>
      <c r="H19" s="27"/>
      <c r="I19" s="26"/>
      <c r="J19" s="26"/>
      <c r="K19" s="26"/>
      <c r="L19" s="26"/>
      <c r="M19" s="26"/>
      <c r="N19" s="26"/>
      <c r="O19" s="26"/>
      <c r="P19" s="26"/>
      <c r="Q19" s="26"/>
      <c r="R19" s="169"/>
      <c r="S19" s="169"/>
      <c r="T19" s="26"/>
      <c r="U19" s="26"/>
      <c r="V19" s="26"/>
      <c r="W19" s="26"/>
      <c r="X19" s="26"/>
      <c r="Y19" s="26"/>
      <c r="Z19" s="26"/>
      <c r="AA19" s="26"/>
      <c r="AB19" s="26"/>
      <c r="AC19" s="349"/>
      <c r="AD19" s="222"/>
      <c r="AE19" s="203"/>
      <c r="AF19" s="16"/>
    </row>
    <row r="20" spans="1:33" s="15" customFormat="1" ht="28.5" customHeight="1" x14ac:dyDescent="0.2">
      <c r="A20" s="222"/>
      <c r="B20" s="51"/>
      <c r="C20" s="43"/>
      <c r="D20" s="256"/>
      <c r="E20" s="255"/>
      <c r="F20" s="255"/>
      <c r="G20" s="179"/>
      <c r="H20" s="27"/>
      <c r="I20" s="26"/>
      <c r="J20" s="26"/>
      <c r="K20" s="26"/>
      <c r="L20" s="26"/>
      <c r="M20" s="26"/>
      <c r="N20" s="26"/>
      <c r="O20" s="26"/>
      <c r="P20" s="26"/>
      <c r="Q20" s="26"/>
      <c r="R20" s="169"/>
      <c r="S20" s="169"/>
      <c r="T20" s="26"/>
      <c r="U20" s="26"/>
      <c r="V20" s="26"/>
      <c r="W20" s="26"/>
      <c r="X20" s="26"/>
      <c r="Y20" s="26"/>
      <c r="Z20" s="26"/>
      <c r="AA20" s="26"/>
      <c r="AB20" s="26"/>
      <c r="AC20" s="349"/>
      <c r="AD20" s="222"/>
      <c r="AE20" s="207"/>
      <c r="AF20" s="21"/>
    </row>
    <row r="21" spans="1:33" ht="28.5" customHeight="1" x14ac:dyDescent="0.2">
      <c r="A21" s="222"/>
      <c r="B21" s="51"/>
      <c r="C21" s="210"/>
      <c r="D21" s="210"/>
      <c r="E21" s="210"/>
      <c r="F21" s="210"/>
      <c r="G21" s="179"/>
      <c r="H21" s="226"/>
      <c r="I21" s="226"/>
      <c r="J21" s="226"/>
      <c r="K21" s="226"/>
      <c r="L21" s="226"/>
      <c r="M21" s="226"/>
      <c r="N21" s="226"/>
      <c r="O21" s="226"/>
      <c r="P21" s="226"/>
      <c r="Q21" s="226"/>
      <c r="R21" s="237"/>
      <c r="S21" s="237"/>
      <c r="T21" s="226"/>
      <c r="U21" s="226"/>
      <c r="V21" s="226"/>
      <c r="W21" s="226"/>
      <c r="X21" s="226"/>
      <c r="Y21" s="226"/>
      <c r="Z21" s="226"/>
      <c r="AA21" s="226"/>
      <c r="AB21" s="226"/>
      <c r="AC21" s="356"/>
      <c r="AD21" s="222"/>
      <c r="AE21" s="203"/>
      <c r="AF21" s="16"/>
    </row>
    <row r="22" spans="1:33" ht="28.5" customHeight="1" x14ac:dyDescent="0.2">
      <c r="A22" s="222"/>
      <c r="B22" s="67"/>
      <c r="C22" s="210"/>
      <c r="D22" s="210"/>
      <c r="E22" s="210"/>
      <c r="F22" s="404"/>
      <c r="G22" s="172"/>
      <c r="H22" s="26"/>
      <c r="I22" s="26"/>
      <c r="J22" s="26"/>
      <c r="K22" s="26"/>
      <c r="L22" s="26"/>
      <c r="M22" s="26"/>
      <c r="N22" s="26"/>
      <c r="O22" s="26"/>
      <c r="P22" s="26"/>
      <c r="Q22" s="26"/>
      <c r="R22" s="169"/>
      <c r="S22" s="169"/>
      <c r="T22" s="26"/>
      <c r="U22" s="26"/>
      <c r="V22" s="26"/>
      <c r="W22" s="26"/>
      <c r="X22" s="26"/>
      <c r="Y22" s="26"/>
      <c r="Z22" s="26"/>
      <c r="AA22" s="26"/>
      <c r="AB22" s="26"/>
      <c r="AC22" s="349"/>
      <c r="AD22" s="222"/>
      <c r="AE22" s="203"/>
      <c r="AF22" s="16"/>
    </row>
    <row r="23" spans="1:33" ht="28.5" customHeight="1" x14ac:dyDescent="0.2">
      <c r="A23" s="222"/>
      <c r="B23" s="51"/>
      <c r="C23" s="43"/>
      <c r="D23" s="377"/>
      <c r="E23" s="378"/>
      <c r="F23" s="378"/>
      <c r="G23" s="179"/>
      <c r="H23" s="27"/>
      <c r="I23" s="26"/>
      <c r="J23" s="26"/>
      <c r="K23" s="26"/>
      <c r="L23" s="26"/>
      <c r="M23" s="26"/>
      <c r="N23" s="26"/>
      <c r="O23" s="26"/>
      <c r="P23" s="26"/>
      <c r="Q23" s="26"/>
      <c r="R23" s="169"/>
      <c r="S23" s="169"/>
      <c r="T23" s="26"/>
      <c r="U23" s="26"/>
      <c r="V23" s="26"/>
      <c r="W23" s="26"/>
      <c r="X23" s="26"/>
      <c r="Y23" s="26"/>
      <c r="Z23" s="26"/>
      <c r="AA23" s="26"/>
      <c r="AB23" s="26"/>
      <c r="AC23" s="349"/>
      <c r="AD23" s="222"/>
      <c r="AE23" s="203"/>
      <c r="AF23" s="16"/>
      <c r="AG23" s="35"/>
    </row>
    <row r="24" spans="1:33" ht="28.5" customHeight="1" thickBot="1" x14ac:dyDescent="0.25">
      <c r="A24" s="48"/>
      <c r="B24" s="40"/>
      <c r="C24" s="211"/>
      <c r="D24" s="211"/>
      <c r="E24" s="211"/>
      <c r="F24" s="211"/>
      <c r="G24" s="241"/>
      <c r="H24" s="379">
        <f>SUM(H13:H23)</f>
        <v>7582.08</v>
      </c>
      <c r="I24" s="379"/>
      <c r="J24" s="379"/>
      <c r="K24" s="379"/>
      <c r="L24" s="379"/>
      <c r="M24" s="379"/>
      <c r="N24" s="379"/>
      <c r="O24" s="379"/>
      <c r="P24" s="379">
        <f>SUM(P13:P23)</f>
        <v>200</v>
      </c>
      <c r="Q24" s="379">
        <f>SUM(Q13:Q23)</f>
        <v>200</v>
      </c>
      <c r="R24" s="379">
        <f>SUM(R13:R23)</f>
        <v>1364.76</v>
      </c>
      <c r="S24" s="379">
        <f>SUM(S13:S23)</f>
        <v>1819.68</v>
      </c>
      <c r="T24" s="379"/>
      <c r="U24" s="379"/>
      <c r="V24" s="379"/>
      <c r="W24" s="379"/>
      <c r="X24" s="379"/>
      <c r="Y24" s="379"/>
      <c r="Z24" s="379"/>
      <c r="AA24" s="379"/>
      <c r="AB24" s="379"/>
      <c r="AC24" s="379">
        <f>SUM(AC13:AC23)</f>
        <v>6017.32</v>
      </c>
      <c r="AD24" s="222"/>
      <c r="AE24" s="206"/>
      <c r="AF24" s="49"/>
    </row>
    <row r="25" spans="1:33" ht="12" thickTop="1" x14ac:dyDescent="0.2">
      <c r="H25" s="35"/>
      <c r="L25" s="35"/>
      <c r="O25" s="35"/>
      <c r="P25" s="35"/>
      <c r="R25" s="175"/>
      <c r="S25" s="175"/>
      <c r="U25" s="35"/>
      <c r="Z25" s="35"/>
      <c r="AA25" s="35"/>
      <c r="AB25" s="35"/>
      <c r="AE25" s="18"/>
    </row>
    <row r="26" spans="1:33" ht="5.25" customHeight="1" x14ac:dyDescent="0.2">
      <c r="C26" s="1" t="s">
        <v>37</v>
      </c>
      <c r="G26" s="176" t="s">
        <v>37</v>
      </c>
      <c r="H26" s="35"/>
      <c r="N26" s="35" t="s">
        <v>37</v>
      </c>
      <c r="P26" s="1" t="s">
        <v>37</v>
      </c>
      <c r="R26" s="176" t="s">
        <v>37</v>
      </c>
      <c r="S26" s="176" t="s">
        <v>37</v>
      </c>
      <c r="V26" s="35"/>
      <c r="AC26" s="35"/>
      <c r="AE26" s="18"/>
    </row>
    <row r="27" spans="1:33" hidden="1" x14ac:dyDescent="0.2">
      <c r="H27" s="35"/>
      <c r="I27" s="35"/>
      <c r="J27" s="35"/>
      <c r="L27" s="35"/>
      <c r="N27" s="35"/>
      <c r="O27" s="35"/>
      <c r="P27" s="35"/>
      <c r="Q27" s="35"/>
      <c r="R27" s="175"/>
      <c r="AB27" s="889" t="s">
        <v>48</v>
      </c>
      <c r="AC27" s="830"/>
      <c r="AD27" s="830"/>
      <c r="AE27" s="830"/>
    </row>
    <row r="28" spans="1:33" ht="11.25" customHeight="1" x14ac:dyDescent="0.2">
      <c r="A28" s="889" t="s">
        <v>49</v>
      </c>
      <c r="B28" s="889"/>
      <c r="C28" s="889"/>
      <c r="D28" s="889"/>
      <c r="E28" s="889"/>
      <c r="F28" s="889"/>
      <c r="G28" s="889"/>
      <c r="I28" s="1" t="s">
        <v>50</v>
      </c>
      <c r="N28" s="35"/>
      <c r="Q28" s="35"/>
      <c r="R28" s="175"/>
      <c r="S28" s="175"/>
      <c r="Z28" s="35"/>
      <c r="AB28" s="830"/>
      <c r="AC28" s="830"/>
      <c r="AD28" s="830"/>
      <c r="AE28" s="830"/>
    </row>
    <row r="29" spans="1:33" x14ac:dyDescent="0.2">
      <c r="A29" s="889"/>
      <c r="B29" s="889"/>
      <c r="C29" s="889"/>
      <c r="D29" s="889"/>
      <c r="E29" s="889"/>
      <c r="F29" s="889"/>
      <c r="G29" s="889"/>
      <c r="AB29" s="830"/>
      <c r="AC29" s="830"/>
      <c r="AD29" s="830"/>
      <c r="AE29" s="830"/>
    </row>
    <row r="30" spans="1:33" ht="12.75" x14ac:dyDescent="0.2">
      <c r="A30" s="889"/>
      <c r="B30" s="889"/>
      <c r="C30" s="889"/>
      <c r="D30" s="889"/>
      <c r="E30" s="889"/>
      <c r="F30" s="889"/>
      <c r="G30" s="889"/>
      <c r="J30" s="921" t="s">
        <v>302</v>
      </c>
      <c r="K30" s="921"/>
      <c r="L30" s="921"/>
      <c r="M30" s="921"/>
      <c r="N30" s="921"/>
      <c r="O30" s="921"/>
      <c r="Q30" s="1" t="s">
        <v>37</v>
      </c>
      <c r="AB30" s="830"/>
      <c r="AC30" s="830"/>
      <c r="AD30" s="830"/>
      <c r="AE30" s="830"/>
    </row>
    <row r="31" spans="1:33" ht="12.75" x14ac:dyDescent="0.2">
      <c r="J31" s="824" t="s">
        <v>368</v>
      </c>
      <c r="K31" s="824"/>
      <c r="L31" s="824"/>
      <c r="M31" s="824"/>
      <c r="N31" s="824"/>
      <c r="O31" s="824"/>
      <c r="AB31" s="830"/>
      <c r="AC31" s="830"/>
      <c r="AD31" s="830"/>
      <c r="AE31" s="830"/>
    </row>
    <row r="32" spans="1:33" ht="15" x14ac:dyDescent="0.25">
      <c r="D32" s="891" t="s">
        <v>302</v>
      </c>
      <c r="E32" s="891"/>
      <c r="F32" s="891"/>
      <c r="G32" s="891"/>
      <c r="H32" s="892"/>
      <c r="J32" s="824" t="s">
        <v>51</v>
      </c>
      <c r="K32" s="824"/>
      <c r="L32" s="824"/>
      <c r="M32" s="824"/>
      <c r="N32" s="824"/>
      <c r="O32" s="824"/>
      <c r="AB32" s="830"/>
      <c r="AC32" s="830"/>
      <c r="AD32" s="830"/>
      <c r="AE32" s="830"/>
    </row>
    <row r="33" spans="1:32" ht="12.75" x14ac:dyDescent="0.2">
      <c r="D33" s="829" t="s">
        <v>383</v>
      </c>
      <c r="E33" s="829"/>
      <c r="F33" s="829"/>
      <c r="G33" s="829"/>
      <c r="H33" s="830"/>
      <c r="AB33" s="830"/>
      <c r="AC33" s="830"/>
      <c r="AD33" s="830"/>
      <c r="AE33" s="830"/>
    </row>
    <row r="34" spans="1:32" x14ac:dyDescent="0.2">
      <c r="AE34" s="18"/>
    </row>
    <row r="35" spans="1:32" x14ac:dyDescent="0.2">
      <c r="A35" s="17" t="s">
        <v>52</v>
      </c>
      <c r="AB35" s="888" t="s">
        <v>55</v>
      </c>
      <c r="AC35" s="830"/>
      <c r="AD35" s="830"/>
      <c r="AE35" s="830"/>
    </row>
    <row r="36" spans="1:32" ht="11.25" customHeight="1" x14ac:dyDescent="0.2">
      <c r="AB36" s="830"/>
      <c r="AC36" s="830"/>
      <c r="AD36" s="830"/>
      <c r="AE36" s="830"/>
    </row>
    <row r="37" spans="1:32" ht="11.25" customHeight="1" x14ac:dyDescent="0.2">
      <c r="E37" s="1" t="s">
        <v>53</v>
      </c>
      <c r="AB37" s="830"/>
      <c r="AC37" s="830"/>
      <c r="AD37" s="830"/>
      <c r="AE37" s="830"/>
    </row>
    <row r="38" spans="1:32" ht="11.25" customHeight="1" x14ac:dyDescent="0.2">
      <c r="A38" s="17" t="s">
        <v>54</v>
      </c>
      <c r="AB38" s="830"/>
      <c r="AC38" s="830"/>
      <c r="AD38" s="830"/>
      <c r="AE38" s="830"/>
    </row>
    <row r="39" spans="1:32" ht="11.25" customHeight="1" x14ac:dyDescent="0.2">
      <c r="C39" s="1" t="s">
        <v>56</v>
      </c>
      <c r="E39" s="1" t="s">
        <v>57</v>
      </c>
      <c r="AB39" s="830"/>
      <c r="AC39" s="830"/>
      <c r="AD39" s="830"/>
      <c r="AE39" s="830"/>
      <c r="AF39" s="19" t="s">
        <v>53</v>
      </c>
    </row>
    <row r="40" spans="1:32" ht="11.25" customHeight="1" x14ac:dyDescent="0.2">
      <c r="AB40" s="104"/>
      <c r="AC40" s="104"/>
      <c r="AD40" s="104"/>
      <c r="AE40" s="104"/>
    </row>
    <row r="41" spans="1:32" ht="11.25" customHeight="1" x14ac:dyDescent="0.2">
      <c r="AB41" s="104"/>
      <c r="AC41" s="104"/>
      <c r="AD41" s="104"/>
      <c r="AE41" s="104"/>
    </row>
    <row r="44" spans="1:32" x14ac:dyDescent="0.2">
      <c r="C44" s="17"/>
    </row>
  </sheetData>
  <mergeCells count="51">
    <mergeCell ref="F4:F5"/>
    <mergeCell ref="A1:AF1"/>
    <mergeCell ref="A2:AF3"/>
    <mergeCell ref="A4:A7"/>
    <mergeCell ref="B4:B9"/>
    <mergeCell ref="C4:C9"/>
    <mergeCell ref="D4:E4"/>
    <mergeCell ref="G4:G5"/>
    <mergeCell ref="H4:H7"/>
    <mergeCell ref="I4:W4"/>
    <mergeCell ref="D5:D7"/>
    <mergeCell ref="AF6:AF8"/>
    <mergeCell ref="P7:P8"/>
    <mergeCell ref="Q7:Q8"/>
    <mergeCell ref="R7:U7"/>
    <mergeCell ref="V7:V8"/>
    <mergeCell ref="AD5:AD9"/>
    <mergeCell ref="P6:Q6"/>
    <mergeCell ref="R6:U6"/>
    <mergeCell ref="X6:X8"/>
    <mergeCell ref="N5:V5"/>
    <mergeCell ref="S8:S9"/>
    <mergeCell ref="W7:W8"/>
    <mergeCell ref="AB7:AB8"/>
    <mergeCell ref="R8:R9"/>
    <mergeCell ref="Z5:AA8"/>
    <mergeCell ref="AC5:AC9"/>
    <mergeCell ref="D13:E13"/>
    <mergeCell ref="D15:E15"/>
    <mergeCell ref="D16:E16"/>
    <mergeCell ref="Y6:Y8"/>
    <mergeCell ref="AE6:AE8"/>
    <mergeCell ref="G6:G7"/>
    <mergeCell ref="M6:M9"/>
    <mergeCell ref="N6:N7"/>
    <mergeCell ref="O6:O7"/>
    <mergeCell ref="E5:E7"/>
    <mergeCell ref="I5:I8"/>
    <mergeCell ref="J5:J8"/>
    <mergeCell ref="K5:K8"/>
    <mergeCell ref="L5:L8"/>
    <mergeCell ref="T8:T9"/>
    <mergeCell ref="U8:U9"/>
    <mergeCell ref="AB35:AE39"/>
    <mergeCell ref="AB27:AE33"/>
    <mergeCell ref="A28:G30"/>
    <mergeCell ref="J30:O30"/>
    <mergeCell ref="J31:O31"/>
    <mergeCell ref="D32:H32"/>
    <mergeCell ref="J32:O32"/>
    <mergeCell ref="D33:H33"/>
  </mergeCells>
  <pageMargins left="0.19" right="0.26" top="0.38" bottom="0.5" header="0.38" footer="0.25"/>
  <pageSetup paperSize="5" scale="65" orientation="landscape" verticalDpi="300" r:id="rId1"/>
  <headerFooter alignWithMargins="0">
    <oddFooter>&amp;C&amp;P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FFFF00"/>
  </sheetPr>
  <dimension ref="A1:AJ42"/>
  <sheetViews>
    <sheetView topLeftCell="A16" workbookViewId="0">
      <selection activeCell="Q20" sqref="Q20:Q21"/>
    </sheetView>
  </sheetViews>
  <sheetFormatPr defaultColWidth="9.140625" defaultRowHeight="11.25" x14ac:dyDescent="0.2"/>
  <cols>
    <col min="1" max="1" width="3.5703125" style="105" customWidth="1"/>
    <col min="2" max="2" width="16.28515625" style="17" customWidth="1"/>
    <col min="3" max="3" width="11" style="1" customWidth="1"/>
    <col min="4" max="4" width="7.42578125" style="1" customWidth="1"/>
    <col min="5" max="5" width="6.85546875" style="1" customWidth="1"/>
    <col min="6" max="6" width="3.7109375" style="1" customWidth="1"/>
    <col min="7" max="7" width="5.28515625" style="1" customWidth="1"/>
    <col min="8" max="8" width="7.7109375" style="176" customWidth="1"/>
    <col min="9" max="9" width="11.28515625" style="1" customWidth="1"/>
    <col min="10" max="10" width="8.5703125" style="1" customWidth="1"/>
    <col min="11" max="11" width="5.5703125" style="1" hidden="1" customWidth="1"/>
    <col min="12" max="12" width="5" style="1" hidden="1" customWidth="1"/>
    <col min="13" max="13" width="7.28515625" style="1" hidden="1" customWidth="1"/>
    <col min="14" max="16" width="7.28515625" style="1" customWidth="1"/>
    <col min="17" max="18" width="9" style="176" customWidth="1"/>
    <col min="19" max="19" width="8.7109375" style="1" hidden="1" customWidth="1"/>
    <col min="20" max="20" width="10.7109375" style="1" hidden="1" customWidth="1"/>
    <col min="21" max="21" width="9.5703125" style="1" hidden="1" customWidth="1"/>
    <col min="22" max="22" width="10.7109375" style="1" hidden="1" customWidth="1"/>
    <col min="23" max="24" width="8.140625" style="1" hidden="1" customWidth="1"/>
    <col min="25" max="28" width="8.140625" style="1" customWidth="1"/>
    <col min="29" max="29" width="6.28515625" style="1" hidden="1" customWidth="1"/>
    <col min="30" max="30" width="12.7109375" style="1" hidden="1" customWidth="1"/>
    <col min="31" max="31" width="7" style="1" customWidth="1"/>
    <col min="32" max="32" width="12" style="1" customWidth="1"/>
    <col min="33" max="33" width="3.5703125" style="1" customWidth="1"/>
    <col min="34" max="34" width="29.42578125" style="1" customWidth="1"/>
    <col min="35" max="35" width="11.7109375" style="1" customWidth="1"/>
    <col min="36" max="36" width="9.140625" style="1"/>
    <col min="37" max="37" width="24.140625" style="1" customWidth="1"/>
    <col min="38" max="16384" width="9.140625" style="1"/>
  </cols>
  <sheetData>
    <row r="1" spans="1:36" ht="24" customHeight="1"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3"/>
      <c r="AI1" s="863"/>
    </row>
    <row r="2" spans="1:36" ht="11.25" customHeight="1"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s="864"/>
      <c r="AF2" s="864"/>
      <c r="AG2" s="864"/>
      <c r="AH2" s="864"/>
      <c r="AI2" s="864"/>
    </row>
    <row r="3" spans="1:36" ht="21.75" customHeight="1"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s="865"/>
      <c r="AF3" s="865"/>
      <c r="AG3" s="865"/>
      <c r="AH3" s="865"/>
      <c r="AI3" s="865"/>
    </row>
    <row r="4" spans="1:36" s="4" customFormat="1" ht="21" customHeight="1" thickTop="1" x14ac:dyDescent="0.3">
      <c r="A4" s="866" t="s">
        <v>1</v>
      </c>
      <c r="B4" s="868" t="s">
        <v>2</v>
      </c>
      <c r="C4" s="870" t="s">
        <v>3</v>
      </c>
      <c r="D4" s="871" t="s">
        <v>4</v>
      </c>
      <c r="E4" s="871"/>
      <c r="F4" s="361"/>
      <c r="G4" s="406"/>
      <c r="H4" s="872"/>
      <c r="I4" s="866" t="s">
        <v>5</v>
      </c>
      <c r="J4" s="923" t="s">
        <v>6</v>
      </c>
      <c r="K4" s="924"/>
      <c r="L4" s="924"/>
      <c r="M4" s="924"/>
      <c r="N4" s="924"/>
      <c r="O4" s="924"/>
      <c r="P4" s="924"/>
      <c r="Q4" s="924"/>
      <c r="R4" s="924"/>
      <c r="S4" s="924"/>
      <c r="T4" s="924"/>
      <c r="U4" s="924"/>
      <c r="V4" s="924"/>
      <c r="W4" s="924"/>
      <c r="X4" s="924"/>
      <c r="Y4" s="924"/>
      <c r="Z4" s="924"/>
      <c r="AA4" s="924"/>
      <c r="AB4" s="924"/>
      <c r="AC4" s="924"/>
      <c r="AD4" s="924"/>
      <c r="AE4" s="925"/>
      <c r="AF4" s="3"/>
      <c r="AG4" s="3"/>
      <c r="AH4" s="3"/>
      <c r="AI4" s="3"/>
    </row>
    <row r="5" spans="1:36" s="8" customFormat="1" ht="13.5" customHeight="1" x14ac:dyDescent="0.2">
      <c r="A5" s="867"/>
      <c r="B5" s="869"/>
      <c r="C5" s="857"/>
      <c r="D5" s="851" t="s">
        <v>7</v>
      </c>
      <c r="E5" s="852" t="s">
        <v>8</v>
      </c>
      <c r="F5" s="305"/>
      <c r="G5" s="305"/>
      <c r="H5" s="873"/>
      <c r="I5" s="874"/>
      <c r="J5" s="915" t="s">
        <v>17</v>
      </c>
      <c r="K5" s="856" t="s">
        <v>10</v>
      </c>
      <c r="L5" s="856" t="s">
        <v>11</v>
      </c>
      <c r="M5" s="856" t="s">
        <v>160</v>
      </c>
      <c r="N5" s="111"/>
      <c r="O5" s="880"/>
      <c r="P5" s="881"/>
      <c r="Q5" s="881"/>
      <c r="R5" s="881"/>
      <c r="S5" s="881"/>
      <c r="T5" s="881"/>
      <c r="U5" s="881"/>
      <c r="V5" s="881"/>
      <c r="W5" s="881"/>
      <c r="X5" s="882"/>
      <c r="Y5" s="5"/>
      <c r="Z5" s="903" t="s">
        <v>252</v>
      </c>
      <c r="AA5" s="904"/>
      <c r="AB5" s="905"/>
      <c r="AC5" s="5"/>
      <c r="AD5" s="6"/>
      <c r="AE5" s="877" t="s">
        <v>238</v>
      </c>
      <c r="AF5" s="859" t="s">
        <v>14</v>
      </c>
      <c r="AG5" s="842" t="s">
        <v>15</v>
      </c>
      <c r="AH5" s="7"/>
      <c r="AI5" s="7"/>
    </row>
    <row r="6" spans="1:36" s="8" customFormat="1" ht="10.5" customHeight="1" x14ac:dyDescent="0.2">
      <c r="A6" s="867"/>
      <c r="B6" s="869"/>
      <c r="C6" s="857"/>
      <c r="D6" s="867"/>
      <c r="E6" s="867"/>
      <c r="F6" s="309"/>
      <c r="G6" s="309"/>
      <c r="H6" s="840" t="s">
        <v>16</v>
      </c>
      <c r="I6" s="839"/>
      <c r="J6" s="900"/>
      <c r="K6" s="859"/>
      <c r="L6" s="859"/>
      <c r="M6" s="859"/>
      <c r="N6" s="859"/>
      <c r="O6" s="851" t="s">
        <v>172</v>
      </c>
      <c r="P6" s="851" t="s">
        <v>18</v>
      </c>
      <c r="Q6" s="898" t="s">
        <v>231</v>
      </c>
      <c r="R6" s="899"/>
      <c r="S6" s="896" t="s">
        <v>20</v>
      </c>
      <c r="T6" s="896"/>
      <c r="U6" s="896" t="s">
        <v>174</v>
      </c>
      <c r="V6" s="896"/>
      <c r="W6" s="108"/>
      <c r="X6" s="9"/>
      <c r="Y6" s="106"/>
      <c r="Z6" s="906"/>
      <c r="AA6" s="907"/>
      <c r="AB6" s="908"/>
      <c r="AC6" s="838"/>
      <c r="AD6" s="10"/>
      <c r="AE6" s="878"/>
      <c r="AF6" s="859"/>
      <c r="AG6" s="842"/>
      <c r="AH6" s="838" t="s">
        <v>25</v>
      </c>
      <c r="AI6" s="838" t="s">
        <v>26</v>
      </c>
    </row>
    <row r="7" spans="1:36" s="8" customFormat="1" ht="21" customHeight="1" x14ac:dyDescent="0.15">
      <c r="A7" s="867"/>
      <c r="B7" s="869"/>
      <c r="C7" s="857"/>
      <c r="D7" s="867"/>
      <c r="E7" s="867"/>
      <c r="F7" s="859" t="s">
        <v>376</v>
      </c>
      <c r="G7" s="405" t="s">
        <v>392</v>
      </c>
      <c r="H7" s="841"/>
      <c r="I7" s="839"/>
      <c r="J7" s="916"/>
      <c r="K7" s="858"/>
      <c r="L7" s="858"/>
      <c r="M7" s="858"/>
      <c r="N7" s="886"/>
      <c r="O7" s="839"/>
      <c r="P7" s="839"/>
      <c r="Q7" s="893" t="s">
        <v>27</v>
      </c>
      <c r="R7" s="893" t="s">
        <v>28</v>
      </c>
      <c r="S7" s="895" t="s">
        <v>29</v>
      </c>
      <c r="T7" s="896"/>
      <c r="U7" s="896"/>
      <c r="V7" s="896"/>
      <c r="W7" s="897"/>
      <c r="X7" s="838" t="s">
        <v>37</v>
      </c>
      <c r="Y7" s="827" t="s">
        <v>220</v>
      </c>
      <c r="Z7" s="909"/>
      <c r="AA7" s="910"/>
      <c r="AB7" s="911"/>
      <c r="AC7" s="838"/>
      <c r="AD7" s="878" t="s">
        <v>32</v>
      </c>
      <c r="AE7" s="303"/>
      <c r="AF7" s="859"/>
      <c r="AG7" s="842"/>
      <c r="AH7" s="839"/>
      <c r="AI7" s="838"/>
    </row>
    <row r="8" spans="1:36" s="8" customFormat="1" ht="13.5" customHeight="1" x14ac:dyDescent="0.2">
      <c r="A8" s="10"/>
      <c r="B8" s="869"/>
      <c r="C8" s="858"/>
      <c r="D8" s="11"/>
      <c r="E8" s="107"/>
      <c r="F8" s="859"/>
      <c r="G8" s="405"/>
      <c r="H8" s="114"/>
      <c r="I8" s="114"/>
      <c r="J8" s="916"/>
      <c r="K8" s="858"/>
      <c r="L8" s="858"/>
      <c r="M8" s="858"/>
      <c r="N8" s="886"/>
      <c r="O8" s="115"/>
      <c r="P8" s="115"/>
      <c r="Q8" s="894"/>
      <c r="R8" s="894"/>
      <c r="S8" s="851" t="s">
        <v>27</v>
      </c>
      <c r="T8" s="851" t="s">
        <v>33</v>
      </c>
      <c r="U8" s="851" t="s">
        <v>27</v>
      </c>
      <c r="V8" s="851" t="s">
        <v>33</v>
      </c>
      <c r="W8" s="852" t="s">
        <v>31</v>
      </c>
      <c r="X8" s="838"/>
      <c r="Y8" s="827"/>
      <c r="Z8" s="900" t="s">
        <v>37</v>
      </c>
      <c r="AA8" s="900" t="s">
        <v>30</v>
      </c>
      <c r="AB8" s="857" t="s">
        <v>23</v>
      </c>
      <c r="AC8" s="838"/>
      <c r="AD8" s="878"/>
      <c r="AE8" s="877" t="s">
        <v>32</v>
      </c>
      <c r="AF8" s="859"/>
      <c r="AG8" s="843"/>
      <c r="AH8" s="839"/>
      <c r="AI8" s="838"/>
    </row>
    <row r="9" spans="1:36" s="8" customFormat="1" ht="15.75" customHeight="1" x14ac:dyDescent="0.2">
      <c r="A9" s="10"/>
      <c r="B9" s="869"/>
      <c r="C9" s="858"/>
      <c r="D9" s="11"/>
      <c r="E9" s="107"/>
      <c r="F9" s="859"/>
      <c r="G9" s="405"/>
      <c r="H9" s="114"/>
      <c r="I9" s="114"/>
      <c r="J9" s="7"/>
      <c r="K9" s="7"/>
      <c r="L9" s="113"/>
      <c r="M9" s="113"/>
      <c r="N9" s="886"/>
      <c r="O9" s="115"/>
      <c r="P9" s="115"/>
      <c r="Q9" s="186"/>
      <c r="R9" s="187" t="s">
        <v>37</v>
      </c>
      <c r="S9" s="838"/>
      <c r="T9" s="838"/>
      <c r="U9" s="838"/>
      <c r="V9" s="838"/>
      <c r="W9" s="853"/>
      <c r="X9" s="112" t="s">
        <v>298</v>
      </c>
      <c r="Y9" s="106"/>
      <c r="Z9" s="900"/>
      <c r="AA9" s="900"/>
      <c r="AB9" s="857"/>
      <c r="AC9" s="106"/>
      <c r="AD9" s="839"/>
      <c r="AE9" s="878"/>
      <c r="AF9" s="859"/>
      <c r="AG9" s="843"/>
      <c r="AH9" s="7"/>
      <c r="AI9" s="7"/>
    </row>
    <row r="10" spans="1:36" s="15" customFormat="1" ht="9.75" customHeight="1" thickBot="1" x14ac:dyDescent="0.25">
      <c r="A10" s="13">
        <v>1</v>
      </c>
      <c r="B10" s="13">
        <v>2</v>
      </c>
      <c r="C10" s="13">
        <v>3</v>
      </c>
      <c r="D10" s="13">
        <v>4</v>
      </c>
      <c r="E10" s="13">
        <v>5</v>
      </c>
      <c r="F10" s="13"/>
      <c r="G10" s="13"/>
      <c r="H10" s="177">
        <v>6</v>
      </c>
      <c r="I10" s="13">
        <v>7</v>
      </c>
      <c r="J10" s="13">
        <v>8</v>
      </c>
      <c r="K10" s="13">
        <v>9</v>
      </c>
      <c r="L10" s="13">
        <v>10</v>
      </c>
      <c r="M10" s="13">
        <v>9</v>
      </c>
      <c r="N10" s="13">
        <v>10</v>
      </c>
      <c r="O10" s="13">
        <v>11</v>
      </c>
      <c r="P10" s="13">
        <v>12</v>
      </c>
      <c r="Q10" s="177">
        <v>13</v>
      </c>
      <c r="R10" s="177">
        <v>14</v>
      </c>
      <c r="S10" s="14">
        <v>15</v>
      </c>
      <c r="T10" s="14">
        <v>17</v>
      </c>
      <c r="U10" s="14"/>
      <c r="V10" s="13">
        <v>17</v>
      </c>
      <c r="W10" s="13">
        <v>18</v>
      </c>
      <c r="X10" s="13">
        <v>19</v>
      </c>
      <c r="Y10" s="13">
        <v>20</v>
      </c>
      <c r="Z10" s="13">
        <v>21</v>
      </c>
      <c r="AA10" s="13">
        <v>22</v>
      </c>
      <c r="AB10" s="13">
        <v>22</v>
      </c>
      <c r="AC10" s="13">
        <v>26</v>
      </c>
      <c r="AD10" s="13">
        <v>23</v>
      </c>
      <c r="AE10" s="13"/>
      <c r="AF10" s="13">
        <v>24</v>
      </c>
      <c r="AG10" s="99">
        <v>25</v>
      </c>
      <c r="AH10" s="13">
        <v>26</v>
      </c>
      <c r="AI10" s="13">
        <v>27</v>
      </c>
    </row>
    <row r="11" spans="1:36" ht="23.25" customHeight="1" thickTop="1" x14ac:dyDescent="0.2">
      <c r="A11" s="312"/>
      <c r="B11" s="310" t="s">
        <v>346</v>
      </c>
      <c r="C11" s="26"/>
      <c r="D11" s="25"/>
      <c r="E11" s="25"/>
      <c r="F11" s="25"/>
      <c r="G11" s="25"/>
      <c r="H11" s="172"/>
      <c r="I11" s="39"/>
      <c r="J11" s="39"/>
      <c r="K11" s="39"/>
      <c r="L11" s="39"/>
      <c r="M11" s="39"/>
      <c r="N11" s="39"/>
      <c r="O11" s="39"/>
      <c r="P11" s="39"/>
      <c r="Q11" s="171"/>
      <c r="R11" s="171"/>
      <c r="S11" s="39"/>
      <c r="T11" s="39"/>
      <c r="U11" s="39"/>
      <c r="V11" s="39"/>
      <c r="W11" s="39"/>
      <c r="X11" s="39"/>
      <c r="Y11" s="39"/>
      <c r="Z11" s="38"/>
      <c r="AA11" s="39"/>
      <c r="AB11" s="39"/>
      <c r="AC11" s="39"/>
      <c r="AD11" s="39"/>
      <c r="AE11" s="89"/>
      <c r="AF11" s="89"/>
      <c r="AG11" s="77"/>
      <c r="AH11" s="94"/>
      <c r="AI11" s="16"/>
    </row>
    <row r="12" spans="1:36" s="15" customFormat="1" ht="23.25" customHeight="1" x14ac:dyDescent="0.25">
      <c r="A12" s="312">
        <v>1</v>
      </c>
      <c r="B12" s="51" t="s">
        <v>296</v>
      </c>
      <c r="C12" s="43" t="s">
        <v>281</v>
      </c>
      <c r="D12" s="918" t="s">
        <v>398</v>
      </c>
      <c r="E12" s="919"/>
      <c r="F12" s="313">
        <v>11</v>
      </c>
      <c r="G12" s="313">
        <v>1</v>
      </c>
      <c r="H12" s="359">
        <f>ROUND(7582/22,2)</f>
        <v>344.64</v>
      </c>
      <c r="I12" s="27">
        <f>H12*12</f>
        <v>4135.68</v>
      </c>
      <c r="J12" s="26"/>
      <c r="K12" s="26"/>
      <c r="L12" s="26"/>
      <c r="M12" s="26">
        <v>0</v>
      </c>
      <c r="N12" s="26" t="s">
        <v>37</v>
      </c>
      <c r="O12" s="26"/>
      <c r="P12" s="26">
        <v>0</v>
      </c>
      <c r="Q12" s="82">
        <f>ROUND(H12*22*0.02,2)</f>
        <v>151.63999999999999</v>
      </c>
      <c r="R12" s="26">
        <f>Q12</f>
        <v>151.63999999999999</v>
      </c>
      <c r="S12" s="26"/>
      <c r="T12" s="26"/>
      <c r="U12" s="26"/>
      <c r="V12" s="26" t="s">
        <v>37</v>
      </c>
      <c r="W12" s="26">
        <v>0</v>
      </c>
      <c r="X12" s="26"/>
      <c r="Y12" s="26">
        <v>0</v>
      </c>
      <c r="Z12" s="26"/>
      <c r="AA12" s="26"/>
      <c r="AB12" s="26"/>
      <c r="AC12" s="26" t="s">
        <v>37</v>
      </c>
      <c r="AD12" s="26"/>
      <c r="AE12" s="26"/>
      <c r="AF12" s="26">
        <f>I12-(SUM(J12:Q12)+S12+SUM(V12:AC12))</f>
        <v>3984.0400000000004</v>
      </c>
      <c r="AG12" s="77"/>
      <c r="AH12" s="70"/>
      <c r="AI12" s="21"/>
      <c r="AJ12" s="98"/>
    </row>
    <row r="13" spans="1:36" ht="23.25" customHeight="1" x14ac:dyDescent="0.2">
      <c r="A13" s="312">
        <v>2</v>
      </c>
      <c r="B13" s="80" t="s">
        <v>258</v>
      </c>
      <c r="C13" s="43" t="s">
        <v>281</v>
      </c>
      <c r="D13" s="918" t="s">
        <v>253</v>
      </c>
      <c r="E13" s="919"/>
      <c r="F13" s="313">
        <v>12</v>
      </c>
      <c r="G13" s="313">
        <v>1</v>
      </c>
      <c r="H13" s="359">
        <f>ROUND(7582/22,2)</f>
        <v>344.64</v>
      </c>
      <c r="I13" s="27">
        <f>H13*13</f>
        <v>4480.32</v>
      </c>
      <c r="J13" s="26">
        <v>209.55</v>
      </c>
      <c r="K13" s="26"/>
      <c r="L13" s="26"/>
      <c r="M13" s="26">
        <v>0</v>
      </c>
      <c r="N13" s="26"/>
      <c r="O13" s="26">
        <v>0</v>
      </c>
      <c r="P13" s="26">
        <v>0</v>
      </c>
      <c r="Q13" s="82">
        <f>ROUND(H13*22*0.02,2)</f>
        <v>151.63999999999999</v>
      </c>
      <c r="R13" s="26">
        <f>Q13</f>
        <v>151.63999999999999</v>
      </c>
      <c r="S13" s="26">
        <v>0</v>
      </c>
      <c r="T13" s="26">
        <v>0</v>
      </c>
      <c r="U13" s="26"/>
      <c r="V13" s="26"/>
      <c r="W13" s="26">
        <v>0</v>
      </c>
      <c r="X13" s="26">
        <v>0</v>
      </c>
      <c r="Y13" s="26">
        <v>0</v>
      </c>
      <c r="Z13" s="26"/>
      <c r="AA13" s="26">
        <v>0</v>
      </c>
      <c r="AB13" s="26">
        <v>0</v>
      </c>
      <c r="AC13" s="26"/>
      <c r="AD13" s="26"/>
      <c r="AE13" s="90"/>
      <c r="AF13" s="90">
        <f>I13-(SUM(J13:Q13)+S13+SUM(V13:AC13))</f>
        <v>4119.13</v>
      </c>
      <c r="AG13" s="77"/>
      <c r="AH13" s="94"/>
      <c r="AI13" s="16"/>
    </row>
    <row r="14" spans="1:36" ht="23.25" customHeight="1" x14ac:dyDescent="0.2">
      <c r="A14" s="312">
        <v>3</v>
      </c>
      <c r="B14" s="80" t="s">
        <v>288</v>
      </c>
      <c r="C14" s="43" t="s">
        <v>281</v>
      </c>
      <c r="D14" s="918" t="s">
        <v>253</v>
      </c>
      <c r="E14" s="919"/>
      <c r="F14" s="313">
        <v>12</v>
      </c>
      <c r="G14" s="313">
        <v>1</v>
      </c>
      <c r="H14" s="359">
        <f>ROUND(7582/22,2)</f>
        <v>344.64</v>
      </c>
      <c r="I14" s="27">
        <f>H14*13</f>
        <v>4480.32</v>
      </c>
      <c r="J14" s="26">
        <v>198.35</v>
      </c>
      <c r="K14" s="26"/>
      <c r="L14" s="26"/>
      <c r="M14" s="26">
        <v>0</v>
      </c>
      <c r="N14" s="26" t="s">
        <v>37</v>
      </c>
      <c r="O14" s="26"/>
      <c r="P14" s="26">
        <v>0</v>
      </c>
      <c r="Q14" s="82">
        <f>ROUND(H14*22*0.02,2)</f>
        <v>151.63999999999999</v>
      </c>
      <c r="R14" s="26">
        <f>Q14</f>
        <v>151.63999999999999</v>
      </c>
      <c r="S14" s="26"/>
      <c r="T14" s="26"/>
      <c r="U14" s="26"/>
      <c r="V14" s="26" t="s">
        <v>37</v>
      </c>
      <c r="W14" s="26">
        <v>0</v>
      </c>
      <c r="X14" s="26"/>
      <c r="Y14" s="26">
        <v>0</v>
      </c>
      <c r="Z14" s="26"/>
      <c r="AA14" s="26" t="s">
        <v>37</v>
      </c>
      <c r="AB14" s="26"/>
      <c r="AC14" s="26" t="s">
        <v>37</v>
      </c>
      <c r="AD14" s="26"/>
      <c r="AE14" s="26"/>
      <c r="AF14" s="26">
        <f>I14-(SUM(J14:Q14)+S14+SUM(V14:AC14))</f>
        <v>4130.33</v>
      </c>
      <c r="AG14" s="77"/>
      <c r="AH14" s="94"/>
      <c r="AI14" s="16"/>
    </row>
    <row r="15" spans="1:36" s="15" customFormat="1" ht="23.25" customHeight="1" x14ac:dyDescent="0.35">
      <c r="A15" s="312"/>
      <c r="B15" s="340"/>
      <c r="C15" s="341"/>
      <c r="D15" s="342"/>
      <c r="E15" s="212"/>
      <c r="F15" s="212"/>
      <c r="G15" s="212"/>
      <c r="H15" s="173"/>
      <c r="I15" s="343"/>
      <c r="J15" s="343"/>
      <c r="K15" s="343"/>
      <c r="L15" s="343"/>
      <c r="M15" s="343"/>
      <c r="N15" s="343"/>
      <c r="O15" s="343"/>
      <c r="P15" s="343"/>
      <c r="Q15" s="343"/>
      <c r="R15" s="343"/>
      <c r="S15" s="343"/>
      <c r="T15" s="343"/>
      <c r="U15" s="343"/>
      <c r="V15" s="343"/>
      <c r="W15" s="343"/>
      <c r="X15" s="343"/>
      <c r="Y15" s="343"/>
      <c r="Z15" s="343"/>
      <c r="AA15" s="343"/>
      <c r="AB15" s="343"/>
      <c r="AC15" s="343"/>
      <c r="AD15" s="343"/>
      <c r="AE15" s="343"/>
      <c r="AF15" s="356"/>
      <c r="AG15" s="77"/>
      <c r="AH15" s="85"/>
      <c r="AI15" s="21"/>
    </row>
    <row r="16" spans="1:36" s="15" customFormat="1" ht="23.25" customHeight="1" x14ac:dyDescent="0.2">
      <c r="A16" s="312"/>
      <c r="B16" s="344"/>
      <c r="C16" s="26"/>
      <c r="D16" s="345"/>
      <c r="E16" s="27"/>
      <c r="F16" s="27"/>
      <c r="G16" s="27"/>
      <c r="H16" s="169"/>
      <c r="I16" s="26"/>
      <c r="J16" s="26"/>
      <c r="K16" s="26"/>
      <c r="L16" s="26"/>
      <c r="M16" s="26"/>
      <c r="N16" s="26"/>
      <c r="O16" s="26"/>
      <c r="P16" s="26"/>
      <c r="Q16" s="26"/>
      <c r="R16" s="26"/>
      <c r="S16" s="26"/>
      <c r="T16" s="26"/>
      <c r="U16" s="26"/>
      <c r="V16" s="26"/>
      <c r="W16" s="26"/>
      <c r="X16" s="26"/>
      <c r="Y16" s="26"/>
      <c r="Z16" s="26"/>
      <c r="AA16" s="26"/>
      <c r="AB16" s="26"/>
      <c r="AC16" s="26"/>
      <c r="AD16" s="26"/>
      <c r="AE16" s="26"/>
      <c r="AF16" s="39"/>
      <c r="AG16" s="77"/>
      <c r="AH16" s="74"/>
      <c r="AI16" s="22"/>
    </row>
    <row r="17" spans="1:35" ht="23.25" customHeight="1" x14ac:dyDescent="0.2">
      <c r="A17" s="312"/>
      <c r="B17" s="184"/>
      <c r="C17" s="26"/>
      <c r="D17" s="26"/>
      <c r="E17" s="26"/>
      <c r="F17" s="26"/>
      <c r="G17" s="26"/>
      <c r="H17" s="169"/>
      <c r="I17" s="26"/>
      <c r="J17" s="26"/>
      <c r="K17" s="26"/>
      <c r="L17" s="26"/>
      <c r="M17" s="26"/>
      <c r="N17" s="26"/>
      <c r="O17" s="26"/>
      <c r="P17" s="26"/>
      <c r="Q17" s="169"/>
      <c r="R17" s="169"/>
      <c r="S17" s="26"/>
      <c r="T17" s="26"/>
      <c r="U17" s="26"/>
      <c r="V17" s="26"/>
      <c r="W17" s="26"/>
      <c r="X17" s="26"/>
      <c r="Y17" s="26"/>
      <c r="Z17" s="26"/>
      <c r="AA17" s="26"/>
      <c r="AB17" s="26"/>
      <c r="AC17" s="26"/>
      <c r="AD17" s="26"/>
      <c r="AE17" s="26"/>
      <c r="AF17" s="349"/>
      <c r="AG17" s="77"/>
      <c r="AH17" s="94"/>
      <c r="AI17" s="16"/>
    </row>
    <row r="18" spans="1:35" ht="23.25" customHeight="1" x14ac:dyDescent="0.2">
      <c r="A18" s="312"/>
      <c r="B18" s="80"/>
      <c r="C18" s="210"/>
      <c r="D18" s="256"/>
      <c r="E18" s="255"/>
      <c r="F18" s="346"/>
      <c r="G18" s="346"/>
      <c r="H18" s="190"/>
      <c r="I18" s="27"/>
      <c r="J18" s="26"/>
      <c r="K18" s="26"/>
      <c r="L18" s="26"/>
      <c r="M18" s="26"/>
      <c r="N18" s="26"/>
      <c r="O18" s="26"/>
      <c r="P18" s="26"/>
      <c r="Q18" s="188"/>
      <c r="R18" s="169"/>
      <c r="S18" s="26"/>
      <c r="T18" s="26"/>
      <c r="U18" s="26"/>
      <c r="V18" s="26"/>
      <c r="W18" s="26"/>
      <c r="X18" s="26"/>
      <c r="Y18" s="26"/>
      <c r="Z18" s="26"/>
      <c r="AA18" s="26"/>
      <c r="AB18" s="26"/>
      <c r="AC18" s="26"/>
      <c r="AD18" s="26"/>
      <c r="AE18" s="26"/>
      <c r="AF18" s="349"/>
      <c r="AG18" s="77"/>
      <c r="AH18" s="94"/>
      <c r="AI18" s="16"/>
    </row>
    <row r="19" spans="1:35" ht="23.25" customHeight="1" x14ac:dyDescent="0.2">
      <c r="A19" s="312"/>
      <c r="B19" s="80"/>
      <c r="C19" s="210"/>
      <c r="D19" s="256"/>
      <c r="E19" s="255"/>
      <c r="F19" s="346"/>
      <c r="G19" s="346"/>
      <c r="H19" s="190"/>
      <c r="I19" s="27"/>
      <c r="J19" s="26"/>
      <c r="K19" s="26"/>
      <c r="L19" s="26"/>
      <c r="M19" s="26"/>
      <c r="N19" s="26"/>
      <c r="O19" s="26"/>
      <c r="P19" s="26"/>
      <c r="Q19" s="188"/>
      <c r="R19" s="169"/>
      <c r="S19" s="26"/>
      <c r="T19" s="26"/>
      <c r="U19" s="26"/>
      <c r="V19" s="26"/>
      <c r="W19" s="26"/>
      <c r="X19" s="26"/>
      <c r="Y19" s="26"/>
      <c r="Z19" s="26"/>
      <c r="AA19" s="26"/>
      <c r="AB19" s="26"/>
      <c r="AC19" s="26"/>
      <c r="AD19" s="26"/>
      <c r="AE19" s="26"/>
      <c r="AF19" s="349"/>
      <c r="AG19" s="77"/>
      <c r="AH19" s="94"/>
      <c r="AI19" s="16"/>
    </row>
    <row r="20" spans="1:35" ht="23.25" customHeight="1" x14ac:dyDescent="0.2">
      <c r="A20" s="312"/>
      <c r="B20" s="80"/>
      <c r="C20" s="210"/>
      <c r="D20" s="256"/>
      <c r="E20" s="255"/>
      <c r="F20" s="346"/>
      <c r="G20" s="346"/>
      <c r="H20" s="190"/>
      <c r="I20" s="27"/>
      <c r="J20" s="26"/>
      <c r="K20" s="26"/>
      <c r="L20" s="26"/>
      <c r="M20" s="26"/>
      <c r="N20" s="26"/>
      <c r="O20" s="26"/>
      <c r="P20" s="26"/>
      <c r="Q20" s="188"/>
      <c r="R20" s="169"/>
      <c r="S20" s="26"/>
      <c r="T20" s="26"/>
      <c r="U20" s="26"/>
      <c r="V20" s="26"/>
      <c r="W20" s="26"/>
      <c r="X20" s="26"/>
      <c r="Y20" s="26"/>
      <c r="Z20" s="26"/>
      <c r="AA20" s="26"/>
      <c r="AB20" s="26"/>
      <c r="AC20" s="26"/>
      <c r="AD20" s="26"/>
      <c r="AE20" s="26"/>
      <c r="AF20" s="349"/>
      <c r="AG20" s="77"/>
      <c r="AH20" s="94"/>
      <c r="AI20" s="16"/>
    </row>
    <row r="21" spans="1:35" s="15" customFormat="1" ht="23.25" customHeight="1" x14ac:dyDescent="0.2">
      <c r="A21" s="312"/>
      <c r="B21" s="80"/>
      <c r="C21" s="210"/>
      <c r="D21" s="256"/>
      <c r="E21" s="255"/>
      <c r="F21" s="346"/>
      <c r="G21" s="346"/>
      <c r="H21" s="190"/>
      <c r="I21" s="27"/>
      <c r="J21" s="26"/>
      <c r="K21" s="26"/>
      <c r="L21" s="26"/>
      <c r="M21" s="26"/>
      <c r="N21" s="26"/>
      <c r="O21" s="26"/>
      <c r="P21" s="26"/>
      <c r="Q21" s="188"/>
      <c r="R21" s="169"/>
      <c r="S21" s="26"/>
      <c r="T21" s="26"/>
      <c r="U21" s="26"/>
      <c r="V21" s="26"/>
      <c r="W21" s="26"/>
      <c r="X21" s="26"/>
      <c r="Y21" s="26"/>
      <c r="Z21" s="26"/>
      <c r="AA21" s="26"/>
      <c r="AB21" s="26"/>
      <c r="AC21" s="26"/>
      <c r="AD21" s="26"/>
      <c r="AE21" s="26"/>
      <c r="AF21" s="349"/>
      <c r="AG21" s="77"/>
      <c r="AH21" s="74"/>
      <c r="AI21" s="22"/>
    </row>
    <row r="22" spans="1:35" ht="23.25" customHeight="1" thickBot="1" x14ac:dyDescent="0.4">
      <c r="A22" s="312"/>
      <c r="B22" s="80"/>
      <c r="C22" s="26"/>
      <c r="D22" s="26"/>
      <c r="E22" s="26"/>
      <c r="F22" s="38"/>
      <c r="G22" s="38"/>
      <c r="H22" s="173"/>
      <c r="I22" s="65"/>
      <c r="J22" s="65"/>
      <c r="K22" s="65"/>
      <c r="L22" s="65"/>
      <c r="M22" s="65"/>
      <c r="N22" s="65"/>
      <c r="O22" s="65"/>
      <c r="P22" s="65"/>
      <c r="Q22" s="170"/>
      <c r="R22" s="170"/>
      <c r="S22" s="65"/>
      <c r="T22" s="65"/>
      <c r="U22" s="65"/>
      <c r="V22" s="65"/>
      <c r="W22" s="65"/>
      <c r="X22" s="65"/>
      <c r="Y22" s="65"/>
      <c r="Z22" s="65"/>
      <c r="AA22" s="65"/>
      <c r="AB22" s="65"/>
      <c r="AC22" s="65"/>
      <c r="AD22" s="65"/>
      <c r="AE22" s="65"/>
      <c r="AF22" s="65"/>
      <c r="AG22" s="77"/>
      <c r="AH22" s="85"/>
      <c r="AI22" s="16"/>
    </row>
    <row r="23" spans="1:35" ht="21.75" customHeight="1" thickTop="1" thickBot="1" x14ac:dyDescent="0.25">
      <c r="A23" s="312"/>
      <c r="B23" s="83"/>
      <c r="C23" s="65"/>
      <c r="D23" s="65"/>
      <c r="E23" s="65"/>
      <c r="F23" s="65"/>
      <c r="G23" s="65"/>
      <c r="H23" s="170"/>
      <c r="I23" s="185">
        <f>SUM(I12:I22)</f>
        <v>13096.32</v>
      </c>
      <c r="J23" s="185">
        <f t="shared" ref="J23:AF23" si="0">SUM(J12:J22)</f>
        <v>407.9</v>
      </c>
      <c r="K23" s="185">
        <f t="shared" si="0"/>
        <v>0</v>
      </c>
      <c r="L23" s="185">
        <f t="shared" si="0"/>
        <v>0</v>
      </c>
      <c r="M23" s="185">
        <f t="shared" si="0"/>
        <v>0</v>
      </c>
      <c r="N23" s="185"/>
      <c r="O23" s="185"/>
      <c r="P23" s="185"/>
      <c r="Q23" s="185">
        <f t="shared" si="0"/>
        <v>454.91999999999996</v>
      </c>
      <c r="R23" s="185">
        <f t="shared" si="0"/>
        <v>454.91999999999996</v>
      </c>
      <c r="S23" s="185">
        <f t="shared" si="0"/>
        <v>0</v>
      </c>
      <c r="T23" s="185">
        <f t="shared" si="0"/>
        <v>0</v>
      </c>
      <c r="U23" s="185">
        <f t="shared" si="0"/>
        <v>0</v>
      </c>
      <c r="V23" s="185">
        <f t="shared" si="0"/>
        <v>0</v>
      </c>
      <c r="W23" s="185">
        <f t="shared" si="0"/>
        <v>0</v>
      </c>
      <c r="X23" s="185">
        <f t="shared" si="0"/>
        <v>0</v>
      </c>
      <c r="Y23" s="185"/>
      <c r="Z23" s="185"/>
      <c r="AA23" s="185"/>
      <c r="AB23" s="185"/>
      <c r="AC23" s="185"/>
      <c r="AD23" s="185"/>
      <c r="AE23" s="185"/>
      <c r="AF23" s="185">
        <f t="shared" si="0"/>
        <v>12233.5</v>
      </c>
      <c r="AG23" s="77"/>
      <c r="AH23" s="96"/>
      <c r="AI23" s="49"/>
    </row>
    <row r="24" spans="1:35" ht="12" thickTop="1" x14ac:dyDescent="0.2">
      <c r="I24" s="35"/>
      <c r="L24" s="1" t="s">
        <v>37</v>
      </c>
      <c r="AF24" s="35"/>
      <c r="AH24" s="18"/>
    </row>
    <row r="25" spans="1:35" x14ac:dyDescent="0.2">
      <c r="I25" s="35"/>
      <c r="J25" s="35" t="s">
        <v>382</v>
      </c>
      <c r="K25" s="35"/>
      <c r="O25" s="35"/>
      <c r="Q25" s="175"/>
      <c r="R25" s="175"/>
      <c r="AA25" s="35"/>
      <c r="AB25" s="35"/>
      <c r="AD25" s="889" t="s">
        <v>212</v>
      </c>
      <c r="AE25" s="889"/>
      <c r="AF25" s="830"/>
      <c r="AG25" s="830"/>
      <c r="AH25" s="830"/>
    </row>
    <row r="26" spans="1:35" x14ac:dyDescent="0.2">
      <c r="A26" s="889" t="s">
        <v>49</v>
      </c>
      <c r="B26" s="889"/>
      <c r="C26" s="889"/>
      <c r="D26" s="889"/>
      <c r="E26" s="889"/>
      <c r="F26" s="889"/>
      <c r="G26" s="889"/>
      <c r="H26" s="889"/>
      <c r="AD26" s="830"/>
      <c r="AE26" s="830"/>
      <c r="AF26" s="830"/>
      <c r="AG26" s="830"/>
      <c r="AH26" s="830"/>
    </row>
    <row r="27" spans="1:35" x14ac:dyDescent="0.2">
      <c r="A27" s="889"/>
      <c r="B27" s="889"/>
      <c r="C27" s="889"/>
      <c r="D27" s="889"/>
      <c r="E27" s="889"/>
      <c r="F27" s="889"/>
      <c r="G27" s="889"/>
      <c r="H27" s="889"/>
      <c r="AA27" s="35"/>
      <c r="AD27" s="830"/>
      <c r="AE27" s="830"/>
      <c r="AF27" s="830"/>
      <c r="AG27" s="830"/>
      <c r="AH27" s="830"/>
    </row>
    <row r="28" spans="1:35" ht="15.75" x14ac:dyDescent="0.25">
      <c r="A28" s="889"/>
      <c r="B28" s="889"/>
      <c r="C28" s="889"/>
      <c r="D28" s="889"/>
      <c r="E28" s="889"/>
      <c r="F28" s="889"/>
      <c r="G28" s="889"/>
      <c r="H28" s="889"/>
      <c r="K28" s="835" t="s">
        <v>302</v>
      </c>
      <c r="L28" s="835"/>
      <c r="M28" s="835"/>
      <c r="N28" s="835"/>
      <c r="O28" s="835"/>
      <c r="P28" s="835"/>
      <c r="Q28" s="835"/>
      <c r="R28" s="835"/>
      <c r="AA28" s="35"/>
      <c r="AD28" s="830"/>
      <c r="AE28" s="830"/>
      <c r="AF28" s="830"/>
      <c r="AG28" s="830"/>
      <c r="AH28" s="830"/>
    </row>
    <row r="29" spans="1:35" ht="12.75" x14ac:dyDescent="0.2">
      <c r="K29" s="824" t="s">
        <v>383</v>
      </c>
      <c r="L29" s="824"/>
      <c r="M29" s="824"/>
      <c r="N29" s="824"/>
      <c r="O29" s="824"/>
      <c r="P29" s="824"/>
      <c r="Q29" s="824"/>
      <c r="R29" s="824"/>
      <c r="AD29" s="830"/>
      <c r="AE29" s="830"/>
      <c r="AF29" s="830"/>
      <c r="AG29" s="830"/>
      <c r="AH29" s="830"/>
    </row>
    <row r="30" spans="1:35" ht="15" x14ac:dyDescent="0.25">
      <c r="D30" s="891" t="s">
        <v>302</v>
      </c>
      <c r="E30" s="891"/>
      <c r="F30" s="891"/>
      <c r="G30" s="891"/>
      <c r="H30" s="891"/>
      <c r="I30" s="892"/>
      <c r="K30" s="824" t="s">
        <v>51</v>
      </c>
      <c r="L30" s="824"/>
      <c r="M30" s="824"/>
      <c r="N30" s="824"/>
      <c r="O30" s="824"/>
      <c r="P30" s="824"/>
      <c r="Q30" s="824"/>
      <c r="R30" s="824"/>
      <c r="AD30" s="830"/>
      <c r="AE30" s="830"/>
      <c r="AF30" s="830"/>
      <c r="AG30" s="830"/>
      <c r="AH30" s="830"/>
    </row>
    <row r="31" spans="1:35" ht="12.75" x14ac:dyDescent="0.2">
      <c r="D31" s="829" t="s">
        <v>383</v>
      </c>
      <c r="E31" s="829"/>
      <c r="F31" s="829"/>
      <c r="G31" s="829"/>
      <c r="H31" s="829"/>
      <c r="I31" s="830"/>
      <c r="AD31" s="830"/>
      <c r="AE31" s="830"/>
      <c r="AF31" s="830"/>
      <c r="AG31" s="830"/>
      <c r="AH31" s="830"/>
    </row>
    <row r="32" spans="1:35" x14ac:dyDescent="0.2">
      <c r="AH32" s="18"/>
    </row>
    <row r="33" spans="1:35" x14ac:dyDescent="0.2">
      <c r="A33" s="17" t="s">
        <v>52</v>
      </c>
    </row>
    <row r="34" spans="1:35" x14ac:dyDescent="0.2">
      <c r="AD34" s="888" t="s">
        <v>213</v>
      </c>
      <c r="AE34" s="888"/>
      <c r="AF34" s="888"/>
      <c r="AG34" s="888"/>
      <c r="AH34" s="888"/>
    </row>
    <row r="35" spans="1:35" x14ac:dyDescent="0.2">
      <c r="E35" s="1" t="s">
        <v>53</v>
      </c>
      <c r="AD35" s="888"/>
      <c r="AE35" s="888"/>
      <c r="AF35" s="888"/>
      <c r="AG35" s="888"/>
      <c r="AH35" s="888"/>
    </row>
    <row r="36" spans="1:35" x14ac:dyDescent="0.2">
      <c r="A36" s="17" t="s">
        <v>54</v>
      </c>
      <c r="AD36" s="920"/>
      <c r="AE36" s="920"/>
      <c r="AF36" s="920"/>
      <c r="AG36" s="920"/>
      <c r="AH36" s="920"/>
    </row>
    <row r="37" spans="1:35" x14ac:dyDescent="0.2">
      <c r="C37" s="1" t="s">
        <v>56</v>
      </c>
      <c r="E37" s="1" t="s">
        <v>57</v>
      </c>
      <c r="AD37" s="920"/>
      <c r="AE37" s="920"/>
      <c r="AF37" s="920"/>
      <c r="AG37" s="920"/>
      <c r="AH37" s="920"/>
      <c r="AI37" s="19" t="s">
        <v>53</v>
      </c>
    </row>
    <row r="38" spans="1:35" x14ac:dyDescent="0.2">
      <c r="AD38" s="104"/>
      <c r="AE38" s="104"/>
      <c r="AF38" s="104"/>
      <c r="AG38" s="104"/>
      <c r="AH38" s="104"/>
    </row>
    <row r="39" spans="1:35" x14ac:dyDescent="0.2">
      <c r="AD39" s="104"/>
      <c r="AE39" s="104"/>
      <c r="AF39" s="104"/>
      <c r="AG39" s="104"/>
      <c r="AH39" s="104"/>
    </row>
    <row r="42" spans="1:35" x14ac:dyDescent="0.2">
      <c r="C42" s="17"/>
    </row>
  </sheetData>
  <mergeCells count="57">
    <mergeCell ref="D13:E13"/>
    <mergeCell ref="D14:E14"/>
    <mergeCell ref="D31:I31"/>
    <mergeCell ref="AD34:AH37"/>
    <mergeCell ref="AD25:AH31"/>
    <mergeCell ref="A26:H28"/>
    <mergeCell ref="D30:I30"/>
    <mergeCell ref="K28:R28"/>
    <mergeCell ref="K29:R29"/>
    <mergeCell ref="K30:R30"/>
    <mergeCell ref="W8:W9"/>
    <mergeCell ref="Z8:Z9"/>
    <mergeCell ref="AA8:AA9"/>
    <mergeCell ref="AB8:AB9"/>
    <mergeCell ref="AE8:AE9"/>
    <mergeCell ref="D12:E12"/>
    <mergeCell ref="AC6:AC8"/>
    <mergeCell ref="AH6:AH8"/>
    <mergeCell ref="AI6:AI8"/>
    <mergeCell ref="Q7:Q8"/>
    <mergeCell ref="R7:R8"/>
    <mergeCell ref="S7:W7"/>
    <mergeCell ref="X7:X8"/>
    <mergeCell ref="Y7:Y8"/>
    <mergeCell ref="AD7:AD9"/>
    <mergeCell ref="S8:S9"/>
    <mergeCell ref="Z5:AB7"/>
    <mergeCell ref="AE5:AE6"/>
    <mergeCell ref="AF5:AF9"/>
    <mergeCell ref="AG5:AG9"/>
    <mergeCell ref="H6:H7"/>
    <mergeCell ref="N6:N9"/>
    <mergeCell ref="O6:O7"/>
    <mergeCell ref="P6:P7"/>
    <mergeCell ref="Q6:R6"/>
    <mergeCell ref="S6:T6"/>
    <mergeCell ref="E5:E7"/>
    <mergeCell ref="J5:J8"/>
    <mergeCell ref="K5:K8"/>
    <mergeCell ref="L5:L8"/>
    <mergeCell ref="M5:M8"/>
    <mergeCell ref="A1:AI1"/>
    <mergeCell ref="A2:AI3"/>
    <mergeCell ref="A4:A7"/>
    <mergeCell ref="B4:B9"/>
    <mergeCell ref="C4:C9"/>
    <mergeCell ref="D4:E4"/>
    <mergeCell ref="H4:H5"/>
    <mergeCell ref="I4:I7"/>
    <mergeCell ref="D5:D7"/>
    <mergeCell ref="F7:F9"/>
    <mergeCell ref="J4:AE4"/>
    <mergeCell ref="O5:X5"/>
    <mergeCell ref="U6:V6"/>
    <mergeCell ref="T8:T9"/>
    <mergeCell ref="U8:U9"/>
    <mergeCell ref="V8:V9"/>
  </mergeCells>
  <pageMargins left="0.28000000000000003" right="0.3" top="0.6" bottom="0.75" header="0.3" footer="0.3"/>
  <pageSetup paperSize="256" scale="75"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FFF00"/>
  </sheetPr>
  <dimension ref="A1:AG94"/>
  <sheetViews>
    <sheetView view="pageBreakPreview" topLeftCell="B43" zoomScale="89" zoomScaleSheetLayoutView="89" workbookViewId="0">
      <selection activeCell="B72" sqref="B72"/>
    </sheetView>
  </sheetViews>
  <sheetFormatPr defaultColWidth="9.140625" defaultRowHeight="11.25" x14ac:dyDescent="0.2"/>
  <cols>
    <col min="1" max="1" width="3" style="105" customWidth="1"/>
    <col min="2" max="2" width="28.85546875" style="17" customWidth="1"/>
    <col min="3" max="3" width="16" style="1" customWidth="1"/>
    <col min="4" max="4" width="8.28515625" style="1" customWidth="1"/>
    <col min="5" max="5" width="8" style="1" customWidth="1"/>
    <col min="6" max="6" width="4.7109375" style="1" customWidth="1"/>
    <col min="7" max="7" width="10.5703125" style="176" customWidth="1"/>
    <col min="8" max="8" width="15.140625" style="1" customWidth="1"/>
    <col min="9" max="9" width="9.7109375" style="1" customWidth="1"/>
    <col min="10" max="10" width="6.5703125" style="1" hidden="1" customWidth="1"/>
    <col min="11" max="11" width="5.42578125" style="1" hidden="1" customWidth="1"/>
    <col min="12" max="12" width="11.5703125" style="1" customWidth="1"/>
    <col min="13" max="13" width="8.42578125" style="1" hidden="1" customWidth="1"/>
    <col min="14" max="14" width="11.7109375" style="1" customWidth="1"/>
    <col min="15" max="15" width="10.5703125" style="1" customWidth="1"/>
    <col min="16" max="16" width="11.5703125" style="1" customWidth="1"/>
    <col min="17" max="17" width="13.140625" style="1" customWidth="1"/>
    <col min="18" max="18" width="13.5703125" style="176" bestFit="1" customWidth="1"/>
    <col min="19" max="19" width="13.42578125" style="176" customWidth="1"/>
    <col min="20" max="20" width="9.85546875" style="1" customWidth="1"/>
    <col min="21" max="21" width="11.5703125" style="1" customWidth="1"/>
    <col min="22" max="22" width="11.7109375" style="1" customWidth="1"/>
    <col min="23" max="23" width="9.140625" style="1" hidden="1" customWidth="1"/>
    <col min="24" max="24" width="5.5703125" style="1" hidden="1" customWidth="1"/>
    <col min="25" max="25" width="10.140625" style="1" hidden="1" customWidth="1"/>
    <col min="26" max="26" width="12.140625" style="1" customWidth="1"/>
    <col min="27" max="27" width="10.5703125" style="1" customWidth="1"/>
    <col min="28" max="28" width="11.42578125" style="1" customWidth="1"/>
    <col min="29" max="29" width="14.85546875" style="1" customWidth="1"/>
    <col min="30" max="30" width="3.28515625" style="1" customWidth="1"/>
    <col min="31" max="31" width="23.7109375" style="1" customWidth="1"/>
    <col min="32" max="32" width="11.7109375" style="1" customWidth="1"/>
    <col min="33" max="16384" width="9.140625" style="1"/>
  </cols>
  <sheetData>
    <row r="1" spans="1:33"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row>
    <row r="2" spans="1:33" ht="11.25" customHeight="1"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s="864"/>
      <c r="AF2" s="864"/>
    </row>
    <row r="3" spans="1:33" ht="21.75" customHeight="1"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s="865"/>
      <c r="AF3" s="865"/>
    </row>
    <row r="4" spans="1:33" s="4" customFormat="1" ht="17.25" customHeight="1" thickTop="1" x14ac:dyDescent="0.3">
      <c r="A4" s="866" t="s">
        <v>1</v>
      </c>
      <c r="B4" s="868" t="s">
        <v>2</v>
      </c>
      <c r="C4" s="870" t="s">
        <v>3</v>
      </c>
      <c r="D4" s="927" t="s">
        <v>4</v>
      </c>
      <c r="E4" s="928"/>
      <c r="F4" s="314"/>
      <c r="G4" s="872"/>
      <c r="H4" s="866" t="s">
        <v>5</v>
      </c>
      <c r="I4" s="932" t="s">
        <v>6</v>
      </c>
      <c r="J4" s="932"/>
      <c r="K4" s="932"/>
      <c r="L4" s="932"/>
      <c r="M4" s="932"/>
      <c r="N4" s="932"/>
      <c r="O4" s="932"/>
      <c r="P4" s="932"/>
      <c r="Q4" s="932"/>
      <c r="R4" s="932"/>
      <c r="S4" s="932"/>
      <c r="T4" s="932"/>
      <c r="U4" s="932"/>
      <c r="V4" s="932"/>
      <c r="W4" s="932"/>
      <c r="X4" s="110"/>
      <c r="Y4" s="110"/>
      <c r="Z4" s="110"/>
      <c r="AA4" s="110"/>
      <c r="AB4" s="2"/>
      <c r="AC4" s="3"/>
      <c r="AD4" s="3"/>
      <c r="AE4" s="3"/>
      <c r="AF4" s="3"/>
    </row>
    <row r="5" spans="1:33" s="8" customFormat="1" ht="13.5" customHeight="1" x14ac:dyDescent="0.2">
      <c r="A5" s="867"/>
      <c r="B5" s="869"/>
      <c r="C5" s="857"/>
      <c r="D5" s="853"/>
      <c r="E5" s="929"/>
      <c r="F5" s="315"/>
      <c r="G5" s="873"/>
      <c r="H5" s="874"/>
      <c r="I5" s="856" t="s">
        <v>9</v>
      </c>
      <c r="J5" s="856" t="s">
        <v>10</v>
      </c>
      <c r="K5" s="856" t="s">
        <v>11</v>
      </c>
      <c r="L5" s="856" t="s">
        <v>160</v>
      </c>
      <c r="M5" s="111"/>
      <c r="N5" s="880" t="s">
        <v>13</v>
      </c>
      <c r="O5" s="881"/>
      <c r="P5" s="881"/>
      <c r="Q5" s="881"/>
      <c r="R5" s="881"/>
      <c r="S5" s="881"/>
      <c r="T5" s="881"/>
      <c r="U5" s="881"/>
      <c r="V5" s="882"/>
      <c r="W5" s="5"/>
      <c r="X5" s="5"/>
      <c r="Y5" s="5"/>
      <c r="Z5" s="845" t="s">
        <v>249</v>
      </c>
      <c r="AA5" s="846"/>
      <c r="AB5" s="6"/>
      <c r="AC5" s="838" t="s">
        <v>14</v>
      </c>
      <c r="AD5" s="842" t="s">
        <v>15</v>
      </c>
      <c r="AE5" s="7"/>
      <c r="AF5" s="7"/>
    </row>
    <row r="6" spans="1:33" s="8" customFormat="1" ht="13.5" customHeight="1" x14ac:dyDescent="0.2">
      <c r="A6" s="867"/>
      <c r="B6" s="869"/>
      <c r="C6" s="857"/>
      <c r="D6" s="859" t="s">
        <v>7</v>
      </c>
      <c r="E6" s="859" t="s">
        <v>8</v>
      </c>
      <c r="F6" s="407"/>
      <c r="G6" s="840" t="s">
        <v>16</v>
      </c>
      <c r="H6" s="839"/>
      <c r="I6" s="857"/>
      <c r="J6" s="859"/>
      <c r="K6" s="859"/>
      <c r="L6" s="859"/>
      <c r="M6" s="859"/>
      <c r="N6" s="851" t="s">
        <v>172</v>
      </c>
      <c r="O6" s="851" t="s">
        <v>18</v>
      </c>
      <c r="P6" s="860" t="s">
        <v>230</v>
      </c>
      <c r="Q6" s="861"/>
      <c r="R6" s="854" t="s">
        <v>20</v>
      </c>
      <c r="S6" s="854"/>
      <c r="T6" s="854"/>
      <c r="U6" s="855"/>
      <c r="V6" s="9"/>
      <c r="W6" s="106"/>
      <c r="X6" s="838" t="s">
        <v>21</v>
      </c>
      <c r="Y6" s="838" t="s">
        <v>22</v>
      </c>
      <c r="Z6" s="847"/>
      <c r="AA6" s="848"/>
      <c r="AB6" s="10"/>
      <c r="AC6" s="838"/>
      <c r="AD6" s="842"/>
      <c r="AE6" s="838" t="s">
        <v>25</v>
      </c>
      <c r="AF6" s="838" t="s">
        <v>26</v>
      </c>
    </row>
    <row r="7" spans="1:33" s="8" customFormat="1" ht="9" customHeight="1" x14ac:dyDescent="0.15">
      <c r="A7" s="867"/>
      <c r="B7" s="869"/>
      <c r="C7" s="857"/>
      <c r="D7" s="859"/>
      <c r="E7" s="859"/>
      <c r="F7" s="407" t="s">
        <v>390</v>
      </c>
      <c r="G7" s="841"/>
      <c r="H7" s="839"/>
      <c r="I7" s="858"/>
      <c r="J7" s="858"/>
      <c r="K7" s="858"/>
      <c r="L7" s="858"/>
      <c r="M7" s="886"/>
      <c r="N7" s="839"/>
      <c r="O7" s="839"/>
      <c r="P7" s="877" t="s">
        <v>27</v>
      </c>
      <c r="Q7" s="877" t="s">
        <v>28</v>
      </c>
      <c r="R7" s="879" t="s">
        <v>29</v>
      </c>
      <c r="S7" s="879"/>
      <c r="T7" s="879"/>
      <c r="U7" s="879"/>
      <c r="V7" s="838" t="s">
        <v>30</v>
      </c>
      <c r="W7" s="827" t="s">
        <v>61</v>
      </c>
      <c r="X7" s="838"/>
      <c r="Y7" s="839"/>
      <c r="Z7" s="847"/>
      <c r="AA7" s="848"/>
      <c r="AB7" s="844" t="s">
        <v>32</v>
      </c>
      <c r="AC7" s="838"/>
      <c r="AD7" s="842"/>
      <c r="AE7" s="839"/>
      <c r="AF7" s="838"/>
    </row>
    <row r="8" spans="1:33" s="8" customFormat="1" ht="13.5" customHeight="1" x14ac:dyDescent="0.2">
      <c r="A8" s="10"/>
      <c r="B8" s="869"/>
      <c r="C8" s="858"/>
      <c r="D8" s="859"/>
      <c r="E8" s="859"/>
      <c r="F8" s="931" t="s">
        <v>391</v>
      </c>
      <c r="G8" s="114"/>
      <c r="H8" s="114"/>
      <c r="I8" s="858"/>
      <c r="J8" s="858"/>
      <c r="K8" s="858"/>
      <c r="L8" s="858"/>
      <c r="M8" s="886"/>
      <c r="N8" s="115"/>
      <c r="O8" s="115"/>
      <c r="P8" s="878"/>
      <c r="Q8" s="878"/>
      <c r="R8" s="836" t="s">
        <v>27</v>
      </c>
      <c r="S8" s="836" t="s">
        <v>33</v>
      </c>
      <c r="T8" s="851" t="s">
        <v>34</v>
      </c>
      <c r="U8" s="852" t="s">
        <v>222</v>
      </c>
      <c r="V8" s="838"/>
      <c r="W8" s="827"/>
      <c r="X8" s="838"/>
      <c r="Y8" s="839"/>
      <c r="Z8" s="849"/>
      <c r="AA8" s="850"/>
      <c r="AB8" s="844"/>
      <c r="AC8" s="838"/>
      <c r="AD8" s="843"/>
      <c r="AE8" s="839"/>
      <c r="AF8" s="838"/>
    </row>
    <row r="9" spans="1:33" s="8" customFormat="1" ht="15.75" customHeight="1" x14ac:dyDescent="0.2">
      <c r="A9" s="10"/>
      <c r="B9" s="869"/>
      <c r="C9" s="858"/>
      <c r="D9" s="859"/>
      <c r="E9" s="859"/>
      <c r="F9" s="931"/>
      <c r="G9" s="114"/>
      <c r="H9" s="114"/>
      <c r="I9" s="7"/>
      <c r="J9" s="7"/>
      <c r="K9" s="113"/>
      <c r="L9" s="113"/>
      <c r="M9" s="886"/>
      <c r="N9" s="115"/>
      <c r="O9" s="115"/>
      <c r="P9" s="107"/>
      <c r="Q9" s="12" t="s">
        <v>37</v>
      </c>
      <c r="R9" s="837"/>
      <c r="S9" s="837"/>
      <c r="T9" s="838"/>
      <c r="U9" s="853"/>
      <c r="V9" s="7"/>
      <c r="W9" s="106"/>
      <c r="X9" s="109"/>
      <c r="Y9" s="109"/>
      <c r="Z9" s="109" t="s">
        <v>23</v>
      </c>
      <c r="AA9" s="106" t="s">
        <v>250</v>
      </c>
      <c r="AB9" s="10"/>
      <c r="AC9" s="838"/>
      <c r="AD9" s="843"/>
      <c r="AE9" s="7"/>
      <c r="AF9" s="7"/>
    </row>
    <row r="10" spans="1:33" s="15" customFormat="1" ht="12" thickBot="1" x14ac:dyDescent="0.25">
      <c r="A10" s="99">
        <v>1</v>
      </c>
      <c r="B10" s="13">
        <v>2</v>
      </c>
      <c r="C10" s="13">
        <v>3</v>
      </c>
      <c r="D10" s="13">
        <v>4</v>
      </c>
      <c r="E10" s="13">
        <v>5</v>
      </c>
      <c r="F10" s="13"/>
      <c r="G10" s="177">
        <v>6</v>
      </c>
      <c r="H10" s="13">
        <v>7</v>
      </c>
      <c r="I10" s="13">
        <v>8</v>
      </c>
      <c r="J10" s="13">
        <v>9</v>
      </c>
      <c r="K10" s="13">
        <v>10</v>
      </c>
      <c r="L10" s="13">
        <v>11</v>
      </c>
      <c r="M10" s="13">
        <v>12</v>
      </c>
      <c r="N10" s="13">
        <v>13</v>
      </c>
      <c r="O10" s="13">
        <v>14</v>
      </c>
      <c r="P10" s="13">
        <v>15</v>
      </c>
      <c r="Q10" s="13">
        <v>16</v>
      </c>
      <c r="R10" s="168">
        <v>17</v>
      </c>
      <c r="S10" s="168">
        <v>18</v>
      </c>
      <c r="T10" s="13">
        <v>19</v>
      </c>
      <c r="U10" s="13">
        <v>20</v>
      </c>
      <c r="V10" s="13">
        <v>21</v>
      </c>
      <c r="W10" s="13">
        <v>22</v>
      </c>
      <c r="X10" s="13">
        <v>23</v>
      </c>
      <c r="Y10" s="13">
        <v>24</v>
      </c>
      <c r="Z10" s="13">
        <v>25</v>
      </c>
      <c r="AA10" s="13">
        <v>26</v>
      </c>
      <c r="AB10" s="13">
        <v>27</v>
      </c>
      <c r="AC10" s="13">
        <v>28</v>
      </c>
      <c r="AD10" s="13">
        <v>29</v>
      </c>
      <c r="AE10" s="13">
        <v>30</v>
      </c>
      <c r="AF10" s="13">
        <v>31</v>
      </c>
    </row>
    <row r="11" spans="1:33" s="15" customFormat="1" ht="15" customHeight="1" thickTop="1" x14ac:dyDescent="0.25">
      <c r="A11" s="414" t="s">
        <v>38</v>
      </c>
      <c r="B11" s="415">
        <v>1011</v>
      </c>
      <c r="C11" s="416"/>
      <c r="D11" s="417"/>
      <c r="E11" s="417"/>
      <c r="F11" s="417"/>
      <c r="G11" s="418"/>
      <c r="H11" s="419"/>
      <c r="I11" s="419"/>
      <c r="J11" s="419"/>
      <c r="K11" s="419"/>
      <c r="L11" s="419"/>
      <c r="M11" s="419"/>
      <c r="N11" s="419"/>
      <c r="O11" s="419"/>
      <c r="P11" s="419"/>
      <c r="Q11" s="419"/>
      <c r="R11" s="420"/>
      <c r="S11" s="420"/>
      <c r="T11" s="419"/>
      <c r="U11" s="419"/>
      <c r="V11" s="419"/>
      <c r="W11" s="419"/>
      <c r="X11" s="419"/>
      <c r="Y11" s="419"/>
      <c r="Z11" s="419"/>
      <c r="AA11" s="419"/>
      <c r="AB11" s="419"/>
      <c r="AC11" s="419"/>
      <c r="AD11" s="414" t="s">
        <v>38</v>
      </c>
      <c r="AE11" s="421"/>
      <c r="AF11" s="22"/>
    </row>
    <row r="12" spans="1:33" s="15" customFormat="1" ht="15.75" customHeight="1" x14ac:dyDescent="0.25">
      <c r="A12" s="414" t="s">
        <v>127</v>
      </c>
      <c r="B12" s="375" t="s">
        <v>170</v>
      </c>
      <c r="C12" s="422" t="s">
        <v>281</v>
      </c>
      <c r="D12" s="930" t="s">
        <v>397</v>
      </c>
      <c r="E12" s="805"/>
      <c r="F12" s="338">
        <v>11</v>
      </c>
      <c r="G12" s="423">
        <f>ROUND(7582/22,2)</f>
        <v>344.64</v>
      </c>
      <c r="H12" s="54">
        <f>G12*F12</f>
        <v>3791.04</v>
      </c>
      <c r="I12" s="56" t="s">
        <v>37</v>
      </c>
      <c r="J12" s="56"/>
      <c r="K12" s="56"/>
      <c r="L12" s="56">
        <v>327.78</v>
      </c>
      <c r="M12" s="56" t="s">
        <v>37</v>
      </c>
      <c r="N12" s="56"/>
      <c r="O12" s="56"/>
      <c r="P12" s="56">
        <v>100</v>
      </c>
      <c r="Q12" s="56">
        <f>P12</f>
        <v>100</v>
      </c>
      <c r="R12" s="193">
        <v>682.38</v>
      </c>
      <c r="S12" s="193">
        <v>909.84</v>
      </c>
      <c r="T12" s="56">
        <v>346.57</v>
      </c>
      <c r="U12" s="56">
        <v>20</v>
      </c>
      <c r="V12" s="56"/>
      <c r="W12" s="56" t="s">
        <v>37</v>
      </c>
      <c r="X12" s="56"/>
      <c r="Y12" s="56" t="s">
        <v>37</v>
      </c>
      <c r="Z12" s="56"/>
      <c r="AA12" s="56"/>
      <c r="AB12" s="56">
        <v>75.819999999999993</v>
      </c>
      <c r="AC12" s="56">
        <f>H12-(SUM(I12:P12)+R12+SUM(T12:AA12))</f>
        <v>2314.3100000000004</v>
      </c>
      <c r="AD12" s="414" t="s">
        <v>127</v>
      </c>
      <c r="AE12" s="424"/>
      <c r="AF12" s="21"/>
    </row>
    <row r="13" spans="1:33" s="15" customFormat="1" ht="15.75" customHeight="1" x14ac:dyDescent="0.35">
      <c r="A13" s="414" t="s">
        <v>128</v>
      </c>
      <c r="B13" s="375" t="s">
        <v>224</v>
      </c>
      <c r="C13" s="422" t="s">
        <v>281</v>
      </c>
      <c r="D13" s="926" t="s">
        <v>253</v>
      </c>
      <c r="E13" s="884"/>
      <c r="F13" s="242">
        <v>12</v>
      </c>
      <c r="G13" s="423">
        <f>ROUND(7582/22,2)</f>
        <v>344.64</v>
      </c>
      <c r="H13" s="54">
        <f>G13*F13</f>
        <v>4135.68</v>
      </c>
      <c r="I13" s="425">
        <v>0</v>
      </c>
      <c r="J13" s="425"/>
      <c r="K13" s="425"/>
      <c r="L13" s="425">
        <v>327.78</v>
      </c>
      <c r="M13" s="425" t="s">
        <v>37</v>
      </c>
      <c r="N13" s="425">
        <v>0</v>
      </c>
      <c r="O13" s="56">
        <v>0</v>
      </c>
      <c r="P13" s="56">
        <v>100</v>
      </c>
      <c r="Q13" s="56">
        <f>P13</f>
        <v>100</v>
      </c>
      <c r="R13" s="193">
        <v>682.38</v>
      </c>
      <c r="S13" s="193">
        <v>909.84</v>
      </c>
      <c r="T13" s="56">
        <v>0</v>
      </c>
      <c r="U13" s="56">
        <v>0</v>
      </c>
      <c r="V13" s="56">
        <v>0</v>
      </c>
      <c r="W13" s="56" t="s">
        <v>37</v>
      </c>
      <c r="X13" s="56"/>
      <c r="Y13" s="56" t="s">
        <v>37</v>
      </c>
      <c r="Z13" s="425">
        <v>141.88999999999999</v>
      </c>
      <c r="AA13" s="56">
        <v>0</v>
      </c>
      <c r="AB13" s="56">
        <v>75.819999999999993</v>
      </c>
      <c r="AC13" s="55">
        <f>H13-(SUM(I13:P13)+R13+SUM(T13:AA13))</f>
        <v>2883.6300000000006</v>
      </c>
      <c r="AD13" s="414" t="s">
        <v>128</v>
      </c>
      <c r="AE13" s="424"/>
      <c r="AF13" s="21"/>
      <c r="AG13" s="84"/>
    </row>
    <row r="14" spans="1:33" s="15" customFormat="1" ht="15.75" customHeight="1" x14ac:dyDescent="0.25">
      <c r="A14" s="414" t="s">
        <v>129</v>
      </c>
      <c r="B14" s="375" t="s">
        <v>262</v>
      </c>
      <c r="C14" s="422" t="s">
        <v>281</v>
      </c>
      <c r="D14" s="926" t="s">
        <v>253</v>
      </c>
      <c r="E14" s="884"/>
      <c r="F14" s="242">
        <v>11</v>
      </c>
      <c r="G14" s="423">
        <f>ROUND(7582/22,2)</f>
        <v>344.64</v>
      </c>
      <c r="H14" s="54">
        <f>G14*F14</f>
        <v>3791.04</v>
      </c>
      <c r="I14" s="56">
        <v>0</v>
      </c>
      <c r="J14" s="56"/>
      <c r="K14" s="56"/>
      <c r="L14" s="56">
        <v>0</v>
      </c>
      <c r="M14" s="56" t="s">
        <v>37</v>
      </c>
      <c r="N14" s="56"/>
      <c r="O14" s="56">
        <v>0</v>
      </c>
      <c r="P14" s="56">
        <v>100</v>
      </c>
      <c r="Q14" s="56">
        <f>P14</f>
        <v>100</v>
      </c>
      <c r="R14" s="193">
        <v>682.38</v>
      </c>
      <c r="S14" s="193">
        <v>909.84</v>
      </c>
      <c r="T14" s="56">
        <v>0</v>
      </c>
      <c r="U14" s="56">
        <v>0</v>
      </c>
      <c r="V14" s="56">
        <v>0</v>
      </c>
      <c r="W14" s="56" t="s">
        <v>37</v>
      </c>
      <c r="X14" s="56"/>
      <c r="Y14" s="56" t="s">
        <v>37</v>
      </c>
      <c r="Z14" s="56">
        <v>0</v>
      </c>
      <c r="AA14" s="56">
        <v>0</v>
      </c>
      <c r="AB14" s="56">
        <v>75.819999999999993</v>
      </c>
      <c r="AC14" s="55">
        <f>H14-(SUM(I14:P14)+R14+SUM(T14:AA14))</f>
        <v>3008.66</v>
      </c>
      <c r="AD14" s="414" t="s">
        <v>129</v>
      </c>
      <c r="AE14" s="424"/>
      <c r="AF14" s="21"/>
    </row>
    <row r="15" spans="1:33" s="15" customFormat="1" ht="15.75" customHeight="1" x14ac:dyDescent="0.25">
      <c r="A15" s="414" t="s">
        <v>130</v>
      </c>
      <c r="B15" s="375" t="s">
        <v>264</v>
      </c>
      <c r="C15" s="422" t="s">
        <v>281</v>
      </c>
      <c r="D15" s="926" t="s">
        <v>253</v>
      </c>
      <c r="E15" s="884"/>
      <c r="F15" s="242">
        <v>11</v>
      </c>
      <c r="G15" s="423">
        <f>ROUND(7582/22,2)</f>
        <v>344.64</v>
      </c>
      <c r="H15" s="54">
        <f>G15*F15</f>
        <v>3791.04</v>
      </c>
      <c r="I15" s="56">
        <v>0</v>
      </c>
      <c r="J15" s="56"/>
      <c r="K15" s="56"/>
      <c r="L15" s="56">
        <v>0</v>
      </c>
      <c r="M15" s="56" t="s">
        <v>37</v>
      </c>
      <c r="N15" s="56"/>
      <c r="O15" s="56">
        <v>0</v>
      </c>
      <c r="P15" s="56">
        <v>100</v>
      </c>
      <c r="Q15" s="56">
        <f>P15</f>
        <v>100</v>
      </c>
      <c r="R15" s="193">
        <v>682.38</v>
      </c>
      <c r="S15" s="193">
        <v>909.84</v>
      </c>
      <c r="T15" s="56">
        <v>0</v>
      </c>
      <c r="U15" s="56">
        <v>0</v>
      </c>
      <c r="V15" s="56">
        <v>0</v>
      </c>
      <c r="W15" s="56" t="s">
        <v>37</v>
      </c>
      <c r="X15" s="56"/>
      <c r="Y15" s="56" t="s">
        <v>37</v>
      </c>
      <c r="Z15" s="56">
        <v>458.37</v>
      </c>
      <c r="AA15" s="56"/>
      <c r="AB15" s="56">
        <v>75.819999999999993</v>
      </c>
      <c r="AC15" s="55">
        <f>H15-(SUM(I15:P15)+R15+SUM(T15:AA15))</f>
        <v>2550.29</v>
      </c>
      <c r="AD15" s="414" t="s">
        <v>130</v>
      </c>
      <c r="AE15" s="424"/>
      <c r="AF15" s="21"/>
    </row>
    <row r="16" spans="1:33" s="15" customFormat="1" ht="15.75" customHeight="1" x14ac:dyDescent="0.25">
      <c r="A16" s="414" t="s">
        <v>131</v>
      </c>
      <c r="B16" s="375" t="s">
        <v>410</v>
      </c>
      <c r="C16" s="422" t="s">
        <v>281</v>
      </c>
      <c r="D16" s="926" t="s">
        <v>253</v>
      </c>
      <c r="E16" s="884"/>
      <c r="F16" s="242">
        <v>11</v>
      </c>
      <c r="G16" s="423">
        <f>ROUND(7582/22,2)</f>
        <v>344.64</v>
      </c>
      <c r="H16" s="54">
        <f>G16*F16</f>
        <v>3791.04</v>
      </c>
      <c r="I16" s="56">
        <v>0</v>
      </c>
      <c r="J16" s="56"/>
      <c r="K16" s="56"/>
      <c r="L16" s="56">
        <v>0</v>
      </c>
      <c r="M16" s="56" t="s">
        <v>37</v>
      </c>
      <c r="N16" s="56"/>
      <c r="O16" s="56">
        <v>0</v>
      </c>
      <c r="P16" s="56">
        <v>100</v>
      </c>
      <c r="Q16" s="56">
        <f>P16</f>
        <v>100</v>
      </c>
      <c r="R16" s="193">
        <v>682.38</v>
      </c>
      <c r="S16" s="193">
        <v>909.84</v>
      </c>
      <c r="T16" s="56">
        <v>0</v>
      </c>
      <c r="U16" s="56">
        <v>0</v>
      </c>
      <c r="V16" s="56">
        <v>0</v>
      </c>
      <c r="W16" s="56" t="s">
        <v>37</v>
      </c>
      <c r="X16" s="56"/>
      <c r="Y16" s="56" t="s">
        <v>37</v>
      </c>
      <c r="Z16" s="56"/>
      <c r="AA16" s="56"/>
      <c r="AB16" s="56">
        <v>75.819999999999993</v>
      </c>
      <c r="AC16" s="55">
        <f>H16-(SUM(I16:P16)+R16+SUM(T16:AA16))</f>
        <v>3008.66</v>
      </c>
      <c r="AD16" s="414" t="s">
        <v>131</v>
      </c>
      <c r="AE16" s="424"/>
      <c r="AF16" s="21"/>
    </row>
    <row r="17" spans="1:32" s="15" customFormat="1" ht="15.75" customHeight="1" thickBot="1" x14ac:dyDescent="0.3">
      <c r="A17" s="414" t="s">
        <v>132</v>
      </c>
      <c r="B17" s="375"/>
      <c r="C17" s="422"/>
      <c r="D17" s="426"/>
      <c r="E17" s="427"/>
      <c r="F17" s="427"/>
      <c r="G17" s="193"/>
      <c r="H17" s="157">
        <f>SUM(H12:H16)</f>
        <v>19299.84</v>
      </c>
      <c r="I17" s="157">
        <f t="shared" ref="I17:AC17" si="0">SUM(I12:I16)</f>
        <v>0</v>
      </c>
      <c r="J17" s="157">
        <f t="shared" si="0"/>
        <v>0</v>
      </c>
      <c r="K17" s="157">
        <f t="shared" si="0"/>
        <v>0</v>
      </c>
      <c r="L17" s="157">
        <f t="shared" si="0"/>
        <v>655.56</v>
      </c>
      <c r="M17" s="157">
        <f t="shared" si="0"/>
        <v>0</v>
      </c>
      <c r="N17" s="157">
        <f t="shared" si="0"/>
        <v>0</v>
      </c>
      <c r="O17" s="157">
        <f t="shared" si="0"/>
        <v>0</v>
      </c>
      <c r="P17" s="157">
        <f t="shared" si="0"/>
        <v>500</v>
      </c>
      <c r="Q17" s="157">
        <f t="shared" si="0"/>
        <v>500</v>
      </c>
      <c r="R17" s="428">
        <f t="shared" si="0"/>
        <v>3411.9</v>
      </c>
      <c r="S17" s="428">
        <f t="shared" si="0"/>
        <v>4549.2</v>
      </c>
      <c r="T17" s="157">
        <f t="shared" si="0"/>
        <v>346.57</v>
      </c>
      <c r="U17" s="157">
        <f t="shared" si="0"/>
        <v>20</v>
      </c>
      <c r="V17" s="157">
        <f t="shared" si="0"/>
        <v>0</v>
      </c>
      <c r="W17" s="157">
        <f t="shared" si="0"/>
        <v>0</v>
      </c>
      <c r="X17" s="157">
        <f t="shared" si="0"/>
        <v>0</v>
      </c>
      <c r="Y17" s="157">
        <f t="shared" si="0"/>
        <v>0</v>
      </c>
      <c r="Z17" s="157">
        <f t="shared" si="0"/>
        <v>600.26</v>
      </c>
      <c r="AA17" s="157">
        <f t="shared" si="0"/>
        <v>0</v>
      </c>
      <c r="AB17" s="157">
        <f t="shared" si="0"/>
        <v>379.09999999999997</v>
      </c>
      <c r="AC17" s="157">
        <f t="shared" si="0"/>
        <v>13765.55</v>
      </c>
      <c r="AD17" s="414" t="s">
        <v>132</v>
      </c>
      <c r="AE17" s="424"/>
      <c r="AF17" s="21"/>
    </row>
    <row r="18" spans="1:32" s="15" customFormat="1" ht="15.75" customHeight="1" thickTop="1" x14ac:dyDescent="0.25">
      <c r="A18" s="414" t="s">
        <v>133</v>
      </c>
      <c r="B18" s="415">
        <v>1031</v>
      </c>
      <c r="C18" s="429"/>
      <c r="D18" s="430"/>
      <c r="E18" s="431"/>
      <c r="F18" s="431"/>
      <c r="G18" s="197"/>
      <c r="H18" s="61"/>
      <c r="I18" s="61"/>
      <c r="J18" s="61"/>
      <c r="K18" s="61"/>
      <c r="L18" s="61"/>
      <c r="M18" s="61"/>
      <c r="N18" s="61"/>
      <c r="O18" s="61"/>
      <c r="P18" s="61"/>
      <c r="Q18" s="61"/>
      <c r="R18" s="200"/>
      <c r="S18" s="200"/>
      <c r="T18" s="61"/>
      <c r="U18" s="61"/>
      <c r="V18" s="61"/>
      <c r="W18" s="61"/>
      <c r="X18" s="61"/>
      <c r="Y18" s="61"/>
      <c r="Z18" s="61"/>
      <c r="AA18" s="61"/>
      <c r="AB18" s="61"/>
      <c r="AC18" s="61"/>
      <c r="AD18" s="414" t="s">
        <v>133</v>
      </c>
      <c r="AE18" s="421"/>
      <c r="AF18" s="22"/>
    </row>
    <row r="19" spans="1:32" s="15" customFormat="1" ht="15.75" customHeight="1" x14ac:dyDescent="0.25">
      <c r="A19" s="414" t="s">
        <v>65</v>
      </c>
      <c r="B19" s="375" t="s">
        <v>225</v>
      </c>
      <c r="C19" s="422" t="s">
        <v>281</v>
      </c>
      <c r="D19" s="926" t="s">
        <v>253</v>
      </c>
      <c r="E19" s="884"/>
      <c r="F19" s="242">
        <v>11</v>
      </c>
      <c r="G19" s="423">
        <f>ROUND(7582/22,2)</f>
        <v>344.64</v>
      </c>
      <c r="H19" s="54">
        <f>G19*F19</f>
        <v>3791.04</v>
      </c>
      <c r="I19" s="56">
        <v>0</v>
      </c>
      <c r="J19" s="56"/>
      <c r="K19" s="56"/>
      <c r="L19" s="56">
        <v>0</v>
      </c>
      <c r="M19" s="56" t="s">
        <v>37</v>
      </c>
      <c r="N19" s="56">
        <v>678.06</v>
      </c>
      <c r="O19" s="56">
        <v>100</v>
      </c>
      <c r="P19" s="56">
        <v>100</v>
      </c>
      <c r="Q19" s="56">
        <f>P19</f>
        <v>100</v>
      </c>
      <c r="R19" s="193">
        <v>682.38</v>
      </c>
      <c r="S19" s="193">
        <v>909.84</v>
      </c>
      <c r="T19" s="56">
        <v>0</v>
      </c>
      <c r="U19" s="56">
        <v>0</v>
      </c>
      <c r="V19" s="56">
        <v>0</v>
      </c>
      <c r="W19" s="56" t="s">
        <v>37</v>
      </c>
      <c r="X19" s="56"/>
      <c r="Y19" s="56" t="s">
        <v>37</v>
      </c>
      <c r="Z19" s="56">
        <v>209.1</v>
      </c>
      <c r="AA19" s="56">
        <v>0</v>
      </c>
      <c r="AB19" s="56">
        <v>75.819999999999993</v>
      </c>
      <c r="AC19" s="56">
        <f>H19-(SUM(I19:P19)+R19+SUM(T19:AA19))</f>
        <v>2021.5</v>
      </c>
      <c r="AD19" s="414" t="s">
        <v>65</v>
      </c>
      <c r="AE19" s="421"/>
      <c r="AF19" s="22"/>
    </row>
    <row r="20" spans="1:32" s="15" customFormat="1" ht="15.75" customHeight="1" thickBot="1" x14ac:dyDescent="0.3">
      <c r="A20" s="414" t="s">
        <v>134</v>
      </c>
      <c r="B20" s="432"/>
      <c r="C20" s="429"/>
      <c r="D20" s="430"/>
      <c r="E20" s="431"/>
      <c r="F20" s="431"/>
      <c r="G20" s="197" t="s">
        <v>37</v>
      </c>
      <c r="H20" s="157">
        <f>SUM(H19:H19)</f>
        <v>3791.04</v>
      </c>
      <c r="I20" s="157">
        <f t="shared" ref="I20:AC20" si="1">SUM(I19:I19)</f>
        <v>0</v>
      </c>
      <c r="J20" s="157">
        <f t="shared" si="1"/>
        <v>0</v>
      </c>
      <c r="K20" s="157">
        <f t="shared" si="1"/>
        <v>0</v>
      </c>
      <c r="L20" s="157">
        <f t="shared" si="1"/>
        <v>0</v>
      </c>
      <c r="M20" s="157">
        <f t="shared" si="1"/>
        <v>0</v>
      </c>
      <c r="N20" s="157">
        <f t="shared" si="1"/>
        <v>678.06</v>
      </c>
      <c r="O20" s="157">
        <f t="shared" si="1"/>
        <v>100</v>
      </c>
      <c r="P20" s="157">
        <f t="shared" si="1"/>
        <v>100</v>
      </c>
      <c r="Q20" s="157">
        <f t="shared" si="1"/>
        <v>100</v>
      </c>
      <c r="R20" s="428">
        <f t="shared" si="1"/>
        <v>682.38</v>
      </c>
      <c r="S20" s="428">
        <f t="shared" si="1"/>
        <v>909.84</v>
      </c>
      <c r="T20" s="157">
        <f t="shared" si="1"/>
        <v>0</v>
      </c>
      <c r="U20" s="157">
        <f t="shared" si="1"/>
        <v>0</v>
      </c>
      <c r="V20" s="157">
        <f t="shared" si="1"/>
        <v>0</v>
      </c>
      <c r="W20" s="157">
        <f t="shared" si="1"/>
        <v>0</v>
      </c>
      <c r="X20" s="157">
        <f t="shared" si="1"/>
        <v>0</v>
      </c>
      <c r="Y20" s="157">
        <f t="shared" si="1"/>
        <v>0</v>
      </c>
      <c r="Z20" s="157">
        <f t="shared" si="1"/>
        <v>209.1</v>
      </c>
      <c r="AA20" s="157">
        <f t="shared" si="1"/>
        <v>0</v>
      </c>
      <c r="AB20" s="157">
        <f t="shared" si="1"/>
        <v>75.819999999999993</v>
      </c>
      <c r="AC20" s="157">
        <f t="shared" si="1"/>
        <v>2021.5</v>
      </c>
      <c r="AD20" s="414" t="s">
        <v>134</v>
      </c>
      <c r="AE20" s="421"/>
      <c r="AF20" s="22"/>
    </row>
    <row r="21" spans="1:32" s="15" customFormat="1" ht="15.75" customHeight="1" thickTop="1" x14ac:dyDescent="0.25">
      <c r="A21" s="414" t="s">
        <v>135</v>
      </c>
      <c r="B21" s="415">
        <v>1032</v>
      </c>
      <c r="C21" s="429"/>
      <c r="D21" s="430"/>
      <c r="E21" s="431"/>
      <c r="F21" s="431"/>
      <c r="G21" s="197"/>
      <c r="H21" s="370"/>
      <c r="I21" s="370"/>
      <c r="J21" s="370"/>
      <c r="K21" s="370"/>
      <c r="L21" s="370"/>
      <c r="M21" s="370"/>
      <c r="N21" s="370"/>
      <c r="O21" s="370"/>
      <c r="P21" s="370"/>
      <c r="Q21" s="370"/>
      <c r="R21" s="433"/>
      <c r="S21" s="433"/>
      <c r="T21" s="370"/>
      <c r="U21" s="370"/>
      <c r="V21" s="370"/>
      <c r="W21" s="370"/>
      <c r="X21" s="370"/>
      <c r="Y21" s="370"/>
      <c r="Z21" s="370"/>
      <c r="AA21" s="370"/>
      <c r="AB21" s="370"/>
      <c r="AC21" s="434"/>
      <c r="AD21" s="414" t="s">
        <v>135</v>
      </c>
      <c r="AE21" s="421"/>
      <c r="AF21" s="22"/>
    </row>
    <row r="22" spans="1:32" s="15" customFormat="1" ht="15.75" customHeight="1" x14ac:dyDescent="0.25">
      <c r="A22" s="414" t="s">
        <v>136</v>
      </c>
      <c r="B22" s="432" t="s">
        <v>369</v>
      </c>
      <c r="C22" s="422" t="s">
        <v>281</v>
      </c>
      <c r="D22" s="926" t="s">
        <v>253</v>
      </c>
      <c r="E22" s="884"/>
      <c r="F22" s="242">
        <v>11</v>
      </c>
      <c r="G22" s="423">
        <f>ROUND(7582/22,2)</f>
        <v>344.64</v>
      </c>
      <c r="H22" s="54">
        <f>G22*F22</f>
        <v>3791.04</v>
      </c>
      <c r="I22" s="56">
        <v>0</v>
      </c>
      <c r="J22" s="58"/>
      <c r="K22" s="58"/>
      <c r="L22" s="56">
        <v>0</v>
      </c>
      <c r="M22" s="58"/>
      <c r="N22" s="56">
        <v>0</v>
      </c>
      <c r="O22" s="56">
        <v>0</v>
      </c>
      <c r="P22" s="56">
        <v>100</v>
      </c>
      <c r="Q22" s="56">
        <f>P22</f>
        <v>100</v>
      </c>
      <c r="R22" s="193">
        <v>682.38</v>
      </c>
      <c r="S22" s="193">
        <v>909.84</v>
      </c>
      <c r="T22" s="56">
        <v>0</v>
      </c>
      <c r="U22" s="56">
        <v>0</v>
      </c>
      <c r="V22" s="56">
        <v>0</v>
      </c>
      <c r="W22" s="58"/>
      <c r="X22" s="58"/>
      <c r="Y22" s="58"/>
      <c r="Z22" s="56"/>
      <c r="AA22" s="58"/>
      <c r="AB22" s="56">
        <v>75.819999999999993</v>
      </c>
      <c r="AC22" s="55">
        <f>H22-(SUM(I22:P22)+R22+SUM(T22:AA22))</f>
        <v>3008.66</v>
      </c>
      <c r="AD22" s="414" t="s">
        <v>136</v>
      </c>
      <c r="AE22" s="421"/>
      <c r="AF22" s="22"/>
    </row>
    <row r="23" spans="1:32" s="100" customFormat="1" ht="15.75" customHeight="1" thickBot="1" x14ac:dyDescent="0.3">
      <c r="A23" s="414" t="s">
        <v>137</v>
      </c>
      <c r="B23" s="435"/>
      <c r="C23" s="436"/>
      <c r="D23" s="437"/>
      <c r="E23" s="231"/>
      <c r="F23" s="231"/>
      <c r="G23" s="438"/>
      <c r="H23" s="439">
        <f t="shared" ref="H23:AB23" si="2">H22</f>
        <v>3791.04</v>
      </c>
      <c r="I23" s="439">
        <f t="shared" si="2"/>
        <v>0</v>
      </c>
      <c r="J23" s="439">
        <f t="shared" si="2"/>
        <v>0</v>
      </c>
      <c r="K23" s="439">
        <f t="shared" si="2"/>
        <v>0</v>
      </c>
      <c r="L23" s="439">
        <f t="shared" si="2"/>
        <v>0</v>
      </c>
      <c r="M23" s="439">
        <f t="shared" si="2"/>
        <v>0</v>
      </c>
      <c r="N23" s="439">
        <f t="shared" si="2"/>
        <v>0</v>
      </c>
      <c r="O23" s="439">
        <f t="shared" si="2"/>
        <v>0</v>
      </c>
      <c r="P23" s="439">
        <f t="shared" si="2"/>
        <v>100</v>
      </c>
      <c r="Q23" s="439">
        <f t="shared" si="2"/>
        <v>100</v>
      </c>
      <c r="R23" s="440">
        <f t="shared" si="2"/>
        <v>682.38</v>
      </c>
      <c r="S23" s="440">
        <f t="shared" si="2"/>
        <v>909.84</v>
      </c>
      <c r="T23" s="439">
        <f t="shared" si="2"/>
        <v>0</v>
      </c>
      <c r="U23" s="439">
        <f t="shared" si="2"/>
        <v>0</v>
      </c>
      <c r="V23" s="439">
        <f t="shared" si="2"/>
        <v>0</v>
      </c>
      <c r="W23" s="439">
        <f t="shared" si="2"/>
        <v>0</v>
      </c>
      <c r="X23" s="439">
        <f t="shared" si="2"/>
        <v>0</v>
      </c>
      <c r="Y23" s="439">
        <f t="shared" si="2"/>
        <v>0</v>
      </c>
      <c r="Z23" s="439">
        <f t="shared" si="2"/>
        <v>0</v>
      </c>
      <c r="AA23" s="439">
        <f t="shared" si="2"/>
        <v>0</v>
      </c>
      <c r="AB23" s="439">
        <f t="shared" si="2"/>
        <v>75.819999999999993</v>
      </c>
      <c r="AC23" s="439">
        <f>AC22</f>
        <v>3008.66</v>
      </c>
      <c r="AD23" s="414" t="s">
        <v>137</v>
      </c>
      <c r="AE23" s="421"/>
      <c r="AF23" s="22"/>
    </row>
    <row r="24" spans="1:32" s="15" customFormat="1" ht="15.75" customHeight="1" thickTop="1" x14ac:dyDescent="0.25">
      <c r="A24" s="414" t="s">
        <v>138</v>
      </c>
      <c r="B24" s="415">
        <v>1071</v>
      </c>
      <c r="C24" s="429"/>
      <c r="D24" s="430"/>
      <c r="E24" s="431"/>
      <c r="F24" s="431"/>
      <c r="G24" s="197"/>
      <c r="H24" s="61"/>
      <c r="I24" s="61"/>
      <c r="J24" s="61"/>
      <c r="K24" s="61"/>
      <c r="L24" s="61"/>
      <c r="M24" s="61"/>
      <c r="N24" s="61"/>
      <c r="O24" s="61"/>
      <c r="P24" s="61"/>
      <c r="Q24" s="61"/>
      <c r="R24" s="200"/>
      <c r="S24" s="200"/>
      <c r="T24" s="61"/>
      <c r="U24" s="61"/>
      <c r="V24" s="61"/>
      <c r="W24" s="61"/>
      <c r="X24" s="61"/>
      <c r="Y24" s="61"/>
      <c r="Z24" s="61"/>
      <c r="AA24" s="61"/>
      <c r="AB24" s="61"/>
      <c r="AC24" s="61"/>
      <c r="AD24" s="414" t="s">
        <v>138</v>
      </c>
      <c r="AE24" s="421"/>
      <c r="AF24" s="22"/>
    </row>
    <row r="25" spans="1:32" s="15" customFormat="1" ht="15.75" customHeight="1" x14ac:dyDescent="0.25">
      <c r="A25" s="414" t="s">
        <v>139</v>
      </c>
      <c r="B25" s="432" t="s">
        <v>283</v>
      </c>
      <c r="C25" s="422" t="s">
        <v>281</v>
      </c>
      <c r="D25" s="926" t="s">
        <v>253</v>
      </c>
      <c r="E25" s="884"/>
      <c r="F25" s="242">
        <v>11</v>
      </c>
      <c r="G25" s="423">
        <f>ROUND(7582/22,2)</f>
        <v>344.64</v>
      </c>
      <c r="H25" s="54">
        <f>G25*F25</f>
        <v>3791.04</v>
      </c>
      <c r="I25" s="56">
        <v>0</v>
      </c>
      <c r="J25" s="58"/>
      <c r="K25" s="58"/>
      <c r="L25" s="56"/>
      <c r="M25" s="58"/>
      <c r="N25" s="58"/>
      <c r="O25" s="58"/>
      <c r="P25" s="56">
        <v>100</v>
      </c>
      <c r="Q25" s="56">
        <f>P25</f>
        <v>100</v>
      </c>
      <c r="R25" s="193">
        <v>682.38</v>
      </c>
      <c r="S25" s="193">
        <v>909.84</v>
      </c>
      <c r="T25" s="58"/>
      <c r="U25" s="58"/>
      <c r="V25" s="58"/>
      <c r="W25" s="58"/>
      <c r="X25" s="58"/>
      <c r="Y25" s="58"/>
      <c r="Z25" s="58">
        <v>1493.06</v>
      </c>
      <c r="AA25" s="58"/>
      <c r="AB25" s="56">
        <v>75.819999999999993</v>
      </c>
      <c r="AC25" s="56">
        <f>H25-(SUM(I25:P25)+R25+SUM(T25:AA25))</f>
        <v>1515.6</v>
      </c>
      <c r="AD25" s="414" t="s">
        <v>139</v>
      </c>
      <c r="AE25" s="421"/>
      <c r="AF25" s="22"/>
    </row>
    <row r="26" spans="1:32" s="15" customFormat="1" ht="15.75" customHeight="1" x14ac:dyDescent="0.25">
      <c r="A26" s="414" t="s">
        <v>140</v>
      </c>
      <c r="B26" s="375" t="s">
        <v>280</v>
      </c>
      <c r="C26" s="422" t="s">
        <v>281</v>
      </c>
      <c r="D26" s="926" t="s">
        <v>253</v>
      </c>
      <c r="E26" s="884"/>
      <c r="F26" s="242">
        <v>11</v>
      </c>
      <c r="G26" s="423">
        <f>ROUND(7582/22,2)</f>
        <v>344.64</v>
      </c>
      <c r="H26" s="54">
        <f>G26*F26</f>
        <v>3791.04</v>
      </c>
      <c r="I26" s="56">
        <v>0</v>
      </c>
      <c r="J26" s="58"/>
      <c r="K26" s="58"/>
      <c r="L26" s="56">
        <v>0</v>
      </c>
      <c r="M26" s="58"/>
      <c r="N26" s="56">
        <v>0</v>
      </c>
      <c r="O26" s="56">
        <v>0</v>
      </c>
      <c r="P26" s="56">
        <v>100</v>
      </c>
      <c r="Q26" s="56">
        <f>P26</f>
        <v>100</v>
      </c>
      <c r="R26" s="193">
        <v>682.38</v>
      </c>
      <c r="S26" s="193">
        <v>909.84</v>
      </c>
      <c r="T26" s="56">
        <v>0</v>
      </c>
      <c r="U26" s="56">
        <v>0</v>
      </c>
      <c r="V26" s="56">
        <v>0</v>
      </c>
      <c r="W26" s="58"/>
      <c r="X26" s="58"/>
      <c r="Y26" s="58"/>
      <c r="Z26" s="56"/>
      <c r="AA26" s="58"/>
      <c r="AB26" s="56">
        <v>75.819999999999993</v>
      </c>
      <c r="AC26" s="55">
        <f>H26-(SUM(I26:P26)+R26+SUM(T26:AA26))</f>
        <v>3008.66</v>
      </c>
      <c r="AD26" s="414" t="s">
        <v>140</v>
      </c>
      <c r="AE26" s="424"/>
      <c r="AF26" s="21"/>
    </row>
    <row r="27" spans="1:32" s="15" customFormat="1" ht="15.75" customHeight="1" thickBot="1" x14ac:dyDescent="0.3">
      <c r="A27" s="414" t="s">
        <v>141</v>
      </c>
      <c r="B27" s="432"/>
      <c r="C27" s="429"/>
      <c r="D27" s="430"/>
      <c r="E27" s="431"/>
      <c r="F27" s="431"/>
      <c r="G27" s="197" t="s">
        <v>37</v>
      </c>
      <c r="H27" s="157">
        <f>SUM(H25:H26)</f>
        <v>7582.08</v>
      </c>
      <c r="I27" s="157">
        <f t="shared" ref="I27:AC27" si="3">SUM(I25:I26)</f>
        <v>0</v>
      </c>
      <c r="J27" s="157">
        <f t="shared" si="3"/>
        <v>0</v>
      </c>
      <c r="K27" s="157">
        <f t="shared" si="3"/>
        <v>0</v>
      </c>
      <c r="L27" s="157">
        <f t="shared" si="3"/>
        <v>0</v>
      </c>
      <c r="M27" s="157">
        <f t="shared" si="3"/>
        <v>0</v>
      </c>
      <c r="N27" s="157">
        <f t="shared" si="3"/>
        <v>0</v>
      </c>
      <c r="O27" s="157">
        <f t="shared" si="3"/>
        <v>0</v>
      </c>
      <c r="P27" s="157">
        <f t="shared" si="3"/>
        <v>200</v>
      </c>
      <c r="Q27" s="157">
        <f t="shared" si="3"/>
        <v>200</v>
      </c>
      <c r="R27" s="428">
        <f t="shared" si="3"/>
        <v>1364.76</v>
      </c>
      <c r="S27" s="428">
        <f t="shared" si="3"/>
        <v>1819.68</v>
      </c>
      <c r="T27" s="157">
        <f t="shared" si="3"/>
        <v>0</v>
      </c>
      <c r="U27" s="157">
        <f t="shared" si="3"/>
        <v>0</v>
      </c>
      <c r="V27" s="157">
        <f t="shared" si="3"/>
        <v>0</v>
      </c>
      <c r="W27" s="157">
        <f t="shared" si="3"/>
        <v>0</v>
      </c>
      <c r="X27" s="157">
        <f t="shared" si="3"/>
        <v>0</v>
      </c>
      <c r="Y27" s="157">
        <f t="shared" si="3"/>
        <v>0</v>
      </c>
      <c r="Z27" s="157">
        <f t="shared" si="3"/>
        <v>1493.06</v>
      </c>
      <c r="AA27" s="157">
        <f t="shared" si="3"/>
        <v>0</v>
      </c>
      <c r="AB27" s="157">
        <f t="shared" si="3"/>
        <v>151.63999999999999</v>
      </c>
      <c r="AC27" s="157">
        <f t="shared" si="3"/>
        <v>4524.26</v>
      </c>
      <c r="AD27" s="414" t="s">
        <v>141</v>
      </c>
      <c r="AE27" s="421"/>
      <c r="AF27" s="22"/>
    </row>
    <row r="28" spans="1:32" s="15" customFormat="1" ht="15.75" customHeight="1" thickTop="1" x14ac:dyDescent="0.25">
      <c r="A28" s="414" t="s">
        <v>142</v>
      </c>
      <c r="B28" s="415">
        <v>1081</v>
      </c>
      <c r="C28" s="429"/>
      <c r="D28" s="430"/>
      <c r="E28" s="431"/>
      <c r="F28" s="431"/>
      <c r="G28" s="197"/>
      <c r="H28" s="61"/>
      <c r="I28" s="61"/>
      <c r="J28" s="61"/>
      <c r="K28" s="61"/>
      <c r="L28" s="61"/>
      <c r="M28" s="61"/>
      <c r="N28" s="61"/>
      <c r="O28" s="61"/>
      <c r="P28" s="61"/>
      <c r="Q28" s="61"/>
      <c r="R28" s="200"/>
      <c r="S28" s="200"/>
      <c r="T28" s="61"/>
      <c r="U28" s="61"/>
      <c r="V28" s="61"/>
      <c r="W28" s="61"/>
      <c r="X28" s="61"/>
      <c r="Y28" s="61"/>
      <c r="Z28" s="61"/>
      <c r="AA28" s="61"/>
      <c r="AB28" s="61"/>
      <c r="AC28" s="61"/>
      <c r="AD28" s="414" t="s">
        <v>142</v>
      </c>
      <c r="AE28" s="421"/>
      <c r="AF28" s="22"/>
    </row>
    <row r="29" spans="1:32" ht="15.75" customHeight="1" x14ac:dyDescent="0.2">
      <c r="A29" s="414" t="s">
        <v>143</v>
      </c>
      <c r="B29" s="441" t="s">
        <v>210</v>
      </c>
      <c r="C29" s="422" t="s">
        <v>281</v>
      </c>
      <c r="D29" s="926" t="s">
        <v>253</v>
      </c>
      <c r="E29" s="884"/>
      <c r="F29" s="242">
        <v>11</v>
      </c>
      <c r="G29" s="423">
        <f t="shared" ref="G29:G38" si="4">ROUND(7582/22,2)</f>
        <v>344.64</v>
      </c>
      <c r="H29" s="54">
        <f>G29*F29</f>
        <v>3791.04</v>
      </c>
      <c r="I29" s="56">
        <v>0</v>
      </c>
      <c r="J29" s="56"/>
      <c r="K29" s="56"/>
      <c r="L29" s="56">
        <v>327.78</v>
      </c>
      <c r="M29" s="56" t="s">
        <v>37</v>
      </c>
      <c r="N29" s="56"/>
      <c r="O29" s="56"/>
      <c r="P29" s="56">
        <v>100</v>
      </c>
      <c r="Q29" s="56">
        <f>P29</f>
        <v>100</v>
      </c>
      <c r="R29" s="193">
        <v>682.38</v>
      </c>
      <c r="S29" s="193">
        <v>909.84</v>
      </c>
      <c r="T29" s="56">
        <v>0</v>
      </c>
      <c r="U29" s="56">
        <v>20</v>
      </c>
      <c r="V29" s="56">
        <v>0</v>
      </c>
      <c r="W29" s="56"/>
      <c r="X29" s="56"/>
      <c r="Y29" s="56"/>
      <c r="Z29" s="56"/>
      <c r="AA29" s="56"/>
      <c r="AB29" s="56">
        <v>75.819999999999993</v>
      </c>
      <c r="AC29" s="56">
        <f>H29-(SUM(I29:P29)+R29+SUM(T29:AA29))</f>
        <v>2660.88</v>
      </c>
      <c r="AD29" s="414" t="s">
        <v>143</v>
      </c>
      <c r="AE29" s="203"/>
      <c r="AF29" s="16"/>
    </row>
    <row r="30" spans="1:32" ht="15.75" customHeight="1" x14ac:dyDescent="0.2">
      <c r="A30" s="414" t="s">
        <v>144</v>
      </c>
      <c r="B30" s="441" t="s">
        <v>267</v>
      </c>
      <c r="C30" s="422" t="s">
        <v>281</v>
      </c>
      <c r="D30" s="926" t="s">
        <v>253</v>
      </c>
      <c r="E30" s="884"/>
      <c r="F30" s="242">
        <v>11</v>
      </c>
      <c r="G30" s="423">
        <f t="shared" si="4"/>
        <v>344.64</v>
      </c>
      <c r="H30" s="54">
        <f>G30*F30</f>
        <v>3791.04</v>
      </c>
      <c r="I30" s="56">
        <v>0</v>
      </c>
      <c r="J30" s="56"/>
      <c r="K30" s="56"/>
      <c r="L30" s="56"/>
      <c r="M30" s="56" t="s">
        <v>37</v>
      </c>
      <c r="N30" s="56"/>
      <c r="O30" s="56"/>
      <c r="P30" s="56">
        <v>100</v>
      </c>
      <c r="Q30" s="56">
        <v>100</v>
      </c>
      <c r="R30" s="193">
        <v>682.38</v>
      </c>
      <c r="S30" s="193">
        <v>909.84</v>
      </c>
      <c r="T30" s="55">
        <v>0</v>
      </c>
      <c r="U30" s="56">
        <v>0</v>
      </c>
      <c r="V30" s="56">
        <v>0</v>
      </c>
      <c r="W30" s="56"/>
      <c r="X30" s="56"/>
      <c r="Y30" s="56"/>
      <c r="Z30" s="56">
        <v>0</v>
      </c>
      <c r="AA30" s="56">
        <v>0</v>
      </c>
      <c r="AB30" s="56">
        <v>75.819999999999993</v>
      </c>
      <c r="AC30" s="56">
        <f>H30-(SUM(I30:P30)+R30+SUM(T30:AA30))</f>
        <v>3008.66</v>
      </c>
      <c r="AD30" s="414" t="s">
        <v>144</v>
      </c>
      <c r="AE30" s="203"/>
      <c r="AF30" s="16"/>
    </row>
    <row r="31" spans="1:32" ht="15.75" customHeight="1" x14ac:dyDescent="0.2">
      <c r="A31" s="414" t="s">
        <v>145</v>
      </c>
      <c r="B31" s="441" t="s">
        <v>305</v>
      </c>
      <c r="C31" s="422" t="s">
        <v>281</v>
      </c>
      <c r="D31" s="926" t="s">
        <v>253</v>
      </c>
      <c r="E31" s="884"/>
      <c r="F31" s="242">
        <v>11</v>
      </c>
      <c r="G31" s="423">
        <f t="shared" si="4"/>
        <v>344.64</v>
      </c>
      <c r="H31" s="54">
        <f>G31*F31</f>
        <v>3791.04</v>
      </c>
      <c r="I31" s="56"/>
      <c r="J31" s="56"/>
      <c r="K31" s="56"/>
      <c r="L31" s="56"/>
      <c r="M31" s="56" t="s">
        <v>37</v>
      </c>
      <c r="N31" s="56"/>
      <c r="O31" s="56"/>
      <c r="P31" s="56">
        <v>100</v>
      </c>
      <c r="Q31" s="56">
        <v>100</v>
      </c>
      <c r="R31" s="193">
        <v>682.38</v>
      </c>
      <c r="S31" s="193">
        <v>909.84</v>
      </c>
      <c r="T31" s="55"/>
      <c r="U31" s="56"/>
      <c r="V31" s="56"/>
      <c r="W31" s="56"/>
      <c r="X31" s="56"/>
      <c r="Y31" s="56"/>
      <c r="Z31" s="56"/>
      <c r="AA31" s="56"/>
      <c r="AB31" s="56">
        <v>75.819999999999993</v>
      </c>
      <c r="AC31" s="56">
        <f>H31-(SUM(I31:P31)+R31+SUM(T31:AA31))</f>
        <v>3008.66</v>
      </c>
      <c r="AD31" s="414" t="s">
        <v>145</v>
      </c>
      <c r="AE31" s="203"/>
      <c r="AF31" s="16"/>
    </row>
    <row r="32" spans="1:32" ht="15.75" customHeight="1" x14ac:dyDescent="0.2">
      <c r="A32" s="414" t="s">
        <v>146</v>
      </c>
      <c r="B32" s="375" t="s">
        <v>290</v>
      </c>
      <c r="C32" s="422" t="s">
        <v>281</v>
      </c>
      <c r="D32" s="926" t="s">
        <v>253</v>
      </c>
      <c r="E32" s="884"/>
      <c r="F32" s="242">
        <v>11</v>
      </c>
      <c r="G32" s="423">
        <f>ROUND(7582/22,2)</f>
        <v>344.64</v>
      </c>
      <c r="H32" s="54">
        <f>G32*F32</f>
        <v>3791.04</v>
      </c>
      <c r="I32" s="56">
        <v>0</v>
      </c>
      <c r="J32" s="58"/>
      <c r="K32" s="58"/>
      <c r="L32" s="56">
        <v>0</v>
      </c>
      <c r="M32" s="58"/>
      <c r="N32" s="56">
        <v>0</v>
      </c>
      <c r="O32" s="56">
        <v>0</v>
      </c>
      <c r="P32" s="56">
        <v>100</v>
      </c>
      <c r="Q32" s="56">
        <f>P32</f>
        <v>100</v>
      </c>
      <c r="R32" s="193">
        <v>682.38</v>
      </c>
      <c r="S32" s="193">
        <v>909.84</v>
      </c>
      <c r="T32" s="58"/>
      <c r="U32" s="58"/>
      <c r="V32" s="58"/>
      <c r="W32" s="58"/>
      <c r="X32" s="58"/>
      <c r="Y32" s="58"/>
      <c r="Z32" s="58"/>
      <c r="AA32" s="58"/>
      <c r="AB32" s="56">
        <v>75.819999999999993</v>
      </c>
      <c r="AC32" s="55">
        <f>H32-(SUM(I32:P32)+R32+SUM(T32:AA32))</f>
        <v>3008.66</v>
      </c>
      <c r="AD32" s="414" t="s">
        <v>146</v>
      </c>
      <c r="AE32" s="205"/>
      <c r="AF32" s="63"/>
    </row>
    <row r="33" spans="1:33" s="15" customFormat="1" ht="15.75" customHeight="1" x14ac:dyDescent="0.25">
      <c r="A33" s="414" t="s">
        <v>147</v>
      </c>
      <c r="B33" s="375" t="s">
        <v>343</v>
      </c>
      <c r="C33" s="422" t="s">
        <v>281</v>
      </c>
      <c r="D33" s="926" t="s">
        <v>253</v>
      </c>
      <c r="E33" s="884"/>
      <c r="F33" s="242">
        <v>11</v>
      </c>
      <c r="G33" s="423">
        <f>ROUND(7582/22,2)</f>
        <v>344.64</v>
      </c>
      <c r="H33" s="54">
        <f>G33*F33</f>
        <v>3791.04</v>
      </c>
      <c r="I33" s="56">
        <v>0</v>
      </c>
      <c r="J33" s="58"/>
      <c r="K33" s="58"/>
      <c r="L33" s="56">
        <v>0</v>
      </c>
      <c r="M33" s="58"/>
      <c r="N33" s="56">
        <v>0</v>
      </c>
      <c r="O33" s="56">
        <v>0</v>
      </c>
      <c r="P33" s="56">
        <v>100</v>
      </c>
      <c r="Q33" s="56">
        <f>P33</f>
        <v>100</v>
      </c>
      <c r="R33" s="193">
        <v>682.38</v>
      </c>
      <c r="S33" s="193">
        <v>909.84</v>
      </c>
      <c r="T33" s="58"/>
      <c r="U33" s="58"/>
      <c r="V33" s="58"/>
      <c r="W33" s="58"/>
      <c r="X33" s="58"/>
      <c r="Y33" s="58"/>
      <c r="Z33" s="58"/>
      <c r="AA33" s="58"/>
      <c r="AB33" s="56">
        <v>75.819999999999993</v>
      </c>
      <c r="AC33" s="55">
        <f>H33-(SUM(I33:P33)+R33+SUM(T33:AA33))</f>
        <v>3008.66</v>
      </c>
      <c r="AD33" s="414" t="s">
        <v>147</v>
      </c>
      <c r="AE33" s="424"/>
      <c r="AF33" s="21"/>
    </row>
    <row r="34" spans="1:33" ht="15.75" customHeight="1" thickBot="1" x14ac:dyDescent="0.25">
      <c r="A34" s="414" t="s">
        <v>148</v>
      </c>
      <c r="B34" s="375"/>
      <c r="C34" s="32" t="s">
        <v>37</v>
      </c>
      <c r="D34" s="32" t="s">
        <v>37</v>
      </c>
      <c r="E34" s="32"/>
      <c r="F34" s="32"/>
      <c r="G34" s="423"/>
      <c r="H34" s="157">
        <f>SUM(H29:H33)</f>
        <v>18955.2</v>
      </c>
      <c r="I34" s="157">
        <f t="shared" ref="I34:AC34" si="5">SUM(I29:I33)</f>
        <v>0</v>
      </c>
      <c r="J34" s="157">
        <f t="shared" si="5"/>
        <v>0</v>
      </c>
      <c r="K34" s="157">
        <f t="shared" si="5"/>
        <v>0</v>
      </c>
      <c r="L34" s="157">
        <f t="shared" si="5"/>
        <v>327.78</v>
      </c>
      <c r="M34" s="157">
        <f t="shared" si="5"/>
        <v>0</v>
      </c>
      <c r="N34" s="157">
        <f t="shared" si="5"/>
        <v>0</v>
      </c>
      <c r="O34" s="157">
        <f t="shared" si="5"/>
        <v>0</v>
      </c>
      <c r="P34" s="157">
        <f t="shared" si="5"/>
        <v>500</v>
      </c>
      <c r="Q34" s="157">
        <f t="shared" si="5"/>
        <v>500</v>
      </c>
      <c r="R34" s="428">
        <f t="shared" si="5"/>
        <v>3411.9</v>
      </c>
      <c r="S34" s="428">
        <f t="shared" si="5"/>
        <v>4549.2</v>
      </c>
      <c r="T34" s="157">
        <f t="shared" si="5"/>
        <v>0</v>
      </c>
      <c r="U34" s="157">
        <f t="shared" si="5"/>
        <v>20</v>
      </c>
      <c r="V34" s="157">
        <f t="shared" si="5"/>
        <v>0</v>
      </c>
      <c r="W34" s="157">
        <f t="shared" si="5"/>
        <v>0</v>
      </c>
      <c r="X34" s="157">
        <f t="shared" si="5"/>
        <v>0</v>
      </c>
      <c r="Y34" s="157">
        <f t="shared" si="5"/>
        <v>0</v>
      </c>
      <c r="Z34" s="157">
        <f t="shared" si="5"/>
        <v>0</v>
      </c>
      <c r="AA34" s="157">
        <f t="shared" si="5"/>
        <v>0</v>
      </c>
      <c r="AB34" s="157">
        <f t="shared" si="5"/>
        <v>379.09999999999997</v>
      </c>
      <c r="AC34" s="157">
        <f t="shared" si="5"/>
        <v>14695.52</v>
      </c>
      <c r="AD34" s="414" t="s">
        <v>148</v>
      </c>
      <c r="AE34" s="203" t="s">
        <v>37</v>
      </c>
      <c r="AF34" s="16"/>
    </row>
    <row r="35" spans="1:33" ht="15.75" customHeight="1" thickTop="1" x14ac:dyDescent="0.2">
      <c r="A35" s="414" t="s">
        <v>149</v>
      </c>
      <c r="B35" s="442">
        <v>1091</v>
      </c>
      <c r="C35" s="32"/>
      <c r="D35" s="32"/>
      <c r="E35" s="32"/>
      <c r="F35" s="443"/>
      <c r="G35" s="197"/>
      <c r="H35" s="55"/>
      <c r="I35" s="55"/>
      <c r="J35" s="55"/>
      <c r="K35" s="55"/>
      <c r="L35" s="55"/>
      <c r="M35" s="55"/>
      <c r="N35" s="55"/>
      <c r="O35" s="55"/>
      <c r="P35" s="55"/>
      <c r="Q35" s="55"/>
      <c r="R35" s="197"/>
      <c r="S35" s="197"/>
      <c r="T35" s="55"/>
      <c r="U35" s="55"/>
      <c r="V35" s="55"/>
      <c r="W35" s="55"/>
      <c r="X35" s="55"/>
      <c r="Y35" s="55"/>
      <c r="Z35" s="55"/>
      <c r="AA35" s="55"/>
      <c r="AB35" s="55"/>
      <c r="AC35" s="55"/>
      <c r="AD35" s="414" t="s">
        <v>149</v>
      </c>
      <c r="AE35" s="203"/>
      <c r="AF35" s="16"/>
    </row>
    <row r="36" spans="1:33" ht="15.75" customHeight="1" x14ac:dyDescent="0.2">
      <c r="A36" s="414" t="s">
        <v>150</v>
      </c>
      <c r="B36" s="375" t="s">
        <v>196</v>
      </c>
      <c r="C36" s="422" t="s">
        <v>281</v>
      </c>
      <c r="D36" s="926" t="s">
        <v>253</v>
      </c>
      <c r="E36" s="884"/>
      <c r="F36" s="242">
        <v>11</v>
      </c>
      <c r="G36" s="423">
        <f t="shared" si="4"/>
        <v>344.64</v>
      </c>
      <c r="H36" s="54">
        <f>G36*F36</f>
        <v>3791.04</v>
      </c>
      <c r="I36" s="61">
        <v>0</v>
      </c>
      <c r="J36" s="61"/>
      <c r="K36" s="61"/>
      <c r="L36" s="61">
        <v>327.78</v>
      </c>
      <c r="M36" s="61"/>
      <c r="N36" s="61">
        <v>0</v>
      </c>
      <c r="O36" s="61">
        <v>0</v>
      </c>
      <c r="P36" s="56">
        <v>100</v>
      </c>
      <c r="Q36" s="58">
        <f>P36</f>
        <v>100</v>
      </c>
      <c r="R36" s="193">
        <v>682.38</v>
      </c>
      <c r="S36" s="193">
        <v>909.84</v>
      </c>
      <c r="T36" s="61">
        <v>0</v>
      </c>
      <c r="U36" s="61">
        <v>0</v>
      </c>
      <c r="V36" s="61">
        <v>0</v>
      </c>
      <c r="W36" s="61"/>
      <c r="X36" s="61"/>
      <c r="Y36" s="61"/>
      <c r="Z36" s="61">
        <v>0</v>
      </c>
      <c r="AA36" s="61"/>
      <c r="AB36" s="56">
        <v>75.819999999999993</v>
      </c>
      <c r="AC36" s="55">
        <f>H36-(SUM(I36:P36)+R36+SUM(T36:AA36))</f>
        <v>2680.88</v>
      </c>
      <c r="AD36" s="414" t="s">
        <v>150</v>
      </c>
      <c r="AE36" s="203"/>
      <c r="AF36" s="16"/>
    </row>
    <row r="37" spans="1:33" ht="15.75" customHeight="1" x14ac:dyDescent="0.2">
      <c r="A37" s="414" t="s">
        <v>151</v>
      </c>
      <c r="B37" s="375" t="s">
        <v>226</v>
      </c>
      <c r="C37" s="422" t="s">
        <v>281</v>
      </c>
      <c r="D37" s="926" t="s">
        <v>253</v>
      </c>
      <c r="E37" s="884"/>
      <c r="F37" s="242">
        <v>11</v>
      </c>
      <c r="G37" s="423">
        <f t="shared" si="4"/>
        <v>344.64</v>
      </c>
      <c r="H37" s="54">
        <f>G37*F37</f>
        <v>3791.04</v>
      </c>
      <c r="I37" s="56">
        <v>0</v>
      </c>
      <c r="J37" s="56"/>
      <c r="K37" s="56"/>
      <c r="L37" s="56"/>
      <c r="M37" s="56"/>
      <c r="N37" s="56">
        <v>678.06</v>
      </c>
      <c r="O37" s="56"/>
      <c r="P37" s="56">
        <v>100</v>
      </c>
      <c r="Q37" s="58">
        <f>P37</f>
        <v>100</v>
      </c>
      <c r="R37" s="193">
        <v>682.38</v>
      </c>
      <c r="S37" s="193">
        <v>909.84</v>
      </c>
      <c r="T37" s="56">
        <v>0</v>
      </c>
      <c r="U37" s="56">
        <v>0</v>
      </c>
      <c r="V37" s="56">
        <v>0</v>
      </c>
      <c r="W37" s="56"/>
      <c r="X37" s="56"/>
      <c r="Y37" s="56"/>
      <c r="Z37" s="56">
        <v>192.8</v>
      </c>
      <c r="AA37" s="56">
        <v>0</v>
      </c>
      <c r="AB37" s="56">
        <v>75.819999999999993</v>
      </c>
      <c r="AC37" s="55">
        <f>H37-(SUM(I37:P37)+R37+SUM(T37:AA37))</f>
        <v>2137.8000000000002</v>
      </c>
      <c r="AD37" s="414" t="s">
        <v>151</v>
      </c>
      <c r="AE37" s="203"/>
      <c r="AF37" s="16"/>
      <c r="AG37" s="35"/>
    </row>
    <row r="38" spans="1:33" ht="15.75" customHeight="1" x14ac:dyDescent="0.2">
      <c r="A38" s="414" t="s">
        <v>152</v>
      </c>
      <c r="B38" s="375" t="s">
        <v>291</v>
      </c>
      <c r="C38" s="422" t="s">
        <v>281</v>
      </c>
      <c r="D38" s="926" t="s">
        <v>253</v>
      </c>
      <c r="E38" s="884"/>
      <c r="F38" s="242">
        <v>11</v>
      </c>
      <c r="G38" s="423">
        <f t="shared" si="4"/>
        <v>344.64</v>
      </c>
      <c r="H38" s="54">
        <f>G38*F38</f>
        <v>3791.04</v>
      </c>
      <c r="I38" s="56">
        <v>0</v>
      </c>
      <c r="J38" s="56"/>
      <c r="K38" s="56"/>
      <c r="L38" s="56"/>
      <c r="M38" s="56"/>
      <c r="N38" s="56"/>
      <c r="O38" s="56">
        <v>0</v>
      </c>
      <c r="P38" s="56">
        <v>100</v>
      </c>
      <c r="Q38" s="58">
        <f>P38</f>
        <v>100</v>
      </c>
      <c r="R38" s="193">
        <v>682.38</v>
      </c>
      <c r="S38" s="193">
        <v>909.84</v>
      </c>
      <c r="T38" s="56">
        <v>0</v>
      </c>
      <c r="U38" s="56">
        <v>0</v>
      </c>
      <c r="V38" s="56">
        <v>0</v>
      </c>
      <c r="W38" s="56"/>
      <c r="X38" s="56"/>
      <c r="Y38" s="56"/>
      <c r="Z38" s="56"/>
      <c r="AA38" s="56">
        <v>0</v>
      </c>
      <c r="AB38" s="56">
        <v>75.819999999999993</v>
      </c>
      <c r="AC38" s="55">
        <f>H38-(SUM(I38:P38)+R38+SUM(T38:AA38))</f>
        <v>3008.66</v>
      </c>
      <c r="AD38" s="414" t="s">
        <v>152</v>
      </c>
      <c r="AE38" s="203"/>
      <c r="AF38" s="16"/>
    </row>
    <row r="39" spans="1:33" s="15" customFormat="1" ht="15.75" customHeight="1" x14ac:dyDescent="0.25">
      <c r="A39" s="414" t="s">
        <v>153</v>
      </c>
      <c r="B39" s="375" t="s">
        <v>254</v>
      </c>
      <c r="C39" s="422" t="s">
        <v>281</v>
      </c>
      <c r="D39" s="926" t="s">
        <v>253</v>
      </c>
      <c r="E39" s="884"/>
      <c r="F39" s="242">
        <v>11</v>
      </c>
      <c r="G39" s="423">
        <f>ROUND(7582/22,2)</f>
        <v>344.64</v>
      </c>
      <c r="H39" s="54">
        <f>G39*F39</f>
        <v>3791.04</v>
      </c>
      <c r="I39" s="56">
        <v>0</v>
      </c>
      <c r="J39" s="56"/>
      <c r="K39" s="56"/>
      <c r="L39" s="56"/>
      <c r="M39" s="56" t="s">
        <v>37</v>
      </c>
      <c r="N39" s="56">
        <v>508.54</v>
      </c>
      <c r="O39" s="56">
        <v>0</v>
      </c>
      <c r="P39" s="56">
        <v>100</v>
      </c>
      <c r="Q39" s="56">
        <f>P39</f>
        <v>100</v>
      </c>
      <c r="R39" s="193">
        <v>682.38</v>
      </c>
      <c r="S39" s="193">
        <v>909.84</v>
      </c>
      <c r="T39" s="56">
        <v>0</v>
      </c>
      <c r="U39" s="56">
        <v>0</v>
      </c>
      <c r="V39" s="56">
        <v>0</v>
      </c>
      <c r="W39" s="56" t="s">
        <v>37</v>
      </c>
      <c r="X39" s="56"/>
      <c r="Y39" s="56" t="s">
        <v>37</v>
      </c>
      <c r="Z39" s="56">
        <v>0</v>
      </c>
      <c r="AA39" s="56">
        <v>0</v>
      </c>
      <c r="AB39" s="56">
        <v>75.819999999999993</v>
      </c>
      <c r="AC39" s="55">
        <f>H39-(SUM(I39:P39)+R39+SUM(T39:AA39))</f>
        <v>2500.12</v>
      </c>
      <c r="AD39" s="414" t="s">
        <v>153</v>
      </c>
      <c r="AE39" s="421"/>
      <c r="AF39" s="22"/>
    </row>
    <row r="40" spans="1:33" s="15" customFormat="1" ht="15.75" customHeight="1" x14ac:dyDescent="0.25">
      <c r="A40" s="414" t="s">
        <v>154</v>
      </c>
      <c r="B40" s="375" t="s">
        <v>409</v>
      </c>
      <c r="C40" s="422" t="s">
        <v>281</v>
      </c>
      <c r="D40" s="926" t="s">
        <v>253</v>
      </c>
      <c r="E40" s="884"/>
      <c r="F40" s="242">
        <v>11</v>
      </c>
      <c r="G40" s="423">
        <f>ROUND(7582/22,2)</f>
        <v>344.64</v>
      </c>
      <c r="H40" s="54">
        <f>G40*F40</f>
        <v>3791.04</v>
      </c>
      <c r="I40" s="56">
        <v>0</v>
      </c>
      <c r="J40" s="56"/>
      <c r="K40" s="56"/>
      <c r="L40" s="56"/>
      <c r="M40" s="56" t="s">
        <v>37</v>
      </c>
      <c r="N40" s="56"/>
      <c r="O40" s="56">
        <v>0</v>
      </c>
      <c r="P40" s="56">
        <v>100</v>
      </c>
      <c r="Q40" s="56">
        <f>P40</f>
        <v>100</v>
      </c>
      <c r="R40" s="193">
        <v>682.38</v>
      </c>
      <c r="S40" s="193">
        <v>909.84</v>
      </c>
      <c r="T40" s="56">
        <v>0</v>
      </c>
      <c r="U40" s="56">
        <v>0</v>
      </c>
      <c r="V40" s="56">
        <v>0</v>
      </c>
      <c r="W40" s="56" t="s">
        <v>37</v>
      </c>
      <c r="X40" s="56"/>
      <c r="Y40" s="56" t="s">
        <v>37</v>
      </c>
      <c r="Z40" s="56">
        <v>0</v>
      </c>
      <c r="AA40" s="56">
        <v>0</v>
      </c>
      <c r="AB40" s="56">
        <v>75.819999999999993</v>
      </c>
      <c r="AC40" s="55">
        <f>H40-(SUM(I40:P40)+R40+SUM(T40:AA40))</f>
        <v>3008.66</v>
      </c>
      <c r="AD40" s="414" t="s">
        <v>154</v>
      </c>
      <c r="AE40" s="421"/>
      <c r="AF40" s="22"/>
    </row>
    <row r="41" spans="1:33" ht="15.75" customHeight="1" thickBot="1" x14ac:dyDescent="0.25">
      <c r="A41" s="414" t="s">
        <v>155</v>
      </c>
      <c r="B41" s="375"/>
      <c r="C41" s="32"/>
      <c r="D41" s="32" t="s">
        <v>188</v>
      </c>
      <c r="E41" s="32"/>
      <c r="F41" s="444"/>
      <c r="G41" s="198"/>
      <c r="H41" s="157">
        <f>SUM(H36:H40)</f>
        <v>18955.2</v>
      </c>
      <c r="I41" s="157">
        <f t="shared" ref="I41:AC41" si="6">SUM(I36:I40)</f>
        <v>0</v>
      </c>
      <c r="J41" s="157">
        <f t="shared" si="6"/>
        <v>0</v>
      </c>
      <c r="K41" s="157">
        <f t="shared" si="6"/>
        <v>0</v>
      </c>
      <c r="L41" s="157">
        <f t="shared" si="6"/>
        <v>327.78</v>
      </c>
      <c r="M41" s="157">
        <f t="shared" si="6"/>
        <v>0</v>
      </c>
      <c r="N41" s="157">
        <f t="shared" si="6"/>
        <v>1186.5999999999999</v>
      </c>
      <c r="O41" s="157">
        <f t="shared" si="6"/>
        <v>0</v>
      </c>
      <c r="P41" s="157">
        <f t="shared" si="6"/>
        <v>500</v>
      </c>
      <c r="Q41" s="157">
        <f t="shared" si="6"/>
        <v>500</v>
      </c>
      <c r="R41" s="428">
        <f t="shared" si="6"/>
        <v>3411.9</v>
      </c>
      <c r="S41" s="428">
        <f t="shared" si="6"/>
        <v>4549.2</v>
      </c>
      <c r="T41" s="157">
        <f t="shared" si="6"/>
        <v>0</v>
      </c>
      <c r="U41" s="157">
        <f t="shared" si="6"/>
        <v>0</v>
      </c>
      <c r="V41" s="157">
        <f t="shared" si="6"/>
        <v>0</v>
      </c>
      <c r="W41" s="157">
        <f t="shared" si="6"/>
        <v>0</v>
      </c>
      <c r="X41" s="157">
        <f t="shared" si="6"/>
        <v>0</v>
      </c>
      <c r="Y41" s="157">
        <f t="shared" si="6"/>
        <v>0</v>
      </c>
      <c r="Z41" s="157">
        <f t="shared" si="6"/>
        <v>192.8</v>
      </c>
      <c r="AA41" s="157">
        <f t="shared" si="6"/>
        <v>0</v>
      </c>
      <c r="AB41" s="157">
        <f t="shared" si="6"/>
        <v>379.09999999999997</v>
      </c>
      <c r="AC41" s="157">
        <f t="shared" si="6"/>
        <v>13336.119999999999</v>
      </c>
      <c r="AD41" s="414" t="s">
        <v>155</v>
      </c>
      <c r="AE41" s="203"/>
      <c r="AF41" s="16"/>
    </row>
    <row r="42" spans="1:33" ht="15.75" customHeight="1" thickTop="1" x14ac:dyDescent="0.2">
      <c r="A42" s="414" t="s">
        <v>156</v>
      </c>
      <c r="B42" s="442">
        <v>1101</v>
      </c>
      <c r="C42" s="32"/>
      <c r="D42" s="32"/>
      <c r="E42" s="32"/>
      <c r="F42" s="32"/>
      <c r="G42" s="193"/>
      <c r="H42" s="55"/>
      <c r="I42" s="55"/>
      <c r="J42" s="55"/>
      <c r="K42" s="55"/>
      <c r="L42" s="55"/>
      <c r="M42" s="55"/>
      <c r="N42" s="55"/>
      <c r="O42" s="55"/>
      <c r="P42" s="55"/>
      <c r="Q42" s="55"/>
      <c r="R42" s="197"/>
      <c r="S42" s="197"/>
      <c r="T42" s="55"/>
      <c r="U42" s="55"/>
      <c r="V42" s="55"/>
      <c r="W42" s="55"/>
      <c r="X42" s="55"/>
      <c r="Y42" s="55"/>
      <c r="Z42" s="55"/>
      <c r="AA42" s="55"/>
      <c r="AB42" s="55"/>
      <c r="AC42" s="55"/>
      <c r="AD42" s="414" t="s">
        <v>156</v>
      </c>
      <c r="AE42" s="203"/>
      <c r="AF42" s="16"/>
    </row>
    <row r="43" spans="1:33" ht="15.75" customHeight="1" x14ac:dyDescent="0.2">
      <c r="A43" s="414" t="s">
        <v>157</v>
      </c>
      <c r="B43" s="375" t="s">
        <v>197</v>
      </c>
      <c r="C43" s="422" t="s">
        <v>281</v>
      </c>
      <c r="D43" s="926" t="s">
        <v>253</v>
      </c>
      <c r="E43" s="884"/>
      <c r="F43" s="242">
        <v>11</v>
      </c>
      <c r="G43" s="423">
        <f>ROUND(7582/22,2)</f>
        <v>344.64</v>
      </c>
      <c r="H43" s="54">
        <f>G43*F43</f>
        <v>3791.04</v>
      </c>
      <c r="I43" s="55">
        <v>0</v>
      </c>
      <c r="J43" s="55"/>
      <c r="K43" s="55"/>
      <c r="L43" s="55">
        <v>0</v>
      </c>
      <c r="M43" s="55"/>
      <c r="N43" s="55"/>
      <c r="O43" s="55">
        <v>100</v>
      </c>
      <c r="P43" s="56">
        <v>100</v>
      </c>
      <c r="Q43" s="56">
        <f>P43</f>
        <v>100</v>
      </c>
      <c r="R43" s="193">
        <v>682.38</v>
      </c>
      <c r="S43" s="193">
        <v>909.84</v>
      </c>
      <c r="T43" s="55">
        <v>0</v>
      </c>
      <c r="U43" s="55">
        <v>20</v>
      </c>
      <c r="V43" s="55">
        <v>0</v>
      </c>
      <c r="W43" s="55"/>
      <c r="X43" s="55"/>
      <c r="Y43" s="55"/>
      <c r="Z43" s="55">
        <v>0</v>
      </c>
      <c r="AA43" s="55">
        <v>0</v>
      </c>
      <c r="AB43" s="56">
        <v>75.819999999999993</v>
      </c>
      <c r="AC43" s="55">
        <f>H43-(SUM(I43:P43)+R43+SUM(T43:AA43))</f>
        <v>2888.66</v>
      </c>
      <c r="AD43" s="414" t="s">
        <v>157</v>
      </c>
      <c r="AE43" s="203"/>
      <c r="AF43" s="16"/>
    </row>
    <row r="44" spans="1:33" ht="15.75" customHeight="1" x14ac:dyDescent="0.2">
      <c r="A44" s="414" t="s">
        <v>97</v>
      </c>
      <c r="B44" s="375" t="s">
        <v>209</v>
      </c>
      <c r="C44" s="422" t="s">
        <v>281</v>
      </c>
      <c r="D44" s="926" t="s">
        <v>253</v>
      </c>
      <c r="E44" s="884"/>
      <c r="F44" s="242">
        <v>11</v>
      </c>
      <c r="G44" s="423">
        <f>ROUND(7582/22,2)</f>
        <v>344.64</v>
      </c>
      <c r="H44" s="54">
        <f>G44*F44</f>
        <v>3791.04</v>
      </c>
      <c r="I44" s="61">
        <v>0</v>
      </c>
      <c r="J44" s="61"/>
      <c r="K44" s="61"/>
      <c r="L44" s="61"/>
      <c r="M44" s="61"/>
      <c r="N44" s="61">
        <v>0</v>
      </c>
      <c r="O44" s="61">
        <v>0</v>
      </c>
      <c r="P44" s="56">
        <v>100</v>
      </c>
      <c r="Q44" s="58">
        <f>P44</f>
        <v>100</v>
      </c>
      <c r="R44" s="193">
        <v>682.38</v>
      </c>
      <c r="S44" s="193">
        <v>909.84</v>
      </c>
      <c r="T44" s="56">
        <v>0</v>
      </c>
      <c r="U44" s="56">
        <v>0</v>
      </c>
      <c r="V44" s="56">
        <v>0</v>
      </c>
      <c r="W44" s="56"/>
      <c r="X44" s="56"/>
      <c r="Y44" s="56"/>
      <c r="Z44" s="56">
        <v>0</v>
      </c>
      <c r="AA44" s="56">
        <v>0</v>
      </c>
      <c r="AB44" s="56">
        <v>75.819999999999993</v>
      </c>
      <c r="AC44" s="55">
        <f>H44-(SUM(I44:P44)+R44+SUM(T44:AA44))</f>
        <v>3008.66</v>
      </c>
      <c r="AD44" s="414" t="s">
        <v>97</v>
      </c>
      <c r="AE44" s="203"/>
      <c r="AF44" s="16"/>
    </row>
    <row r="45" spans="1:33" ht="15.75" customHeight="1" thickBot="1" x14ac:dyDescent="0.25">
      <c r="A45" s="414" t="s">
        <v>99</v>
      </c>
      <c r="B45" s="375"/>
      <c r="C45" s="32"/>
      <c r="D45" s="32"/>
      <c r="E45" s="32"/>
      <c r="F45" s="32"/>
      <c r="G45" s="193"/>
      <c r="H45" s="157">
        <f>SUM(H43:H44)</f>
        <v>7582.08</v>
      </c>
      <c r="I45" s="157">
        <f t="shared" ref="I45:AB45" si="7">SUM(I42:I44)</f>
        <v>0</v>
      </c>
      <c r="J45" s="157">
        <f t="shared" si="7"/>
        <v>0</v>
      </c>
      <c r="K45" s="157">
        <f t="shared" si="7"/>
        <v>0</v>
      </c>
      <c r="L45" s="157">
        <f t="shared" si="7"/>
        <v>0</v>
      </c>
      <c r="M45" s="157">
        <f t="shared" si="7"/>
        <v>0</v>
      </c>
      <c r="N45" s="157">
        <f t="shared" si="7"/>
        <v>0</v>
      </c>
      <c r="O45" s="157">
        <f t="shared" si="7"/>
        <v>100</v>
      </c>
      <c r="P45" s="157">
        <f t="shared" si="7"/>
        <v>200</v>
      </c>
      <c r="Q45" s="157">
        <f t="shared" si="7"/>
        <v>200</v>
      </c>
      <c r="R45" s="428">
        <f t="shared" si="7"/>
        <v>1364.76</v>
      </c>
      <c r="S45" s="428">
        <f t="shared" si="7"/>
        <v>1819.68</v>
      </c>
      <c r="T45" s="157">
        <f t="shared" si="7"/>
        <v>0</v>
      </c>
      <c r="U45" s="157">
        <f t="shared" si="7"/>
        <v>20</v>
      </c>
      <c r="V45" s="157">
        <f t="shared" si="7"/>
        <v>0</v>
      </c>
      <c r="W45" s="157">
        <f t="shared" si="7"/>
        <v>0</v>
      </c>
      <c r="X45" s="157">
        <f t="shared" si="7"/>
        <v>0</v>
      </c>
      <c r="Y45" s="157">
        <f t="shared" si="7"/>
        <v>0</v>
      </c>
      <c r="Z45" s="157">
        <f t="shared" si="7"/>
        <v>0</v>
      </c>
      <c r="AA45" s="157">
        <f t="shared" si="7"/>
        <v>0</v>
      </c>
      <c r="AB45" s="157">
        <f t="shared" si="7"/>
        <v>151.63999999999999</v>
      </c>
      <c r="AC45" s="157">
        <f>SUM(AC43:AC44)</f>
        <v>5897.32</v>
      </c>
      <c r="AD45" s="414" t="s">
        <v>99</v>
      </c>
      <c r="AE45" s="203"/>
      <c r="AF45" s="16"/>
    </row>
    <row r="46" spans="1:33" ht="15.75" customHeight="1" thickTop="1" x14ac:dyDescent="0.2">
      <c r="A46" s="414" t="s">
        <v>46</v>
      </c>
      <c r="B46" s="375"/>
      <c r="C46" s="429"/>
      <c r="D46" s="445"/>
      <c r="E46" s="422"/>
      <c r="F46" s="422"/>
      <c r="G46" s="193"/>
      <c r="H46" s="146"/>
      <c r="I46" s="146"/>
      <c r="J46" s="146"/>
      <c r="K46" s="146"/>
      <c r="L46" s="146"/>
      <c r="M46" s="146"/>
      <c r="N46" s="146"/>
      <c r="O46" s="146"/>
      <c r="P46" s="146"/>
      <c r="Q46" s="146"/>
      <c r="R46" s="446"/>
      <c r="S46" s="446"/>
      <c r="T46" s="146"/>
      <c r="U46" s="146"/>
      <c r="V46" s="146"/>
      <c r="W46" s="146"/>
      <c r="X46" s="146"/>
      <c r="Y46" s="146"/>
      <c r="Z46" s="146"/>
      <c r="AA46" s="146"/>
      <c r="AB46" s="146"/>
      <c r="AC46" s="456"/>
      <c r="AD46" s="414" t="s">
        <v>46</v>
      </c>
      <c r="AE46" s="203"/>
      <c r="AF46" s="16"/>
    </row>
    <row r="47" spans="1:33" ht="15.75" customHeight="1" x14ac:dyDescent="0.2">
      <c r="A47" s="414" t="s">
        <v>47</v>
      </c>
      <c r="B47" s="374">
        <v>6531</v>
      </c>
      <c r="C47" s="447"/>
      <c r="D47" s="448"/>
      <c r="E47" s="242"/>
      <c r="F47" s="242"/>
      <c r="G47" s="423"/>
      <c r="H47" s="59"/>
      <c r="I47" s="59"/>
      <c r="J47" s="59"/>
      <c r="K47" s="59"/>
      <c r="L47" s="59"/>
      <c r="M47" s="59"/>
      <c r="N47" s="59"/>
      <c r="O47" s="59"/>
      <c r="P47" s="59"/>
      <c r="Q47" s="59"/>
      <c r="R47" s="449"/>
      <c r="S47" s="449"/>
      <c r="T47" s="59"/>
      <c r="U47" s="59"/>
      <c r="V47" s="59"/>
      <c r="W47" s="59"/>
      <c r="X47" s="59"/>
      <c r="Y47" s="59"/>
      <c r="Z47" s="59"/>
      <c r="AA47" s="59"/>
      <c r="AB47" s="59"/>
      <c r="AC47" s="62"/>
      <c r="AD47" s="414" t="s">
        <v>47</v>
      </c>
      <c r="AE47" s="203"/>
      <c r="AF47" s="16"/>
    </row>
    <row r="48" spans="1:33" ht="15.75" customHeight="1" x14ac:dyDescent="0.2">
      <c r="A48" s="414" t="s">
        <v>100</v>
      </c>
      <c r="B48" s="432" t="s">
        <v>265</v>
      </c>
      <c r="C48" s="422" t="s">
        <v>281</v>
      </c>
      <c r="D48" s="926" t="s">
        <v>253</v>
      </c>
      <c r="E48" s="884"/>
      <c r="F48" s="242">
        <v>11</v>
      </c>
      <c r="G48" s="423">
        <f>ROUND(7582/22,2)</f>
        <v>344.64</v>
      </c>
      <c r="H48" s="54">
        <f>G48*F48</f>
        <v>3791.04</v>
      </c>
      <c r="I48" s="56">
        <v>0</v>
      </c>
      <c r="J48" s="56"/>
      <c r="K48" s="56"/>
      <c r="L48" s="56"/>
      <c r="M48" s="56"/>
      <c r="N48" s="56">
        <v>1186.5999999999999</v>
      </c>
      <c r="O48" s="56">
        <v>0</v>
      </c>
      <c r="P48" s="56">
        <v>100</v>
      </c>
      <c r="Q48" s="56">
        <f>P48</f>
        <v>100</v>
      </c>
      <c r="R48" s="193">
        <v>682.38</v>
      </c>
      <c r="S48" s="193">
        <v>909.84</v>
      </c>
      <c r="T48" s="56">
        <v>0</v>
      </c>
      <c r="U48" s="56">
        <v>0</v>
      </c>
      <c r="V48" s="56">
        <v>0</v>
      </c>
      <c r="W48" s="56" t="s">
        <v>37</v>
      </c>
      <c r="X48" s="56"/>
      <c r="Y48" s="56" t="s">
        <v>37</v>
      </c>
      <c r="Z48" s="56">
        <v>373.34</v>
      </c>
      <c r="AA48" s="56">
        <v>0</v>
      </c>
      <c r="AB48" s="56">
        <v>75.819999999999993</v>
      </c>
      <c r="AC48" s="56">
        <f>H48-(SUM(I48:P48)+R48+SUM(T48:AA48))</f>
        <v>1448.7199999999998</v>
      </c>
      <c r="AD48" s="414" t="s">
        <v>100</v>
      </c>
      <c r="AE48" s="203"/>
      <c r="AF48" s="16"/>
    </row>
    <row r="49" spans="1:33" ht="15.75" customHeight="1" x14ac:dyDescent="0.2">
      <c r="A49" s="414" t="s">
        <v>101</v>
      </c>
      <c r="B49" s="375"/>
      <c r="C49" s="32"/>
      <c r="D49" s="32"/>
      <c r="E49" s="32"/>
      <c r="F49" s="443"/>
      <c r="G49" s="197"/>
      <c r="H49" s="450">
        <f>H48</f>
        <v>3791.04</v>
      </c>
      <c r="I49" s="450">
        <v>0</v>
      </c>
      <c r="J49" s="450">
        <f t="shared" ref="J49:S49" si="8">J48</f>
        <v>0</v>
      </c>
      <c r="K49" s="450">
        <f t="shared" si="8"/>
        <v>0</v>
      </c>
      <c r="L49" s="450">
        <f t="shared" si="8"/>
        <v>0</v>
      </c>
      <c r="M49" s="450">
        <f t="shared" si="8"/>
        <v>0</v>
      </c>
      <c r="N49" s="450">
        <f t="shared" si="8"/>
        <v>1186.5999999999999</v>
      </c>
      <c r="O49" s="450">
        <f t="shared" si="8"/>
        <v>0</v>
      </c>
      <c r="P49" s="450">
        <f t="shared" si="8"/>
        <v>100</v>
      </c>
      <c r="Q49" s="450">
        <f t="shared" si="8"/>
        <v>100</v>
      </c>
      <c r="R49" s="451">
        <f t="shared" si="8"/>
        <v>682.38</v>
      </c>
      <c r="S49" s="451">
        <f t="shared" si="8"/>
        <v>909.84</v>
      </c>
      <c r="T49" s="450">
        <v>0</v>
      </c>
      <c r="U49" s="450">
        <f>U48</f>
        <v>0</v>
      </c>
      <c r="V49" s="450">
        <f>V48</f>
        <v>0</v>
      </c>
      <c r="W49" s="450">
        <v>0</v>
      </c>
      <c r="X49" s="450">
        <f>X48</f>
        <v>0</v>
      </c>
      <c r="Y49" s="450">
        <v>0</v>
      </c>
      <c r="Z49" s="450">
        <f>Z48</f>
        <v>373.34</v>
      </c>
      <c r="AA49" s="450">
        <v>0</v>
      </c>
      <c r="AB49" s="450">
        <f>AB48</f>
        <v>75.819999999999993</v>
      </c>
      <c r="AC49" s="450">
        <f>AC48</f>
        <v>1448.7199999999998</v>
      </c>
      <c r="AD49" s="414" t="s">
        <v>101</v>
      </c>
      <c r="AE49" s="203"/>
      <c r="AF49" s="16"/>
    </row>
    <row r="50" spans="1:33" ht="15.75" customHeight="1" x14ac:dyDescent="0.2">
      <c r="A50" s="414" t="s">
        <v>162</v>
      </c>
      <c r="B50" s="374">
        <v>7611</v>
      </c>
      <c r="C50" s="447"/>
      <c r="D50" s="448"/>
      <c r="E50" s="242"/>
      <c r="F50" s="242"/>
      <c r="G50" s="423"/>
      <c r="H50" s="59"/>
      <c r="I50" s="59"/>
      <c r="J50" s="59"/>
      <c r="K50" s="59"/>
      <c r="L50" s="59"/>
      <c r="M50" s="59"/>
      <c r="N50" s="59"/>
      <c r="O50" s="59"/>
      <c r="P50" s="59"/>
      <c r="Q50" s="59"/>
      <c r="R50" s="449"/>
      <c r="S50" s="449"/>
      <c r="T50" s="59"/>
      <c r="U50" s="59"/>
      <c r="V50" s="59"/>
      <c r="W50" s="59"/>
      <c r="X50" s="59"/>
      <c r="Y50" s="59"/>
      <c r="Z50" s="59"/>
      <c r="AA50" s="59"/>
      <c r="AB50" s="59"/>
      <c r="AC50" s="62"/>
      <c r="AD50" s="414" t="s">
        <v>162</v>
      </c>
      <c r="AE50" s="203"/>
      <c r="AF50" s="16"/>
    </row>
    <row r="51" spans="1:33" ht="15.75" customHeight="1" x14ac:dyDescent="0.2">
      <c r="A51" s="414" t="s">
        <v>177</v>
      </c>
      <c r="B51" s="432" t="s">
        <v>269</v>
      </c>
      <c r="C51" s="422" t="s">
        <v>281</v>
      </c>
      <c r="D51" s="926" t="s">
        <v>253</v>
      </c>
      <c r="E51" s="884"/>
      <c r="F51" s="242">
        <v>11</v>
      </c>
      <c r="G51" s="423">
        <f>ROUND(7582/22,2)</f>
        <v>344.64</v>
      </c>
      <c r="H51" s="54">
        <f>G51*F51</f>
        <v>3791.04</v>
      </c>
      <c r="I51" s="56">
        <v>0</v>
      </c>
      <c r="J51" s="56">
        <v>0</v>
      </c>
      <c r="K51" s="56">
        <v>0</v>
      </c>
      <c r="L51" s="56">
        <v>0</v>
      </c>
      <c r="M51" s="56"/>
      <c r="N51" s="56">
        <v>0</v>
      </c>
      <c r="O51" s="56">
        <v>0</v>
      </c>
      <c r="P51" s="56">
        <v>100</v>
      </c>
      <c r="Q51" s="56">
        <f>P51</f>
        <v>100</v>
      </c>
      <c r="R51" s="193">
        <v>682.38</v>
      </c>
      <c r="S51" s="193">
        <v>909.84</v>
      </c>
      <c r="T51" s="56">
        <v>0</v>
      </c>
      <c r="U51" s="56">
        <v>0</v>
      </c>
      <c r="V51" s="56">
        <v>0</v>
      </c>
      <c r="W51" s="56" t="s">
        <v>37</v>
      </c>
      <c r="X51" s="56"/>
      <c r="Y51" s="56" t="s">
        <v>37</v>
      </c>
      <c r="Z51" s="56">
        <v>0</v>
      </c>
      <c r="AA51" s="56">
        <v>0</v>
      </c>
      <c r="AB51" s="56">
        <v>75.819999999999993</v>
      </c>
      <c r="AC51" s="56">
        <f>H51-(SUM(I51:P51)+R51+SUM(T51:AA51))</f>
        <v>3008.66</v>
      </c>
      <c r="AD51" s="414" t="s">
        <v>177</v>
      </c>
      <c r="AE51" s="203"/>
      <c r="AF51" s="16"/>
    </row>
    <row r="52" spans="1:33" ht="15.75" customHeight="1" x14ac:dyDescent="0.2">
      <c r="A52" s="414" t="s">
        <v>178</v>
      </c>
      <c r="B52" s="375" t="s">
        <v>285</v>
      </c>
      <c r="C52" s="422" t="s">
        <v>281</v>
      </c>
      <c r="D52" s="926" t="s">
        <v>253</v>
      </c>
      <c r="E52" s="884"/>
      <c r="F52" s="242">
        <v>11</v>
      </c>
      <c r="G52" s="423">
        <f>ROUND(7582/22,2)</f>
        <v>344.64</v>
      </c>
      <c r="H52" s="54">
        <f>G52*F52</f>
        <v>3791.04</v>
      </c>
      <c r="I52" s="56">
        <v>0</v>
      </c>
      <c r="J52" s="56">
        <v>0</v>
      </c>
      <c r="K52" s="56">
        <v>0</v>
      </c>
      <c r="L52" s="56">
        <v>0</v>
      </c>
      <c r="M52" s="56"/>
      <c r="N52" s="56">
        <v>0</v>
      </c>
      <c r="O52" s="56">
        <v>0</v>
      </c>
      <c r="P52" s="56">
        <v>100</v>
      </c>
      <c r="Q52" s="56">
        <f>P52</f>
        <v>100</v>
      </c>
      <c r="R52" s="193">
        <v>682.38</v>
      </c>
      <c r="S52" s="193">
        <v>909.84</v>
      </c>
      <c r="T52" s="56">
        <v>0</v>
      </c>
      <c r="U52" s="56">
        <v>0</v>
      </c>
      <c r="V52" s="56">
        <v>0</v>
      </c>
      <c r="W52" s="56"/>
      <c r="X52" s="56"/>
      <c r="Y52" s="56"/>
      <c r="Z52" s="56">
        <v>0</v>
      </c>
      <c r="AA52" s="56">
        <v>0</v>
      </c>
      <c r="AB52" s="56">
        <v>75.819999999999993</v>
      </c>
      <c r="AC52" s="56">
        <f>H52-(SUM(I52:P52)+R52+SUM(T52:AA52))</f>
        <v>3008.66</v>
      </c>
      <c r="AD52" s="414" t="s">
        <v>178</v>
      </c>
      <c r="AE52" s="203"/>
      <c r="AF52" s="16"/>
    </row>
    <row r="53" spans="1:33" ht="15.75" customHeight="1" x14ac:dyDescent="0.2">
      <c r="A53" s="414" t="s">
        <v>179</v>
      </c>
      <c r="B53" s="375"/>
      <c r="C53" s="422"/>
      <c r="D53" s="448"/>
      <c r="E53" s="242"/>
      <c r="F53" s="242"/>
      <c r="G53" s="423"/>
      <c r="H53" s="450">
        <f>SUM(H51:H52)</f>
        <v>7582.08</v>
      </c>
      <c r="I53" s="450">
        <f t="shared" ref="I53:AB53" si="9">SUM(I51:I52)</f>
        <v>0</v>
      </c>
      <c r="J53" s="450">
        <f t="shared" si="9"/>
        <v>0</v>
      </c>
      <c r="K53" s="450">
        <f t="shared" si="9"/>
        <v>0</v>
      </c>
      <c r="L53" s="450">
        <f t="shared" si="9"/>
        <v>0</v>
      </c>
      <c r="M53" s="450">
        <f t="shared" si="9"/>
        <v>0</v>
      </c>
      <c r="N53" s="450">
        <f t="shared" si="9"/>
        <v>0</v>
      </c>
      <c r="O53" s="450">
        <f t="shared" si="9"/>
        <v>0</v>
      </c>
      <c r="P53" s="450">
        <f t="shared" si="9"/>
        <v>200</v>
      </c>
      <c r="Q53" s="450">
        <f t="shared" si="9"/>
        <v>200</v>
      </c>
      <c r="R53" s="451">
        <f t="shared" si="9"/>
        <v>1364.76</v>
      </c>
      <c r="S53" s="451">
        <f t="shared" si="9"/>
        <v>1819.68</v>
      </c>
      <c r="T53" s="450">
        <f t="shared" si="9"/>
        <v>0</v>
      </c>
      <c r="U53" s="450">
        <f t="shared" si="9"/>
        <v>0</v>
      </c>
      <c r="V53" s="450">
        <f t="shared" si="9"/>
        <v>0</v>
      </c>
      <c r="W53" s="450">
        <f t="shared" si="9"/>
        <v>0</v>
      </c>
      <c r="X53" s="450">
        <f t="shared" si="9"/>
        <v>0</v>
      </c>
      <c r="Y53" s="450">
        <f t="shared" si="9"/>
        <v>0</v>
      </c>
      <c r="Z53" s="450">
        <f t="shared" si="9"/>
        <v>0</v>
      </c>
      <c r="AA53" s="450">
        <f t="shared" si="9"/>
        <v>0</v>
      </c>
      <c r="AB53" s="450">
        <f t="shared" si="9"/>
        <v>151.63999999999999</v>
      </c>
      <c r="AC53" s="450">
        <f>SUM(AC51:AC52)</f>
        <v>6017.32</v>
      </c>
      <c r="AD53" s="414" t="s">
        <v>179</v>
      </c>
      <c r="AE53" s="203"/>
      <c r="AF53" s="16"/>
    </row>
    <row r="54" spans="1:33" ht="15.75" customHeight="1" x14ac:dyDescent="0.2">
      <c r="A54" s="414" t="s">
        <v>180</v>
      </c>
      <c r="B54" s="442">
        <v>8711</v>
      </c>
      <c r="C54" s="32"/>
      <c r="D54" s="32"/>
      <c r="E54" s="32"/>
      <c r="F54" s="443"/>
      <c r="G54" s="197"/>
      <c r="H54" s="55"/>
      <c r="I54" s="55"/>
      <c r="J54" s="55"/>
      <c r="K54" s="55"/>
      <c r="L54" s="55"/>
      <c r="M54" s="55"/>
      <c r="N54" s="55"/>
      <c r="O54" s="55"/>
      <c r="P54" s="55"/>
      <c r="Q54" s="55"/>
      <c r="R54" s="197"/>
      <c r="S54" s="197"/>
      <c r="T54" s="55"/>
      <c r="U54" s="55"/>
      <c r="V54" s="55"/>
      <c r="W54" s="55"/>
      <c r="X54" s="55"/>
      <c r="Y54" s="55"/>
      <c r="Z54" s="55"/>
      <c r="AA54" s="55"/>
      <c r="AB54" s="55"/>
      <c r="AC54" s="55"/>
      <c r="AD54" s="414" t="s">
        <v>180</v>
      </c>
      <c r="AE54" s="203"/>
      <c r="AF54" s="16"/>
    </row>
    <row r="55" spans="1:33" ht="15.75" customHeight="1" x14ac:dyDescent="0.2">
      <c r="A55" s="414" t="s">
        <v>181</v>
      </c>
      <c r="B55" s="376" t="s">
        <v>169</v>
      </c>
      <c r="C55" s="422" t="s">
        <v>281</v>
      </c>
      <c r="D55" s="926" t="s">
        <v>253</v>
      </c>
      <c r="E55" s="884"/>
      <c r="F55" s="242">
        <v>11</v>
      </c>
      <c r="G55" s="423">
        <f>ROUND(7582/22,2)</f>
        <v>344.64</v>
      </c>
      <c r="H55" s="54">
        <f>G55*F55</f>
        <v>3791.04</v>
      </c>
      <c r="I55" s="55"/>
      <c r="J55" s="55"/>
      <c r="K55" s="55"/>
      <c r="L55" s="55">
        <v>0</v>
      </c>
      <c r="M55" s="55" t="s">
        <v>37</v>
      </c>
      <c r="N55" s="55">
        <v>0</v>
      </c>
      <c r="O55" s="55">
        <v>0</v>
      </c>
      <c r="P55" s="56">
        <v>100</v>
      </c>
      <c r="Q55" s="56">
        <f>P55</f>
        <v>100</v>
      </c>
      <c r="R55" s="193">
        <v>682.38</v>
      </c>
      <c r="S55" s="193">
        <v>909.84</v>
      </c>
      <c r="T55" s="55">
        <v>0</v>
      </c>
      <c r="U55" s="55">
        <v>0</v>
      </c>
      <c r="V55" s="55">
        <v>0</v>
      </c>
      <c r="W55" s="55"/>
      <c r="X55" s="55"/>
      <c r="Y55" s="55"/>
      <c r="Z55" s="55">
        <v>0</v>
      </c>
      <c r="AA55" s="55">
        <v>0</v>
      </c>
      <c r="AB55" s="56">
        <v>75.819999999999993</v>
      </c>
      <c r="AC55" s="55">
        <f>H55-(SUM(I55:P55)+R55+SUM(T55:AA55))</f>
        <v>3008.66</v>
      </c>
      <c r="AD55" s="414" t="s">
        <v>181</v>
      </c>
      <c r="AE55" s="203"/>
      <c r="AF55" s="16"/>
    </row>
    <row r="56" spans="1:33" ht="15.75" customHeight="1" x14ac:dyDescent="0.2">
      <c r="A56" s="414" t="s">
        <v>186</v>
      </c>
      <c r="B56" s="376" t="s">
        <v>247</v>
      </c>
      <c r="C56" s="422" t="s">
        <v>281</v>
      </c>
      <c r="D56" s="926" t="s">
        <v>253</v>
      </c>
      <c r="E56" s="884"/>
      <c r="F56" s="242">
        <v>11</v>
      </c>
      <c r="G56" s="423">
        <f>ROUND(7582/22,2)</f>
        <v>344.64</v>
      </c>
      <c r="H56" s="54">
        <f>G56*F56</f>
        <v>3791.04</v>
      </c>
      <c r="I56" s="56"/>
      <c r="J56" s="56"/>
      <c r="K56" s="56"/>
      <c r="L56" s="56">
        <v>327.78</v>
      </c>
      <c r="M56" s="56"/>
      <c r="N56" s="56">
        <v>0</v>
      </c>
      <c r="O56" s="56">
        <v>0</v>
      </c>
      <c r="P56" s="56">
        <v>100</v>
      </c>
      <c r="Q56" s="58">
        <f>P56</f>
        <v>100</v>
      </c>
      <c r="R56" s="193">
        <v>682.38</v>
      </c>
      <c r="S56" s="193">
        <v>909.84</v>
      </c>
      <c r="T56" s="61">
        <v>0</v>
      </c>
      <c r="U56" s="61">
        <v>0</v>
      </c>
      <c r="V56" s="61">
        <v>0</v>
      </c>
      <c r="W56" s="61"/>
      <c r="X56" s="61"/>
      <c r="Y56" s="61"/>
      <c r="Z56" s="61">
        <v>0</v>
      </c>
      <c r="AA56" s="61">
        <v>0</v>
      </c>
      <c r="AB56" s="56">
        <v>75.819999999999993</v>
      </c>
      <c r="AC56" s="55">
        <f>H56-(SUM(I56:P56)+R56+SUM(T56:AA56))</f>
        <v>2680.88</v>
      </c>
      <c r="AD56" s="414" t="s">
        <v>186</v>
      </c>
      <c r="AE56" s="203"/>
      <c r="AF56" s="16"/>
    </row>
    <row r="57" spans="1:33" ht="15.75" customHeight="1" thickBot="1" x14ac:dyDescent="0.25">
      <c r="A57" s="414" t="s">
        <v>189</v>
      </c>
      <c r="B57" s="375"/>
      <c r="C57" s="32"/>
      <c r="D57" s="32"/>
      <c r="E57" s="32"/>
      <c r="F57" s="32"/>
      <c r="G57" s="193"/>
      <c r="H57" s="157">
        <f>SUM(H55:H56)</f>
        <v>7582.08</v>
      </c>
      <c r="I57" s="157">
        <f t="shared" ref="I57:AB57" si="10">SUM(I55:I56)</f>
        <v>0</v>
      </c>
      <c r="J57" s="157">
        <f t="shared" si="10"/>
        <v>0</v>
      </c>
      <c r="K57" s="157">
        <f t="shared" si="10"/>
        <v>0</v>
      </c>
      <c r="L57" s="157">
        <f t="shared" si="10"/>
        <v>327.78</v>
      </c>
      <c r="M57" s="157">
        <f t="shared" si="10"/>
        <v>0</v>
      </c>
      <c r="N57" s="157">
        <f t="shared" si="10"/>
        <v>0</v>
      </c>
      <c r="O57" s="157">
        <f t="shared" si="10"/>
        <v>0</v>
      </c>
      <c r="P57" s="157">
        <f t="shared" si="10"/>
        <v>200</v>
      </c>
      <c r="Q57" s="157">
        <f t="shared" si="10"/>
        <v>200</v>
      </c>
      <c r="R57" s="428">
        <f t="shared" si="10"/>
        <v>1364.76</v>
      </c>
      <c r="S57" s="428">
        <f t="shared" si="10"/>
        <v>1819.68</v>
      </c>
      <c r="T57" s="157">
        <f t="shared" si="10"/>
        <v>0</v>
      </c>
      <c r="U57" s="157">
        <f t="shared" si="10"/>
        <v>0</v>
      </c>
      <c r="V57" s="157">
        <f t="shared" si="10"/>
        <v>0</v>
      </c>
      <c r="W57" s="157">
        <f t="shared" si="10"/>
        <v>0</v>
      </c>
      <c r="X57" s="157">
        <f t="shared" si="10"/>
        <v>0</v>
      </c>
      <c r="Y57" s="157">
        <f t="shared" si="10"/>
        <v>0</v>
      </c>
      <c r="Z57" s="157">
        <f t="shared" si="10"/>
        <v>0</v>
      </c>
      <c r="AA57" s="157">
        <f t="shared" si="10"/>
        <v>0</v>
      </c>
      <c r="AB57" s="157">
        <f t="shared" si="10"/>
        <v>151.63999999999999</v>
      </c>
      <c r="AC57" s="157">
        <f>SUM(AC55:AC56)</f>
        <v>5689.54</v>
      </c>
      <c r="AD57" s="414" t="s">
        <v>189</v>
      </c>
      <c r="AE57" s="203"/>
      <c r="AF57" s="16"/>
    </row>
    <row r="58" spans="1:33" ht="15.75" customHeight="1" thickTop="1" x14ac:dyDescent="0.2">
      <c r="A58" s="414" t="s">
        <v>190</v>
      </c>
      <c r="B58" s="374">
        <v>9940</v>
      </c>
      <c r="C58" s="32"/>
      <c r="D58" s="23"/>
      <c r="E58" s="23"/>
      <c r="F58" s="23"/>
      <c r="G58" s="197"/>
      <c r="H58" s="61"/>
      <c r="I58" s="61"/>
      <c r="J58" s="61"/>
      <c r="K58" s="61"/>
      <c r="L58" s="61"/>
      <c r="M58" s="61"/>
      <c r="N58" s="61"/>
      <c r="O58" s="61"/>
      <c r="P58" s="61"/>
      <c r="Q58" s="61"/>
      <c r="R58" s="200"/>
      <c r="S58" s="200"/>
      <c r="T58" s="61"/>
      <c r="U58" s="61"/>
      <c r="V58" s="61"/>
      <c r="W58" s="61"/>
      <c r="X58" s="58"/>
      <c r="Y58" s="61"/>
      <c r="Z58" s="61"/>
      <c r="AA58" s="61"/>
      <c r="AB58" s="61"/>
      <c r="AC58" s="61"/>
      <c r="AD58" s="414" t="s">
        <v>190</v>
      </c>
      <c r="AE58" s="203"/>
      <c r="AF58" s="16"/>
    </row>
    <row r="59" spans="1:33" ht="15.75" customHeight="1" x14ac:dyDescent="0.2">
      <c r="A59" s="414" t="s">
        <v>191</v>
      </c>
      <c r="B59" s="376" t="s">
        <v>364</v>
      </c>
      <c r="C59" s="422" t="s">
        <v>281</v>
      </c>
      <c r="D59" s="926" t="s">
        <v>253</v>
      </c>
      <c r="E59" s="884"/>
      <c r="F59" s="242">
        <v>12</v>
      </c>
      <c r="G59" s="423">
        <f>ROUND(7582/22,2)</f>
        <v>344.64</v>
      </c>
      <c r="H59" s="54">
        <f>G59*F59</f>
        <v>4135.68</v>
      </c>
      <c r="I59" s="56">
        <v>0</v>
      </c>
      <c r="J59" s="56"/>
      <c r="K59" s="56"/>
      <c r="L59" s="56"/>
      <c r="M59" s="56" t="s">
        <v>37</v>
      </c>
      <c r="N59" s="56"/>
      <c r="O59" s="56">
        <v>0</v>
      </c>
      <c r="P59" s="56">
        <v>100</v>
      </c>
      <c r="Q59" s="56">
        <f>P59</f>
        <v>100</v>
      </c>
      <c r="R59" s="193">
        <v>682.38</v>
      </c>
      <c r="S59" s="193">
        <v>909.84</v>
      </c>
      <c r="T59" s="56">
        <v>0</v>
      </c>
      <c r="U59" s="56">
        <v>0</v>
      </c>
      <c r="V59" s="56">
        <v>0</v>
      </c>
      <c r="W59" s="56"/>
      <c r="X59" s="56"/>
      <c r="Y59" s="56"/>
      <c r="Z59" s="56">
        <v>364.91</v>
      </c>
      <c r="AA59" s="56">
        <v>0</v>
      </c>
      <c r="AB59" s="56">
        <v>75.819999999999993</v>
      </c>
      <c r="AC59" s="56">
        <f>H59-(SUM(I59:P59)+R59+SUM(T59:AA59))</f>
        <v>2988.3900000000003</v>
      </c>
      <c r="AD59" s="414" t="s">
        <v>191</v>
      </c>
      <c r="AE59" s="203"/>
      <c r="AF59" s="202"/>
    </row>
    <row r="60" spans="1:33" ht="15.75" customHeight="1" x14ac:dyDescent="0.2">
      <c r="A60" s="414" t="s">
        <v>192</v>
      </c>
      <c r="B60" s="376"/>
      <c r="C60" s="422"/>
      <c r="D60" s="448"/>
      <c r="E60" s="242"/>
      <c r="F60" s="242"/>
      <c r="G60" s="423"/>
      <c r="H60" s="452">
        <f>H59</f>
        <v>4135.68</v>
      </c>
      <c r="I60" s="450"/>
      <c r="J60" s="450"/>
      <c r="K60" s="450"/>
      <c r="L60" s="450"/>
      <c r="M60" s="450"/>
      <c r="N60" s="452">
        <f>N59</f>
        <v>0</v>
      </c>
      <c r="O60" s="450"/>
      <c r="P60" s="452">
        <f>P59</f>
        <v>100</v>
      </c>
      <c r="Q60" s="452">
        <f>Q59</f>
        <v>100</v>
      </c>
      <c r="R60" s="452">
        <f>R59</f>
        <v>682.38</v>
      </c>
      <c r="S60" s="452">
        <f>S59</f>
        <v>909.84</v>
      </c>
      <c r="T60" s="450"/>
      <c r="U60" s="450"/>
      <c r="V60" s="450"/>
      <c r="W60" s="450"/>
      <c r="X60" s="450"/>
      <c r="Y60" s="450"/>
      <c r="Z60" s="452">
        <f>Z59</f>
        <v>364.91</v>
      </c>
      <c r="AA60" s="452">
        <f>AA59</f>
        <v>0</v>
      </c>
      <c r="AB60" s="452">
        <f>AB59</f>
        <v>75.819999999999993</v>
      </c>
      <c r="AC60" s="452">
        <f>AC59</f>
        <v>2988.3900000000003</v>
      </c>
      <c r="AD60" s="414" t="s">
        <v>192</v>
      </c>
      <c r="AE60" s="203"/>
      <c r="AF60" s="202"/>
    </row>
    <row r="61" spans="1:33" ht="15.75" customHeight="1" x14ac:dyDescent="0.2">
      <c r="A61" s="414" t="s">
        <v>193</v>
      </c>
      <c r="B61" s="374">
        <v>8731</v>
      </c>
      <c r="C61" s="422"/>
      <c r="D61" s="448"/>
      <c r="E61" s="242"/>
      <c r="F61" s="242"/>
      <c r="G61" s="423"/>
      <c r="H61" s="54"/>
      <c r="I61" s="56"/>
      <c r="J61" s="56"/>
      <c r="K61" s="56"/>
      <c r="L61" s="56"/>
      <c r="M61" s="56"/>
      <c r="N61" s="56"/>
      <c r="O61" s="56"/>
      <c r="P61" s="56"/>
      <c r="Q61" s="56"/>
      <c r="R61" s="193"/>
      <c r="S61" s="193"/>
      <c r="T61" s="56"/>
      <c r="U61" s="56"/>
      <c r="V61" s="56"/>
      <c r="W61" s="56"/>
      <c r="X61" s="56"/>
      <c r="Y61" s="56"/>
      <c r="Z61" s="56"/>
      <c r="AA61" s="56"/>
      <c r="AB61" s="56"/>
      <c r="AC61" s="56"/>
      <c r="AD61" s="414" t="s">
        <v>193</v>
      </c>
      <c r="AE61" s="203"/>
      <c r="AF61" s="202"/>
    </row>
    <row r="62" spans="1:33" ht="15.75" customHeight="1" x14ac:dyDescent="0.2">
      <c r="A62" s="414" t="s">
        <v>194</v>
      </c>
      <c r="B62" s="375" t="s">
        <v>344</v>
      </c>
      <c r="C62" s="422" t="s">
        <v>281</v>
      </c>
      <c r="D62" s="926" t="s">
        <v>253</v>
      </c>
      <c r="E62" s="884"/>
      <c r="F62" s="242">
        <v>13</v>
      </c>
      <c r="G62" s="423">
        <f>ROUND(7582/22,2)</f>
        <v>344.64</v>
      </c>
      <c r="H62" s="54">
        <f>G62*F62</f>
        <v>4480.32</v>
      </c>
      <c r="I62" s="56">
        <v>0</v>
      </c>
      <c r="J62" s="56"/>
      <c r="K62" s="56"/>
      <c r="L62" s="56"/>
      <c r="M62" s="56" t="s">
        <v>37</v>
      </c>
      <c r="N62" s="56"/>
      <c r="O62" s="56">
        <v>0</v>
      </c>
      <c r="P62" s="56">
        <v>100</v>
      </c>
      <c r="Q62" s="56">
        <f>P62</f>
        <v>100</v>
      </c>
      <c r="R62" s="193">
        <v>682.38</v>
      </c>
      <c r="S62" s="193">
        <v>909.84</v>
      </c>
      <c r="T62" s="56">
        <v>0</v>
      </c>
      <c r="U62" s="56">
        <v>0</v>
      </c>
      <c r="V62" s="56">
        <v>0</v>
      </c>
      <c r="W62" s="56"/>
      <c r="X62" s="56"/>
      <c r="Y62" s="56"/>
      <c r="Z62" s="56">
        <v>364.91</v>
      </c>
      <c r="AA62" s="56">
        <v>0</v>
      </c>
      <c r="AB62" s="56">
        <v>75.819999999999993</v>
      </c>
      <c r="AC62" s="56">
        <f>H62-(SUM(I62:P62)+R62+SUM(T62:AA62))</f>
        <v>3333.0299999999997</v>
      </c>
      <c r="AD62" s="414" t="s">
        <v>194</v>
      </c>
      <c r="AE62" s="203"/>
      <c r="AF62" s="63"/>
      <c r="AG62" s="35"/>
    </row>
    <row r="63" spans="1:33" ht="15.75" customHeight="1" thickBot="1" x14ac:dyDescent="0.25">
      <c r="A63" s="414" t="s">
        <v>195</v>
      </c>
      <c r="B63" s="375" t="s">
        <v>37</v>
      </c>
      <c r="C63" s="453" t="s">
        <v>37</v>
      </c>
      <c r="D63" s="454" t="s">
        <v>37</v>
      </c>
      <c r="E63" s="32" t="s">
        <v>37</v>
      </c>
      <c r="F63" s="32"/>
      <c r="G63" s="423"/>
      <c r="H63" s="439">
        <f>H62</f>
        <v>4480.32</v>
      </c>
      <c r="I63" s="439">
        <f t="shared" ref="I63:AC63" si="11">I62</f>
        <v>0</v>
      </c>
      <c r="J63" s="439">
        <f t="shared" si="11"/>
        <v>0</v>
      </c>
      <c r="K63" s="439">
        <f t="shared" si="11"/>
        <v>0</v>
      </c>
      <c r="L63" s="439">
        <f t="shared" si="11"/>
        <v>0</v>
      </c>
      <c r="M63" s="439" t="str">
        <f t="shared" si="11"/>
        <v xml:space="preserve"> </v>
      </c>
      <c r="N63" s="439">
        <f t="shared" si="11"/>
        <v>0</v>
      </c>
      <c r="O63" s="439">
        <f t="shared" si="11"/>
        <v>0</v>
      </c>
      <c r="P63" s="439">
        <f t="shared" si="11"/>
        <v>100</v>
      </c>
      <c r="Q63" s="439">
        <f t="shared" si="11"/>
        <v>100</v>
      </c>
      <c r="R63" s="439">
        <f t="shared" si="11"/>
        <v>682.38</v>
      </c>
      <c r="S63" s="439">
        <f t="shared" si="11"/>
        <v>909.84</v>
      </c>
      <c r="T63" s="439">
        <f t="shared" si="11"/>
        <v>0</v>
      </c>
      <c r="U63" s="439">
        <f t="shared" si="11"/>
        <v>0</v>
      </c>
      <c r="V63" s="439">
        <f t="shared" si="11"/>
        <v>0</v>
      </c>
      <c r="W63" s="439">
        <f t="shared" si="11"/>
        <v>0</v>
      </c>
      <c r="X63" s="439">
        <f t="shared" si="11"/>
        <v>0</v>
      </c>
      <c r="Y63" s="439">
        <f t="shared" si="11"/>
        <v>0</v>
      </c>
      <c r="Z63" s="439">
        <f t="shared" si="11"/>
        <v>364.91</v>
      </c>
      <c r="AA63" s="439">
        <f t="shared" si="11"/>
        <v>0</v>
      </c>
      <c r="AB63" s="439">
        <f t="shared" si="11"/>
        <v>75.819999999999993</v>
      </c>
      <c r="AC63" s="439">
        <f t="shared" si="11"/>
        <v>3333.0299999999997</v>
      </c>
      <c r="AD63" s="414" t="s">
        <v>195</v>
      </c>
      <c r="AE63" s="203"/>
      <c r="AF63" s="16"/>
    </row>
    <row r="64" spans="1:33" ht="15.75" customHeight="1" thickTop="1" x14ac:dyDescent="0.2">
      <c r="A64" s="414" t="s">
        <v>217</v>
      </c>
      <c r="B64" s="442">
        <v>8751</v>
      </c>
      <c r="C64" s="32"/>
      <c r="D64" s="32"/>
      <c r="E64" s="32"/>
      <c r="F64" s="32"/>
      <c r="G64" s="193"/>
      <c r="H64" s="56"/>
      <c r="I64" s="56"/>
      <c r="J64" s="56"/>
      <c r="K64" s="56"/>
      <c r="L64" s="56"/>
      <c r="M64" s="56"/>
      <c r="N64" s="56"/>
      <c r="O64" s="56"/>
      <c r="P64" s="56"/>
      <c r="Q64" s="56"/>
      <c r="R64" s="193"/>
      <c r="S64" s="193"/>
      <c r="T64" s="56"/>
      <c r="U64" s="56"/>
      <c r="V64" s="56"/>
      <c r="W64" s="56"/>
      <c r="X64" s="56"/>
      <c r="Y64" s="56"/>
      <c r="Z64" s="56"/>
      <c r="AA64" s="56"/>
      <c r="AB64" s="56"/>
      <c r="AC64" s="56"/>
      <c r="AD64" s="414" t="s">
        <v>217</v>
      </c>
      <c r="AE64" s="203" t="s">
        <v>37</v>
      </c>
      <c r="AF64" s="16"/>
    </row>
    <row r="65" spans="1:32" ht="15.75" customHeight="1" x14ac:dyDescent="0.2">
      <c r="A65" s="414" t="s">
        <v>218</v>
      </c>
      <c r="B65" s="44" t="s">
        <v>325</v>
      </c>
      <c r="C65" s="422" t="s">
        <v>281</v>
      </c>
      <c r="D65" s="926" t="s">
        <v>253</v>
      </c>
      <c r="E65" s="884"/>
      <c r="F65" s="242">
        <v>11</v>
      </c>
      <c r="G65" s="423">
        <f>ROUND(7582/22,2)</f>
        <v>344.64</v>
      </c>
      <c r="H65" s="54">
        <f>G65*F65</f>
        <v>3791.04</v>
      </c>
      <c r="I65" s="56">
        <v>0</v>
      </c>
      <c r="J65" s="56"/>
      <c r="K65" s="56"/>
      <c r="L65" s="56">
        <v>0</v>
      </c>
      <c r="M65" s="56"/>
      <c r="N65" s="56">
        <v>0</v>
      </c>
      <c r="O65" s="56">
        <v>0</v>
      </c>
      <c r="P65" s="56">
        <v>100</v>
      </c>
      <c r="Q65" s="56">
        <f>P65</f>
        <v>100</v>
      </c>
      <c r="R65" s="193">
        <v>682.38</v>
      </c>
      <c r="S65" s="193">
        <v>909.84</v>
      </c>
      <c r="T65" s="56">
        <v>0</v>
      </c>
      <c r="U65" s="56">
        <v>0</v>
      </c>
      <c r="V65" s="56">
        <v>0</v>
      </c>
      <c r="W65" s="56"/>
      <c r="X65" s="56"/>
      <c r="Y65" s="56"/>
      <c r="Z65" s="56">
        <v>0</v>
      </c>
      <c r="AA65" s="56">
        <v>0</v>
      </c>
      <c r="AB65" s="56">
        <v>75.819999999999993</v>
      </c>
      <c r="AC65" s="56">
        <f>H65-(SUM(I65:P65)+R65+SUM(T65:AA65))</f>
        <v>3008.66</v>
      </c>
      <c r="AD65" s="414" t="s">
        <v>218</v>
      </c>
      <c r="AE65" s="203"/>
      <c r="AF65" s="16"/>
    </row>
    <row r="66" spans="1:32" ht="15.75" customHeight="1" x14ac:dyDescent="0.2">
      <c r="A66" s="414" t="s">
        <v>219</v>
      </c>
      <c r="B66" s="44" t="s">
        <v>345</v>
      </c>
      <c r="C66" s="422" t="s">
        <v>281</v>
      </c>
      <c r="D66" s="926" t="s">
        <v>253</v>
      </c>
      <c r="E66" s="884"/>
      <c r="F66" s="242">
        <v>11</v>
      </c>
      <c r="G66" s="423">
        <f>ROUND(7582/22,2)</f>
        <v>344.64</v>
      </c>
      <c r="H66" s="54">
        <f>G66*F66</f>
        <v>3791.04</v>
      </c>
      <c r="I66" s="56">
        <v>0</v>
      </c>
      <c r="J66" s="56"/>
      <c r="K66" s="56"/>
      <c r="L66" s="56">
        <v>0</v>
      </c>
      <c r="M66" s="56"/>
      <c r="N66" s="56">
        <v>0</v>
      </c>
      <c r="O66" s="56">
        <v>0</v>
      </c>
      <c r="P66" s="56">
        <v>100</v>
      </c>
      <c r="Q66" s="56">
        <f>P66</f>
        <v>100</v>
      </c>
      <c r="R66" s="193">
        <v>682.37</v>
      </c>
      <c r="S66" s="193">
        <v>909.84</v>
      </c>
      <c r="T66" s="56">
        <v>0</v>
      </c>
      <c r="U66" s="56">
        <v>0</v>
      </c>
      <c r="V66" s="56">
        <v>0</v>
      </c>
      <c r="W66" s="56"/>
      <c r="X66" s="56"/>
      <c r="Y66" s="56"/>
      <c r="Z66" s="56">
        <v>0</v>
      </c>
      <c r="AA66" s="56">
        <v>0</v>
      </c>
      <c r="AB66" s="56">
        <v>75.819999999999993</v>
      </c>
      <c r="AC66" s="56">
        <f>H66-(SUM(I66:P66)+R66+SUM(T66:AA66))</f>
        <v>3008.67</v>
      </c>
      <c r="AD66" s="414" t="s">
        <v>219</v>
      </c>
      <c r="AE66" s="203"/>
      <c r="AF66" s="16"/>
    </row>
    <row r="67" spans="1:32" ht="15.75" customHeight="1" thickBot="1" x14ac:dyDescent="0.25">
      <c r="A67" s="414" t="s">
        <v>223</v>
      </c>
      <c r="B67" s="375"/>
      <c r="C67" s="32"/>
      <c r="D67" s="32"/>
      <c r="E67" s="32"/>
      <c r="F67" s="32"/>
      <c r="G67" s="193"/>
      <c r="H67" s="157">
        <f>SUM(H65:H66)</f>
        <v>7582.08</v>
      </c>
      <c r="I67" s="157">
        <f t="shared" ref="I67:O67" si="12">SUM(I66:I66)</f>
        <v>0</v>
      </c>
      <c r="J67" s="157">
        <f t="shared" si="12"/>
        <v>0</v>
      </c>
      <c r="K67" s="157">
        <f t="shared" si="12"/>
        <v>0</v>
      </c>
      <c r="L67" s="157">
        <f t="shared" si="12"/>
        <v>0</v>
      </c>
      <c r="M67" s="157">
        <f t="shared" si="12"/>
        <v>0</v>
      </c>
      <c r="N67" s="157">
        <f t="shared" si="12"/>
        <v>0</v>
      </c>
      <c r="O67" s="157">
        <f t="shared" si="12"/>
        <v>0</v>
      </c>
      <c r="P67" s="157">
        <f>SUM(P65:P66)</f>
        <v>200</v>
      </c>
      <c r="Q67" s="157">
        <f t="shared" ref="Q67:AC67" si="13">SUM(Q65:Q66)</f>
        <v>200</v>
      </c>
      <c r="R67" s="157">
        <f t="shared" si="13"/>
        <v>1364.75</v>
      </c>
      <c r="S67" s="157">
        <f t="shared" si="13"/>
        <v>1819.68</v>
      </c>
      <c r="T67" s="157">
        <f t="shared" si="13"/>
        <v>0</v>
      </c>
      <c r="U67" s="157">
        <f t="shared" si="13"/>
        <v>0</v>
      </c>
      <c r="V67" s="157">
        <f t="shared" si="13"/>
        <v>0</v>
      </c>
      <c r="W67" s="157">
        <f t="shared" si="13"/>
        <v>0</v>
      </c>
      <c r="X67" s="157">
        <f t="shared" si="13"/>
        <v>0</v>
      </c>
      <c r="Y67" s="157">
        <f t="shared" si="13"/>
        <v>0</v>
      </c>
      <c r="Z67" s="157">
        <f t="shared" si="13"/>
        <v>0</v>
      </c>
      <c r="AA67" s="157">
        <f t="shared" si="13"/>
        <v>0</v>
      </c>
      <c r="AB67" s="157">
        <f t="shared" si="13"/>
        <v>151.63999999999999</v>
      </c>
      <c r="AC67" s="157">
        <f t="shared" si="13"/>
        <v>6017.33</v>
      </c>
      <c r="AD67" s="414" t="s">
        <v>223</v>
      </c>
      <c r="AE67" s="203"/>
      <c r="AF67" s="16"/>
    </row>
    <row r="68" spans="1:32" ht="15.75" customHeight="1" thickTop="1" x14ac:dyDescent="0.2">
      <c r="A68" s="414" t="s">
        <v>227</v>
      </c>
      <c r="B68" s="442">
        <v>8841</v>
      </c>
      <c r="C68" s="453"/>
      <c r="D68" s="430"/>
      <c r="E68" s="427"/>
      <c r="F68" s="427"/>
      <c r="G68" s="423"/>
      <c r="H68" s="54"/>
      <c r="I68" s="55"/>
      <c r="J68" s="55"/>
      <c r="K68" s="55"/>
      <c r="L68" s="55"/>
      <c r="M68" s="55"/>
      <c r="N68" s="55"/>
      <c r="O68" s="55"/>
      <c r="P68" s="56"/>
      <c r="Q68" s="56"/>
      <c r="R68" s="193"/>
      <c r="S68" s="193"/>
      <c r="T68" s="55"/>
      <c r="U68" s="55"/>
      <c r="V68" s="55"/>
      <c r="W68" s="55"/>
      <c r="X68" s="55"/>
      <c r="Y68" s="55"/>
      <c r="Z68" s="55"/>
      <c r="AA68" s="55"/>
      <c r="AB68" s="56"/>
      <c r="AC68" s="55"/>
      <c r="AD68" s="414" t="s">
        <v>227</v>
      </c>
      <c r="AE68" s="203"/>
      <c r="AF68" s="16"/>
    </row>
    <row r="69" spans="1:32" ht="15.75" customHeight="1" x14ac:dyDescent="0.2">
      <c r="A69" s="414" t="s">
        <v>228</v>
      </c>
      <c r="B69" s="376" t="s">
        <v>173</v>
      </c>
      <c r="C69" s="422" t="s">
        <v>281</v>
      </c>
      <c r="D69" s="926" t="s">
        <v>253</v>
      </c>
      <c r="E69" s="884"/>
      <c r="F69" s="242">
        <v>11</v>
      </c>
      <c r="G69" s="423">
        <f>ROUND(7582/22,2)</f>
        <v>344.64</v>
      </c>
      <c r="H69" s="54">
        <f>G69*F69</f>
        <v>3791.04</v>
      </c>
      <c r="I69" s="55">
        <v>0</v>
      </c>
      <c r="J69" s="55"/>
      <c r="K69" s="55"/>
      <c r="L69" s="55"/>
      <c r="M69" s="55" t="s">
        <v>37</v>
      </c>
      <c r="N69" s="55">
        <v>1220.49</v>
      </c>
      <c r="O69" s="55"/>
      <c r="P69" s="56">
        <v>100</v>
      </c>
      <c r="Q69" s="56">
        <f>P69</f>
        <v>100</v>
      </c>
      <c r="R69" s="193">
        <v>682.37</v>
      </c>
      <c r="S69" s="193">
        <v>909.84</v>
      </c>
      <c r="T69" s="55">
        <v>0</v>
      </c>
      <c r="U69" s="55">
        <v>20</v>
      </c>
      <c r="V69" s="55">
        <v>0</v>
      </c>
      <c r="W69" s="55"/>
      <c r="X69" s="55"/>
      <c r="Y69" s="55"/>
      <c r="Z69" s="55"/>
      <c r="AA69" s="55"/>
      <c r="AB69" s="56">
        <v>75.819999999999993</v>
      </c>
      <c r="AC69" s="55">
        <f>H69-(SUM(I69:P69)+R69+SUM(T69:AA69))</f>
        <v>1768.1799999999998</v>
      </c>
      <c r="AD69" s="414" t="s">
        <v>228</v>
      </c>
      <c r="AE69" s="203"/>
      <c r="AF69" s="16"/>
    </row>
    <row r="70" spans="1:32" ht="15.75" customHeight="1" thickBot="1" x14ac:dyDescent="0.25">
      <c r="A70" s="414" t="s">
        <v>229</v>
      </c>
      <c r="B70" s="375" t="s">
        <v>37</v>
      </c>
      <c r="C70" s="453" t="s">
        <v>37</v>
      </c>
      <c r="D70" s="430"/>
      <c r="E70" s="427"/>
      <c r="F70" s="427"/>
      <c r="G70" s="423"/>
      <c r="H70" s="439">
        <f>SUM(H69)</f>
        <v>3791.04</v>
      </c>
      <c r="I70" s="439">
        <f t="shared" ref="I70:AC70" si="14">SUM(I69)</f>
        <v>0</v>
      </c>
      <c r="J70" s="439">
        <f t="shared" si="14"/>
        <v>0</v>
      </c>
      <c r="K70" s="439">
        <f t="shared" si="14"/>
        <v>0</v>
      </c>
      <c r="L70" s="439">
        <f t="shared" si="14"/>
        <v>0</v>
      </c>
      <c r="M70" s="439">
        <f t="shared" si="14"/>
        <v>0</v>
      </c>
      <c r="N70" s="439">
        <f t="shared" si="14"/>
        <v>1220.49</v>
      </c>
      <c r="O70" s="439">
        <f t="shared" si="14"/>
        <v>0</v>
      </c>
      <c r="P70" s="439">
        <f t="shared" si="14"/>
        <v>100</v>
      </c>
      <c r="Q70" s="439">
        <f t="shared" si="14"/>
        <v>100</v>
      </c>
      <c r="R70" s="440">
        <f t="shared" si="14"/>
        <v>682.37</v>
      </c>
      <c r="S70" s="440">
        <f t="shared" si="14"/>
        <v>909.84</v>
      </c>
      <c r="T70" s="439">
        <f t="shared" si="14"/>
        <v>0</v>
      </c>
      <c r="U70" s="439">
        <f t="shared" si="14"/>
        <v>20</v>
      </c>
      <c r="V70" s="439">
        <f t="shared" si="14"/>
        <v>0</v>
      </c>
      <c r="W70" s="439">
        <f t="shared" si="14"/>
        <v>0</v>
      </c>
      <c r="X70" s="439">
        <f t="shared" si="14"/>
        <v>0</v>
      </c>
      <c r="Y70" s="439">
        <f t="shared" si="14"/>
        <v>0</v>
      </c>
      <c r="Z70" s="439">
        <f t="shared" si="14"/>
        <v>0</v>
      </c>
      <c r="AA70" s="439">
        <f t="shared" si="14"/>
        <v>0</v>
      </c>
      <c r="AB70" s="439">
        <f t="shared" si="14"/>
        <v>75.819999999999993</v>
      </c>
      <c r="AC70" s="439">
        <f t="shared" si="14"/>
        <v>1768.1799999999998</v>
      </c>
      <c r="AD70" s="414" t="s">
        <v>229</v>
      </c>
      <c r="AE70" s="203" t="s">
        <v>37</v>
      </c>
      <c r="AF70" s="16"/>
    </row>
    <row r="71" spans="1:32" ht="15.75" customHeight="1" thickTop="1" x14ac:dyDescent="0.2">
      <c r="A71" s="414" t="s">
        <v>246</v>
      </c>
      <c r="B71" s="442">
        <v>8852</v>
      </c>
      <c r="C71" s="453" t="s">
        <v>37</v>
      </c>
      <c r="D71" s="454" t="s">
        <v>37</v>
      </c>
      <c r="E71" s="32" t="s">
        <v>37</v>
      </c>
      <c r="F71" s="443"/>
      <c r="G71" s="196"/>
      <c r="H71" s="57"/>
      <c r="I71" s="55"/>
      <c r="J71" s="55"/>
      <c r="K71" s="55"/>
      <c r="L71" s="55"/>
      <c r="M71" s="55"/>
      <c r="N71" s="55"/>
      <c r="O71" s="55"/>
      <c r="P71" s="55"/>
      <c r="Q71" s="55"/>
      <c r="R71" s="197"/>
      <c r="S71" s="197"/>
      <c r="T71" s="55"/>
      <c r="U71" s="55"/>
      <c r="V71" s="55"/>
      <c r="W71" s="55"/>
      <c r="X71" s="55"/>
      <c r="Y71" s="55"/>
      <c r="Z71" s="55" t="s">
        <v>37</v>
      </c>
      <c r="AA71" s="55"/>
      <c r="AB71" s="55"/>
      <c r="AC71" s="55"/>
      <c r="AD71" s="414" t="s">
        <v>246</v>
      </c>
      <c r="AE71" s="204" t="s">
        <v>37</v>
      </c>
      <c r="AF71" s="20" t="s">
        <v>37</v>
      </c>
    </row>
    <row r="72" spans="1:32" ht="15.75" customHeight="1" x14ac:dyDescent="0.2">
      <c r="A72" s="414" t="s">
        <v>266</v>
      </c>
      <c r="B72" s="375" t="s">
        <v>278</v>
      </c>
      <c r="C72" s="422" t="s">
        <v>281</v>
      </c>
      <c r="D72" s="926" t="s">
        <v>253</v>
      </c>
      <c r="E72" s="884"/>
      <c r="F72" s="242">
        <v>11</v>
      </c>
      <c r="G72" s="423">
        <f>ROUND(7582/22,2)</f>
        <v>344.64</v>
      </c>
      <c r="H72" s="54">
        <f>G72*F72</f>
        <v>3791.04</v>
      </c>
      <c r="I72" s="56">
        <v>0</v>
      </c>
      <c r="J72" s="56"/>
      <c r="K72" s="56"/>
      <c r="L72" s="56"/>
      <c r="M72" s="56" t="s">
        <v>37</v>
      </c>
      <c r="N72" s="56">
        <v>0</v>
      </c>
      <c r="O72" s="56"/>
      <c r="P72" s="56">
        <v>100</v>
      </c>
      <c r="Q72" s="56">
        <f>P72</f>
        <v>100</v>
      </c>
      <c r="R72" s="193">
        <v>682.37</v>
      </c>
      <c r="S72" s="193">
        <v>909.84</v>
      </c>
      <c r="T72" s="56">
        <v>0</v>
      </c>
      <c r="U72" s="56"/>
      <c r="V72" s="56">
        <v>0</v>
      </c>
      <c r="W72" s="56" t="s">
        <v>37</v>
      </c>
      <c r="X72" s="56"/>
      <c r="Y72" s="56" t="s">
        <v>37</v>
      </c>
      <c r="Z72" s="56"/>
      <c r="AA72" s="56">
        <v>0</v>
      </c>
      <c r="AB72" s="56">
        <v>75.819999999999993</v>
      </c>
      <c r="AC72" s="55">
        <f>H72-(SUM(I72:P72)+R72+SUM(T72:AA72))</f>
        <v>3008.67</v>
      </c>
      <c r="AD72" s="414" t="s">
        <v>266</v>
      </c>
      <c r="AE72" s="203" t="s">
        <v>37</v>
      </c>
      <c r="AF72" s="16"/>
    </row>
    <row r="73" spans="1:32" ht="15.75" customHeight="1" x14ac:dyDescent="0.2">
      <c r="A73" s="414" t="s">
        <v>270</v>
      </c>
      <c r="B73" s="455" t="s">
        <v>273</v>
      </c>
      <c r="C73" s="422" t="s">
        <v>281</v>
      </c>
      <c r="D73" s="926" t="s">
        <v>253</v>
      </c>
      <c r="E73" s="884"/>
      <c r="F73" s="242">
        <v>11</v>
      </c>
      <c r="G73" s="423">
        <f>ROUND(7582/22,2)</f>
        <v>344.64</v>
      </c>
      <c r="H73" s="54">
        <f>G73*F73</f>
        <v>3791.04</v>
      </c>
      <c r="I73" s="56">
        <v>0</v>
      </c>
      <c r="J73" s="56"/>
      <c r="K73" s="56"/>
      <c r="L73" s="56">
        <v>0</v>
      </c>
      <c r="M73" s="56"/>
      <c r="N73" s="56">
        <v>0</v>
      </c>
      <c r="O73" s="56">
        <v>0</v>
      </c>
      <c r="P73" s="56">
        <v>100</v>
      </c>
      <c r="Q73" s="56">
        <f>P73</f>
        <v>100</v>
      </c>
      <c r="R73" s="193">
        <v>682.37</v>
      </c>
      <c r="S73" s="193">
        <v>909.84</v>
      </c>
      <c r="T73" s="56">
        <v>0</v>
      </c>
      <c r="U73" s="56">
        <v>0</v>
      </c>
      <c r="V73" s="56">
        <v>0</v>
      </c>
      <c r="W73" s="56"/>
      <c r="X73" s="56"/>
      <c r="Y73" s="56"/>
      <c r="Z73" s="56">
        <v>0</v>
      </c>
      <c r="AA73" s="56">
        <v>0</v>
      </c>
      <c r="AB73" s="56">
        <v>75.819999999999993</v>
      </c>
      <c r="AC73" s="56">
        <f>H73-(SUM(I73:P73)+R73+SUM(T73:AA73))</f>
        <v>3008.67</v>
      </c>
      <c r="AD73" s="414" t="s">
        <v>270</v>
      </c>
      <c r="AE73" s="203"/>
      <c r="AF73" s="16"/>
    </row>
    <row r="74" spans="1:32" ht="15.75" customHeight="1" thickBot="1" x14ac:dyDescent="0.25">
      <c r="A74" s="414" t="s">
        <v>271</v>
      </c>
      <c r="B74" s="375" t="s">
        <v>37</v>
      </c>
      <c r="C74" s="453" t="s">
        <v>37</v>
      </c>
      <c r="D74" s="454" t="s">
        <v>37</v>
      </c>
      <c r="E74" s="32" t="s">
        <v>37</v>
      </c>
      <c r="F74" s="32"/>
      <c r="G74" s="423"/>
      <c r="H74" s="439">
        <f t="shared" ref="H74:AC74" si="15">SUM(H72:H73)</f>
        <v>7582.08</v>
      </c>
      <c r="I74" s="439">
        <f t="shared" si="15"/>
        <v>0</v>
      </c>
      <c r="J74" s="439">
        <f t="shared" si="15"/>
        <v>0</v>
      </c>
      <c r="K74" s="439">
        <f t="shared" si="15"/>
        <v>0</v>
      </c>
      <c r="L74" s="439">
        <f t="shared" si="15"/>
        <v>0</v>
      </c>
      <c r="M74" s="439">
        <f t="shared" si="15"/>
        <v>0</v>
      </c>
      <c r="N74" s="439">
        <f t="shared" si="15"/>
        <v>0</v>
      </c>
      <c r="O74" s="439">
        <f t="shared" si="15"/>
        <v>0</v>
      </c>
      <c r="P74" s="439">
        <f t="shared" si="15"/>
        <v>200</v>
      </c>
      <c r="Q74" s="439">
        <f t="shared" si="15"/>
        <v>200</v>
      </c>
      <c r="R74" s="440">
        <f t="shared" si="15"/>
        <v>1364.74</v>
      </c>
      <c r="S74" s="440">
        <f t="shared" si="15"/>
        <v>1819.68</v>
      </c>
      <c r="T74" s="439">
        <f t="shared" si="15"/>
        <v>0</v>
      </c>
      <c r="U74" s="439">
        <f t="shared" si="15"/>
        <v>0</v>
      </c>
      <c r="V74" s="439">
        <f t="shared" si="15"/>
        <v>0</v>
      </c>
      <c r="W74" s="439">
        <f t="shared" si="15"/>
        <v>0</v>
      </c>
      <c r="X74" s="439">
        <f t="shared" si="15"/>
        <v>0</v>
      </c>
      <c r="Y74" s="439">
        <f t="shared" si="15"/>
        <v>0</v>
      </c>
      <c r="Z74" s="439">
        <f t="shared" si="15"/>
        <v>0</v>
      </c>
      <c r="AA74" s="439">
        <f t="shared" si="15"/>
        <v>0</v>
      </c>
      <c r="AB74" s="439">
        <f t="shared" si="15"/>
        <v>151.63999999999999</v>
      </c>
      <c r="AC74" s="439">
        <f t="shared" si="15"/>
        <v>6017.34</v>
      </c>
      <c r="AD74" s="414" t="s">
        <v>271</v>
      </c>
      <c r="AE74" s="203"/>
      <c r="AF74" s="16"/>
    </row>
    <row r="75" spans="1:32" ht="17.25" customHeight="1" thickTop="1" thickBot="1" x14ac:dyDescent="0.25">
      <c r="A75" s="414" t="s">
        <v>286</v>
      </c>
      <c r="B75" s="31"/>
      <c r="C75" s="34"/>
      <c r="D75" s="34"/>
      <c r="E75" s="34"/>
      <c r="F75" s="34"/>
      <c r="G75" s="199"/>
      <c r="H75" s="157">
        <f>H74+H70+H67+H63+H60+H57+H53+H49+H45+H41+H34+H27+H23+H20+H17</f>
        <v>126482.87999999999</v>
      </c>
      <c r="I75" s="157">
        <f t="shared" ref="I75:AC75" si="16">I74+I70+I67+I63+I60+I57+I53+I49+I45+I41+I34+I27+I23+I20+I17</f>
        <v>0</v>
      </c>
      <c r="J75" s="157">
        <f t="shared" si="16"/>
        <v>0</v>
      </c>
      <c r="K75" s="157">
        <f t="shared" si="16"/>
        <v>0</v>
      </c>
      <c r="L75" s="157">
        <f t="shared" si="16"/>
        <v>1638.8999999999999</v>
      </c>
      <c r="M75" s="157" t="e">
        <f t="shared" si="16"/>
        <v>#VALUE!</v>
      </c>
      <c r="N75" s="157">
        <f t="shared" si="16"/>
        <v>4271.75</v>
      </c>
      <c r="O75" s="157">
        <f t="shared" si="16"/>
        <v>200</v>
      </c>
      <c r="P75" s="157">
        <f t="shared" si="16"/>
        <v>3300</v>
      </c>
      <c r="Q75" s="157">
        <f t="shared" si="16"/>
        <v>3300</v>
      </c>
      <c r="R75" s="157">
        <f t="shared" si="16"/>
        <v>22518.500000000004</v>
      </c>
      <c r="S75" s="157">
        <f t="shared" si="16"/>
        <v>30024.720000000001</v>
      </c>
      <c r="T75" s="157">
        <f t="shared" si="16"/>
        <v>346.57</v>
      </c>
      <c r="U75" s="157">
        <f t="shared" si="16"/>
        <v>80</v>
      </c>
      <c r="V75" s="157">
        <f t="shared" si="16"/>
        <v>0</v>
      </c>
      <c r="W75" s="157">
        <f t="shared" si="16"/>
        <v>0</v>
      </c>
      <c r="X75" s="157">
        <f t="shared" si="16"/>
        <v>0</v>
      </c>
      <c r="Y75" s="157">
        <f t="shared" si="16"/>
        <v>0</v>
      </c>
      <c r="Z75" s="157">
        <f t="shared" si="16"/>
        <v>3598.38</v>
      </c>
      <c r="AA75" s="157">
        <f t="shared" si="16"/>
        <v>0</v>
      </c>
      <c r="AB75" s="157">
        <f t="shared" si="16"/>
        <v>2502.0599999999995</v>
      </c>
      <c r="AC75" s="157">
        <f t="shared" si="16"/>
        <v>90528.78</v>
      </c>
      <c r="AD75" s="414" t="s">
        <v>286</v>
      </c>
      <c r="AE75" s="206"/>
      <c r="AF75" s="49"/>
    </row>
    <row r="76" spans="1:32" ht="12" thickTop="1" x14ac:dyDescent="0.2">
      <c r="H76" s="35"/>
      <c r="L76" s="35"/>
      <c r="O76" s="35"/>
      <c r="P76" s="35"/>
      <c r="R76" s="175"/>
      <c r="S76" s="175"/>
      <c r="U76" s="35"/>
      <c r="Z76" s="35"/>
      <c r="AA76" s="35"/>
      <c r="AB76" s="35"/>
      <c r="AE76" s="18"/>
    </row>
    <row r="77" spans="1:32" ht="15" customHeight="1" x14ac:dyDescent="0.2">
      <c r="C77" s="1" t="s">
        <v>37</v>
      </c>
      <c r="G77" s="176" t="s">
        <v>37</v>
      </c>
      <c r="H77" s="35"/>
      <c r="N77" s="35" t="s">
        <v>37</v>
      </c>
      <c r="P77" s="1" t="s">
        <v>37</v>
      </c>
      <c r="R77" s="176" t="s">
        <v>37</v>
      </c>
      <c r="S77" s="176" t="s">
        <v>37</v>
      </c>
      <c r="V77" s="35"/>
      <c r="AB77" s="826" t="s">
        <v>48</v>
      </c>
      <c r="AC77" s="826"/>
      <c r="AD77" s="826"/>
      <c r="AE77" s="826"/>
    </row>
    <row r="78" spans="1:32" ht="11.25" customHeight="1" x14ac:dyDescent="0.2">
      <c r="A78" s="889" t="s">
        <v>49</v>
      </c>
      <c r="B78" s="889"/>
      <c r="C78" s="889"/>
      <c r="D78" s="889"/>
      <c r="E78" s="889"/>
      <c r="F78" s="889"/>
      <c r="G78" s="889"/>
      <c r="I78" s="1" t="s">
        <v>50</v>
      </c>
      <c r="N78" s="35"/>
      <c r="Q78" s="35"/>
      <c r="R78" s="175"/>
      <c r="S78" s="175"/>
      <c r="Z78" s="35"/>
      <c r="AB78" s="826"/>
      <c r="AC78" s="826"/>
      <c r="AD78" s="826"/>
      <c r="AE78" s="826"/>
    </row>
    <row r="79" spans="1:32" ht="11.25" customHeight="1" x14ac:dyDescent="0.2">
      <c r="A79" s="889"/>
      <c r="B79" s="889"/>
      <c r="C79" s="889"/>
      <c r="D79" s="889"/>
      <c r="E79" s="889"/>
      <c r="F79" s="889"/>
      <c r="G79" s="889"/>
      <c r="AB79" s="826"/>
      <c r="AC79" s="826"/>
      <c r="AD79" s="826"/>
      <c r="AE79" s="826"/>
    </row>
    <row r="80" spans="1:32" ht="15.75" x14ac:dyDescent="0.25">
      <c r="A80" s="889"/>
      <c r="B80" s="889"/>
      <c r="C80" s="889"/>
      <c r="D80" s="889"/>
      <c r="E80" s="889"/>
      <c r="F80" s="889"/>
      <c r="G80" s="889"/>
      <c r="J80" s="835" t="s">
        <v>200</v>
      </c>
      <c r="K80" s="835"/>
      <c r="L80" s="835"/>
      <c r="M80" s="835"/>
      <c r="N80" s="835"/>
      <c r="O80" s="835"/>
      <c r="Q80" s="1" t="s">
        <v>37</v>
      </c>
      <c r="AB80" s="826"/>
      <c r="AC80" s="826"/>
      <c r="AD80" s="826"/>
      <c r="AE80" s="826"/>
    </row>
    <row r="81" spans="1:32" ht="12.75" x14ac:dyDescent="0.2">
      <c r="J81" s="824" t="s">
        <v>171</v>
      </c>
      <c r="K81" s="824"/>
      <c r="L81" s="824"/>
      <c r="M81" s="824"/>
      <c r="N81" s="824"/>
      <c r="O81" s="824"/>
      <c r="AB81"/>
      <c r="AC81"/>
      <c r="AD81"/>
      <c r="AE81"/>
    </row>
    <row r="82" spans="1:32" ht="15" x14ac:dyDescent="0.25">
      <c r="D82" s="891" t="s">
        <v>200</v>
      </c>
      <c r="E82" s="891"/>
      <c r="F82" s="891"/>
      <c r="G82" s="891"/>
      <c r="H82" s="892"/>
      <c r="J82" s="824" t="s">
        <v>51</v>
      </c>
      <c r="K82" s="824"/>
      <c r="L82" s="824"/>
      <c r="M82" s="824"/>
      <c r="N82" s="824"/>
      <c r="O82" s="824"/>
      <c r="AB82"/>
      <c r="AC82"/>
      <c r="AD82"/>
      <c r="AE82"/>
    </row>
    <row r="83" spans="1:32" ht="12.75" customHeight="1" x14ac:dyDescent="0.2">
      <c r="D83" s="829" t="s">
        <v>171</v>
      </c>
      <c r="E83" s="829"/>
      <c r="F83" s="829"/>
      <c r="G83" s="829"/>
      <c r="H83" s="830"/>
      <c r="AB83" s="825" t="s">
        <v>55</v>
      </c>
      <c r="AC83" s="825"/>
      <c r="AD83" s="825"/>
      <c r="AE83" s="825"/>
    </row>
    <row r="84" spans="1:32" x14ac:dyDescent="0.2">
      <c r="AB84" s="825"/>
      <c r="AC84" s="825"/>
      <c r="AD84" s="825"/>
      <c r="AE84" s="825"/>
    </row>
    <row r="85" spans="1:32" ht="11.25" customHeight="1" x14ac:dyDescent="0.2">
      <c r="A85" s="17" t="s">
        <v>52</v>
      </c>
      <c r="AB85" s="825"/>
      <c r="AC85" s="825"/>
      <c r="AD85" s="825"/>
      <c r="AE85" s="825"/>
    </row>
    <row r="86" spans="1:32" ht="11.25" customHeight="1" x14ac:dyDescent="0.2">
      <c r="E86" s="1" t="s">
        <v>53</v>
      </c>
      <c r="AB86" s="825"/>
      <c r="AC86" s="825"/>
      <c r="AD86" s="825"/>
      <c r="AE86" s="825"/>
    </row>
    <row r="87" spans="1:32" ht="11.25" customHeight="1" x14ac:dyDescent="0.2">
      <c r="AB87" s="249"/>
      <c r="AC87" s="249"/>
      <c r="AD87" s="249"/>
      <c r="AE87" s="249"/>
    </row>
    <row r="88" spans="1:32" ht="11.25" customHeight="1" x14ac:dyDescent="0.2">
      <c r="A88" s="17" t="s">
        <v>54</v>
      </c>
      <c r="AB88" s="249"/>
      <c r="AC88" s="249"/>
      <c r="AD88" s="249"/>
      <c r="AE88" s="249"/>
      <c r="AF88" s="19" t="s">
        <v>53</v>
      </c>
    </row>
    <row r="89" spans="1:32" ht="11.25" customHeight="1" x14ac:dyDescent="0.2">
      <c r="C89" s="1" t="s">
        <v>56</v>
      </c>
      <c r="E89" s="1" t="s">
        <v>57</v>
      </c>
      <c r="AB89" s="249"/>
      <c r="AC89" s="249"/>
      <c r="AD89" s="249"/>
      <c r="AE89" s="249"/>
    </row>
    <row r="90" spans="1:32" ht="11.25" customHeight="1" x14ac:dyDescent="0.2">
      <c r="AB90" s="104"/>
      <c r="AC90" s="104"/>
      <c r="AD90" s="104"/>
      <c r="AE90" s="104"/>
    </row>
    <row r="91" spans="1:32" ht="11.25" customHeight="1" x14ac:dyDescent="0.2">
      <c r="AB91" s="104"/>
      <c r="AC91" s="104"/>
      <c r="AD91" s="104"/>
      <c r="AE91" s="104"/>
    </row>
    <row r="94" spans="1:32" x14ac:dyDescent="0.2">
      <c r="C94" s="17"/>
    </row>
  </sheetData>
  <mergeCells count="81">
    <mergeCell ref="D36:E36"/>
    <mergeCell ref="D40:E40"/>
    <mergeCell ref="D30:E30"/>
    <mergeCell ref="D32:E32"/>
    <mergeCell ref="D51:E51"/>
    <mergeCell ref="D48:E48"/>
    <mergeCell ref="D37:E37"/>
    <mergeCell ref="D31:E31"/>
    <mergeCell ref="D33:E33"/>
    <mergeCell ref="D38:E38"/>
    <mergeCell ref="D39:E39"/>
    <mergeCell ref="A1:AF1"/>
    <mergeCell ref="A2:AF3"/>
    <mergeCell ref="A4:A7"/>
    <mergeCell ref="B4:B9"/>
    <mergeCell ref="C4:C9"/>
    <mergeCell ref="AC5:AC9"/>
    <mergeCell ref="AD5:AD9"/>
    <mergeCell ref="M6:M9"/>
    <mergeCell ref="N6:N7"/>
    <mergeCell ref="O6:O7"/>
    <mergeCell ref="R6:U6"/>
    <mergeCell ref="X6:X8"/>
    <mergeCell ref="G6:G7"/>
    <mergeCell ref="L5:L8"/>
    <mergeCell ref="N5:V5"/>
    <mergeCell ref="D6:D9"/>
    <mergeCell ref="H4:H7"/>
    <mergeCell ref="I4:W4"/>
    <mergeCell ref="I5:I8"/>
    <mergeCell ref="J5:J8"/>
    <mergeCell ref="K5:K8"/>
    <mergeCell ref="W7:W8"/>
    <mergeCell ref="AF6:AF8"/>
    <mergeCell ref="P7:P8"/>
    <mergeCell ref="Q7:Q8"/>
    <mergeCell ref="R7:U7"/>
    <mergeCell ref="V7:V8"/>
    <mergeCell ref="Z5:AA8"/>
    <mergeCell ref="AE6:AE8"/>
    <mergeCell ref="Y6:Y8"/>
    <mergeCell ref="P6:Q6"/>
    <mergeCell ref="AB7:AB8"/>
    <mergeCell ref="S8:S9"/>
    <mergeCell ref="T8:T9"/>
    <mergeCell ref="R8:R9"/>
    <mergeCell ref="U8:U9"/>
    <mergeCell ref="D4:E5"/>
    <mergeCell ref="G4:G5"/>
    <mergeCell ref="D12:E12"/>
    <mergeCell ref="D29:E29"/>
    <mergeCell ref="D22:E22"/>
    <mergeCell ref="D25:E25"/>
    <mergeCell ref="D13:E13"/>
    <mergeCell ref="D14:E14"/>
    <mergeCell ref="D19:E19"/>
    <mergeCell ref="D16:E16"/>
    <mergeCell ref="D26:E26"/>
    <mergeCell ref="F8:F9"/>
    <mergeCell ref="D15:E15"/>
    <mergeCell ref="E6:E9"/>
    <mergeCell ref="D56:E56"/>
    <mergeCell ref="D62:E62"/>
    <mergeCell ref="D69:E69"/>
    <mergeCell ref="D43:E43"/>
    <mergeCell ref="D73:E73"/>
    <mergeCell ref="D44:E44"/>
    <mergeCell ref="D52:E52"/>
    <mergeCell ref="D72:E72"/>
    <mergeCell ref="D66:E66"/>
    <mergeCell ref="D55:E55"/>
    <mergeCell ref="D59:E59"/>
    <mergeCell ref="D65:E65"/>
    <mergeCell ref="AB83:AE86"/>
    <mergeCell ref="A78:G80"/>
    <mergeCell ref="J80:O80"/>
    <mergeCell ref="D83:H83"/>
    <mergeCell ref="D82:H82"/>
    <mergeCell ref="J82:O82"/>
    <mergeCell ref="J81:O81"/>
    <mergeCell ref="AB77:AE80"/>
  </mergeCells>
  <phoneticPr fontId="23" type="noConversion"/>
  <pageMargins left="0.94" right="0.45" top="0.19" bottom="0.17" header="0.19" footer="0.14000000000000001"/>
  <pageSetup paperSize="8" scale="60" orientation="landscape" verticalDpi="300" r:id="rId1"/>
  <headerFooter alignWithMargins="0">
    <oddFooter>&amp;C&amp;P</oddFoot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FFF00"/>
  </sheetPr>
  <dimension ref="A1:AK91"/>
  <sheetViews>
    <sheetView zoomScale="80" zoomScaleNormal="80" zoomScaleSheetLayoutView="100" workbookViewId="0">
      <pane xSplit="8" ySplit="8" topLeftCell="I9" activePane="bottomRight" state="frozen"/>
      <selection pane="topRight" activeCell="I1" sqref="I1"/>
      <selection pane="bottomLeft" activeCell="A9" sqref="A9"/>
      <selection pane="bottomRight" sqref="A1:XFD1048576"/>
    </sheetView>
  </sheetViews>
  <sheetFormatPr defaultColWidth="9.140625" defaultRowHeight="11.25" x14ac:dyDescent="0.2"/>
  <cols>
    <col min="1" max="1" width="3.28515625" style="105" customWidth="1"/>
    <col min="2" max="2" width="26.140625" style="17" customWidth="1"/>
    <col min="3" max="3" width="14" style="1" customWidth="1"/>
    <col min="4" max="4" width="7" style="1" customWidth="1"/>
    <col min="5" max="5" width="8" style="1" customWidth="1"/>
    <col min="6" max="6" width="3.85546875" style="105" customWidth="1"/>
    <col min="7" max="7" width="9.5703125" style="176" customWidth="1"/>
    <col min="8" max="8" width="13.5703125" style="1" customWidth="1"/>
    <col min="9" max="9" width="13.85546875" style="1" customWidth="1"/>
    <col min="10" max="10" width="5.5703125" style="1" hidden="1" customWidth="1"/>
    <col min="11" max="11" width="5" style="1" hidden="1" customWidth="1"/>
    <col min="12" max="12" width="11" style="1" customWidth="1"/>
    <col min="13" max="13" width="4.7109375" style="1" hidden="1" customWidth="1"/>
    <col min="14" max="14" width="11.85546875" style="1" customWidth="1"/>
    <col min="15" max="15" width="11" style="1" customWidth="1"/>
    <col min="16" max="16" width="9.7109375" style="1" hidden="1" customWidth="1"/>
    <col min="17" max="17" width="9.28515625" style="1" hidden="1" customWidth="1"/>
    <col min="18" max="18" width="11.7109375" style="176" customWidth="1"/>
    <col min="19" max="19" width="11.5703125" style="176" customWidth="1"/>
    <col min="20" max="20" width="10.85546875" style="1" customWidth="1"/>
    <col min="21" max="21" width="10.42578125" style="1" customWidth="1"/>
    <col min="22" max="22" width="10.5703125" style="1" customWidth="1"/>
    <col min="23" max="23" width="9.140625" style="1" customWidth="1"/>
    <col min="24" max="24" width="9.28515625" style="1" customWidth="1"/>
    <col min="25" max="25" width="10.140625" style="1" customWidth="1"/>
    <col min="26" max="26" width="8.42578125" style="1" customWidth="1"/>
    <col min="27" max="27" width="0.140625" style="1" hidden="1" customWidth="1"/>
    <col min="28" max="28" width="9.140625" style="1" customWidth="1"/>
    <col min="29" max="29" width="11.28515625" style="1" customWidth="1"/>
    <col min="30" max="30" width="6.28515625" style="1" hidden="1" customWidth="1"/>
    <col min="31" max="31" width="7" style="18" customWidth="1"/>
    <col min="32" max="32" width="14" style="1" customWidth="1"/>
    <col min="33" max="33" width="3.5703125" style="1" customWidth="1"/>
    <col min="34" max="34" width="26.42578125" style="1" customWidth="1"/>
    <col min="35" max="35" width="12.85546875" style="1" customWidth="1"/>
    <col min="36" max="36" width="9.140625" style="1"/>
    <col min="37" max="37" width="24.140625" style="1" customWidth="1"/>
    <col min="38" max="16384" width="9.140625" style="1"/>
  </cols>
  <sheetData>
    <row r="1" spans="1:37" ht="24" customHeight="1"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3"/>
      <c r="AI1" s="863"/>
    </row>
    <row r="2" spans="1:37" ht="11.25" customHeight="1" x14ac:dyDescent="0.2">
      <c r="A2" s="864" t="s">
        <v>164</v>
      </c>
      <c r="B2" s="864"/>
      <c r="C2" s="864"/>
      <c r="D2" s="864"/>
      <c r="E2" s="864"/>
      <c r="F2" s="864"/>
      <c r="G2" s="864"/>
      <c r="H2" s="864"/>
      <c r="I2" s="864"/>
      <c r="J2" s="864"/>
      <c r="K2" s="864"/>
      <c r="L2" s="864"/>
      <c r="M2" s="864"/>
      <c r="N2" s="864"/>
      <c r="O2" s="864"/>
      <c r="P2" s="864"/>
      <c r="Q2" s="864"/>
      <c r="R2" s="864"/>
      <c r="S2" s="864"/>
      <c r="T2" s="864"/>
      <c r="U2" s="864"/>
      <c r="V2" s="864"/>
      <c r="W2" s="864"/>
      <c r="X2" s="864"/>
      <c r="Y2" s="864"/>
      <c r="Z2" s="864"/>
      <c r="AA2" s="864"/>
      <c r="AB2" s="864"/>
      <c r="AC2" s="864"/>
      <c r="AD2" s="864"/>
      <c r="AE2" s="864"/>
      <c r="AF2" s="864"/>
      <c r="AG2" s="864"/>
      <c r="AH2" s="864"/>
      <c r="AI2" s="864"/>
    </row>
    <row r="3" spans="1:37" ht="21.75" customHeight="1" thickBot="1" x14ac:dyDescent="0.25">
      <c r="A3" s="865"/>
      <c r="B3" s="865"/>
      <c r="C3" s="865"/>
      <c r="D3" s="865"/>
      <c r="E3" s="865"/>
      <c r="F3" s="865"/>
      <c r="G3" s="865"/>
      <c r="H3" s="865"/>
      <c r="I3" s="865"/>
      <c r="J3" s="865"/>
      <c r="K3" s="865"/>
      <c r="L3" s="865"/>
      <c r="M3" s="865"/>
      <c r="N3" s="865"/>
      <c r="O3" s="865"/>
      <c r="P3" s="865"/>
      <c r="Q3" s="865"/>
      <c r="R3" s="865"/>
      <c r="S3" s="865"/>
      <c r="T3" s="865"/>
      <c r="U3" s="865"/>
      <c r="V3" s="865"/>
      <c r="W3" s="865"/>
      <c r="X3" s="865"/>
      <c r="Y3" s="865"/>
      <c r="Z3" s="865"/>
      <c r="AA3" s="865"/>
      <c r="AB3" s="865"/>
      <c r="AC3" s="865"/>
      <c r="AD3" s="865"/>
      <c r="AE3" s="865"/>
      <c r="AF3" s="865"/>
      <c r="AG3" s="865"/>
      <c r="AH3" s="865"/>
      <c r="AI3" s="865"/>
    </row>
    <row r="4" spans="1:37" s="4" customFormat="1" ht="21" customHeight="1" thickTop="1" x14ac:dyDescent="0.3">
      <c r="A4" s="866" t="s">
        <v>1</v>
      </c>
      <c r="B4" s="868" t="s">
        <v>2</v>
      </c>
      <c r="C4" s="870" t="s">
        <v>3</v>
      </c>
      <c r="D4" s="871" t="s">
        <v>4</v>
      </c>
      <c r="E4" s="871"/>
      <c r="F4" s="314"/>
      <c r="G4" s="872"/>
      <c r="H4" s="866" t="s">
        <v>5</v>
      </c>
      <c r="I4" s="887" t="s">
        <v>6</v>
      </c>
      <c r="J4" s="887"/>
      <c r="K4" s="887"/>
      <c r="L4" s="887"/>
      <c r="M4" s="887"/>
      <c r="N4" s="887"/>
      <c r="O4" s="887"/>
      <c r="P4" s="887"/>
      <c r="Q4" s="887"/>
      <c r="R4" s="887"/>
      <c r="S4" s="887"/>
      <c r="T4" s="887"/>
      <c r="U4" s="887"/>
      <c r="V4" s="887"/>
      <c r="W4" s="887"/>
      <c r="X4" s="887"/>
      <c r="Y4" s="887"/>
      <c r="Z4" s="887"/>
      <c r="AA4" s="110"/>
      <c r="AB4" s="110"/>
      <c r="AC4" s="110"/>
      <c r="AD4" s="110"/>
      <c r="AE4" s="321"/>
      <c r="AF4" s="3"/>
      <c r="AG4" s="3"/>
      <c r="AH4" s="3"/>
      <c r="AI4" s="3"/>
    </row>
    <row r="5" spans="1:37" s="8" customFormat="1" ht="13.5" customHeight="1" x14ac:dyDescent="0.2">
      <c r="A5" s="867"/>
      <c r="B5" s="869"/>
      <c r="C5" s="857"/>
      <c r="D5" s="851" t="s">
        <v>7</v>
      </c>
      <c r="E5" s="852" t="s">
        <v>8</v>
      </c>
      <c r="F5" s="305"/>
      <c r="G5" s="873"/>
      <c r="H5" s="874"/>
      <c r="I5" s="915" t="s">
        <v>17</v>
      </c>
      <c r="J5" s="856" t="s">
        <v>10</v>
      </c>
      <c r="K5" s="856" t="s">
        <v>11</v>
      </c>
      <c r="L5" s="856" t="s">
        <v>160</v>
      </c>
      <c r="M5" s="111"/>
      <c r="N5" s="880" t="s">
        <v>13</v>
      </c>
      <c r="O5" s="881"/>
      <c r="P5" s="881"/>
      <c r="Q5" s="881"/>
      <c r="R5" s="881"/>
      <c r="S5" s="881"/>
      <c r="T5" s="881"/>
      <c r="U5" s="881"/>
      <c r="V5" s="881"/>
      <c r="W5" s="881"/>
      <c r="X5" s="881"/>
      <c r="Y5" s="882"/>
      <c r="Z5" s="5"/>
      <c r="AA5" s="903" t="s">
        <v>252</v>
      </c>
      <c r="AB5" s="904"/>
      <c r="AC5" s="905"/>
      <c r="AD5" s="5"/>
      <c r="AE5" s="901" t="s">
        <v>238</v>
      </c>
      <c r="AF5" s="838" t="s">
        <v>14</v>
      </c>
      <c r="AG5" s="842" t="s">
        <v>15</v>
      </c>
      <c r="AH5" s="7"/>
      <c r="AI5" s="7"/>
    </row>
    <row r="6" spans="1:37" s="8" customFormat="1" ht="10.5" customHeight="1" x14ac:dyDescent="0.2">
      <c r="A6" s="867"/>
      <c r="B6" s="869"/>
      <c r="C6" s="857"/>
      <c r="D6" s="867"/>
      <c r="E6" s="867"/>
      <c r="F6" s="309"/>
      <c r="G6" s="840" t="s">
        <v>16</v>
      </c>
      <c r="H6" s="839"/>
      <c r="I6" s="900"/>
      <c r="J6" s="859"/>
      <c r="K6" s="859"/>
      <c r="L6" s="859"/>
      <c r="M6" s="859"/>
      <c r="N6" s="851" t="s">
        <v>172</v>
      </c>
      <c r="O6" s="851" t="s">
        <v>18</v>
      </c>
      <c r="P6" s="304"/>
      <c r="Q6" s="304"/>
      <c r="R6" s="898" t="s">
        <v>231</v>
      </c>
      <c r="S6" s="899"/>
      <c r="T6" s="896" t="s">
        <v>20</v>
      </c>
      <c r="U6" s="896"/>
      <c r="V6" s="308"/>
      <c r="W6" s="308"/>
      <c r="X6" s="108"/>
      <c r="Y6" s="9"/>
      <c r="Z6" s="106"/>
      <c r="AA6" s="906"/>
      <c r="AB6" s="907"/>
      <c r="AC6" s="908"/>
      <c r="AD6" s="838"/>
      <c r="AE6" s="902"/>
      <c r="AF6" s="838"/>
      <c r="AG6" s="842"/>
      <c r="AH6" s="838" t="s">
        <v>25</v>
      </c>
      <c r="AI6" s="838" t="s">
        <v>26</v>
      </c>
    </row>
    <row r="7" spans="1:37" s="8" customFormat="1" ht="21.75" customHeight="1" x14ac:dyDescent="0.2">
      <c r="A7" s="867"/>
      <c r="B7" s="869"/>
      <c r="C7" s="857"/>
      <c r="D7" s="867"/>
      <c r="E7" s="867"/>
      <c r="F7" s="309"/>
      <c r="G7" s="841"/>
      <c r="H7" s="839"/>
      <c r="I7" s="916"/>
      <c r="J7" s="858"/>
      <c r="K7" s="858"/>
      <c r="L7" s="858"/>
      <c r="M7" s="886"/>
      <c r="N7" s="839"/>
      <c r="O7" s="839"/>
      <c r="P7" s="302"/>
      <c r="Q7" s="302"/>
      <c r="R7" s="893" t="s">
        <v>27</v>
      </c>
      <c r="S7" s="893" t="s">
        <v>28</v>
      </c>
      <c r="T7" s="895" t="s">
        <v>29</v>
      </c>
      <c r="U7" s="896"/>
      <c r="V7" s="896"/>
      <c r="W7" s="896"/>
      <c r="X7" s="897"/>
      <c r="Y7" s="838" t="s">
        <v>37</v>
      </c>
      <c r="Z7" s="827" t="s">
        <v>220</v>
      </c>
      <c r="AA7" s="909"/>
      <c r="AB7" s="910"/>
      <c r="AC7" s="911"/>
      <c r="AD7" s="838"/>
      <c r="AE7" s="322"/>
      <c r="AF7" s="838"/>
      <c r="AG7" s="842"/>
      <c r="AH7" s="839"/>
      <c r="AI7" s="838"/>
    </row>
    <row r="8" spans="1:37" s="8" customFormat="1" ht="13.5" customHeight="1" x14ac:dyDescent="0.2">
      <c r="A8" s="10"/>
      <c r="B8" s="869"/>
      <c r="C8" s="858"/>
      <c r="D8" s="11"/>
      <c r="E8" s="107"/>
      <c r="F8" s="315"/>
      <c r="G8" s="114"/>
      <c r="H8" s="114"/>
      <c r="I8" s="916"/>
      <c r="J8" s="858"/>
      <c r="K8" s="858"/>
      <c r="L8" s="858"/>
      <c r="M8" s="886"/>
      <c r="N8" s="115"/>
      <c r="O8" s="115"/>
      <c r="P8" s="912" t="s">
        <v>380</v>
      </c>
      <c r="Q8" s="913"/>
      <c r="R8" s="894"/>
      <c r="S8" s="894"/>
      <c r="T8" s="851" t="s">
        <v>27</v>
      </c>
      <c r="U8" s="851" t="s">
        <v>33</v>
      </c>
      <c r="V8" s="852" t="s">
        <v>381</v>
      </c>
      <c r="W8" s="914"/>
      <c r="X8" s="852" t="s">
        <v>31</v>
      </c>
      <c r="Y8" s="838"/>
      <c r="Z8" s="827"/>
      <c r="AA8" s="900" t="s">
        <v>37</v>
      </c>
      <c r="AB8" s="900" t="s">
        <v>30</v>
      </c>
      <c r="AC8" s="857" t="s">
        <v>23</v>
      </c>
      <c r="AD8" s="838"/>
      <c r="AE8" s="901" t="s">
        <v>32</v>
      </c>
      <c r="AF8" s="838"/>
      <c r="AG8" s="843"/>
      <c r="AH8" s="839"/>
      <c r="AI8" s="838"/>
    </row>
    <row r="9" spans="1:37" s="8" customFormat="1" ht="15.75" customHeight="1" x14ac:dyDescent="0.2">
      <c r="A9" s="10"/>
      <c r="B9" s="869"/>
      <c r="C9" s="858"/>
      <c r="D9" s="11"/>
      <c r="E9" s="107"/>
      <c r="F9" s="315"/>
      <c r="G9" s="114"/>
      <c r="H9" s="114"/>
      <c r="I9" s="7"/>
      <c r="J9" s="7"/>
      <c r="K9" s="113"/>
      <c r="L9" s="113"/>
      <c r="M9" s="886"/>
      <c r="N9" s="115"/>
      <c r="O9" s="115"/>
      <c r="P9" s="112" t="s">
        <v>378</v>
      </c>
      <c r="Q9" s="112" t="s">
        <v>379</v>
      </c>
      <c r="R9" s="186"/>
      <c r="S9" s="187" t="s">
        <v>37</v>
      </c>
      <c r="T9" s="838"/>
      <c r="U9" s="838"/>
      <c r="V9" s="112" t="s">
        <v>378</v>
      </c>
      <c r="W9" s="112" t="s">
        <v>379</v>
      </c>
      <c r="X9" s="853"/>
      <c r="Y9" s="112" t="s">
        <v>298</v>
      </c>
      <c r="Z9" s="106"/>
      <c r="AA9" s="900"/>
      <c r="AB9" s="900"/>
      <c r="AC9" s="857"/>
      <c r="AD9" s="106"/>
      <c r="AE9" s="902"/>
      <c r="AF9" s="838"/>
      <c r="AG9" s="843"/>
      <c r="AH9" s="7"/>
      <c r="AI9" s="7"/>
    </row>
    <row r="10" spans="1:37" s="15" customFormat="1" ht="9.75" customHeight="1" thickBot="1" x14ac:dyDescent="0.25">
      <c r="A10" s="13">
        <v>1</v>
      </c>
      <c r="B10" s="13">
        <v>2</v>
      </c>
      <c r="C10" s="13">
        <v>3</v>
      </c>
      <c r="D10" s="13">
        <v>4</v>
      </c>
      <c r="E10" s="13">
        <v>5</v>
      </c>
      <c r="F10" s="13"/>
      <c r="G10" s="177">
        <v>6</v>
      </c>
      <c r="H10" s="13">
        <v>7</v>
      </c>
      <c r="I10" s="13">
        <v>8</v>
      </c>
      <c r="J10" s="13">
        <v>9</v>
      </c>
      <c r="K10" s="13">
        <v>10</v>
      </c>
      <c r="L10" s="13">
        <v>9</v>
      </c>
      <c r="M10" s="13">
        <v>10</v>
      </c>
      <c r="N10" s="13">
        <v>11</v>
      </c>
      <c r="O10" s="13">
        <v>12</v>
      </c>
      <c r="P10" s="13"/>
      <c r="Q10" s="13"/>
      <c r="R10" s="177">
        <v>13</v>
      </c>
      <c r="S10" s="177">
        <v>14</v>
      </c>
      <c r="T10" s="14">
        <v>15</v>
      </c>
      <c r="U10" s="14">
        <v>17</v>
      </c>
      <c r="V10" s="13"/>
      <c r="W10" s="13"/>
      <c r="X10" s="13">
        <v>18</v>
      </c>
      <c r="Y10" s="13">
        <v>19</v>
      </c>
      <c r="Z10" s="13">
        <v>20</v>
      </c>
      <c r="AA10" s="13">
        <v>21</v>
      </c>
      <c r="AB10" s="13">
        <v>22</v>
      </c>
      <c r="AC10" s="13">
        <v>22</v>
      </c>
      <c r="AD10" s="13">
        <v>26</v>
      </c>
      <c r="AE10" s="323"/>
      <c r="AF10" s="13">
        <v>24</v>
      </c>
      <c r="AG10" s="99">
        <v>25</v>
      </c>
      <c r="AH10" s="13">
        <v>26</v>
      </c>
      <c r="AI10" s="13">
        <v>27</v>
      </c>
    </row>
    <row r="11" spans="1:37" s="15" customFormat="1" ht="15" customHeight="1" thickTop="1" x14ac:dyDescent="0.25">
      <c r="A11" s="77" t="s">
        <v>38</v>
      </c>
      <c r="B11" s="181" t="s">
        <v>348</v>
      </c>
      <c r="C11" s="79"/>
      <c r="D11" s="41"/>
      <c r="E11" s="41"/>
      <c r="F11" s="216"/>
      <c r="G11" s="178"/>
      <c r="H11" s="41"/>
      <c r="I11" s="41"/>
      <c r="J11" s="41"/>
      <c r="K11" s="41"/>
      <c r="L11" s="41"/>
      <c r="M11" s="41"/>
      <c r="N11" s="41"/>
      <c r="O11" s="41"/>
      <c r="P11" s="41"/>
      <c r="Q11" s="41"/>
      <c r="R11" s="178"/>
      <c r="S11" s="178"/>
      <c r="T11" s="42"/>
      <c r="U11" s="42"/>
      <c r="V11" s="41"/>
      <c r="W11" s="41"/>
      <c r="X11" s="41"/>
      <c r="Y11" s="41"/>
      <c r="Z11" s="41"/>
      <c r="AA11" s="41"/>
      <c r="AB11" s="41"/>
      <c r="AC11" s="41"/>
      <c r="AD11" s="41"/>
      <c r="AE11" s="324"/>
      <c r="AF11" s="41"/>
      <c r="AG11" s="77" t="s">
        <v>38</v>
      </c>
      <c r="AH11" s="74"/>
      <c r="AI11" s="22"/>
    </row>
    <row r="12" spans="1:37" s="15" customFormat="1" ht="12.75" customHeight="1" x14ac:dyDescent="0.35">
      <c r="A12" s="77" t="s">
        <v>127</v>
      </c>
      <c r="B12" s="86" t="s">
        <v>170</v>
      </c>
      <c r="C12" s="43" t="s">
        <v>281</v>
      </c>
      <c r="D12" s="933" t="s">
        <v>347</v>
      </c>
      <c r="E12" s="934"/>
      <c r="F12" s="242">
        <v>12</v>
      </c>
      <c r="G12" s="190">
        <f>ROUND(7582/22,2)</f>
        <v>344.64</v>
      </c>
      <c r="H12" s="103">
        <f>G12*F12</f>
        <v>4135.68</v>
      </c>
      <c r="I12" s="87" t="s">
        <v>37</v>
      </c>
      <c r="J12" s="87"/>
      <c r="K12" s="87"/>
      <c r="L12" s="87">
        <v>327.78</v>
      </c>
      <c r="M12" s="87"/>
      <c r="N12" s="87"/>
      <c r="O12" s="87">
        <v>800</v>
      </c>
      <c r="P12" s="87"/>
      <c r="Q12" s="87"/>
      <c r="R12" s="188">
        <f>ROUND(G12*22*0.02,2)</f>
        <v>151.63999999999999</v>
      </c>
      <c r="S12" s="188">
        <f>R12</f>
        <v>151.63999999999999</v>
      </c>
      <c r="T12" s="87"/>
      <c r="U12" s="87"/>
      <c r="V12" s="87"/>
      <c r="W12" s="87"/>
      <c r="X12" s="87">
        <v>157.74</v>
      </c>
      <c r="Y12" s="87">
        <v>346.56</v>
      </c>
      <c r="Z12" s="87">
        <v>20</v>
      </c>
      <c r="AA12" s="87"/>
      <c r="AB12" s="87"/>
      <c r="AC12" s="87">
        <v>0</v>
      </c>
      <c r="AD12" s="87" t="s">
        <v>37</v>
      </c>
      <c r="AE12" s="325"/>
      <c r="AF12" s="87">
        <f>H12-(SUM(I12:R12)+T12+SUM(V12:AD12))</f>
        <v>2331.96</v>
      </c>
      <c r="AG12" s="77" t="s">
        <v>127</v>
      </c>
      <c r="AH12" s="85"/>
      <c r="AI12" s="21"/>
      <c r="AK12" s="102" t="s">
        <v>306</v>
      </c>
    </row>
    <row r="13" spans="1:37" s="15" customFormat="1" ht="14.25" x14ac:dyDescent="0.25">
      <c r="A13" s="77" t="s">
        <v>128</v>
      </c>
      <c r="B13" s="80" t="s">
        <v>224</v>
      </c>
      <c r="C13" s="43" t="s">
        <v>281</v>
      </c>
      <c r="D13" s="883" t="s">
        <v>253</v>
      </c>
      <c r="E13" s="884"/>
      <c r="F13" s="242">
        <v>11</v>
      </c>
      <c r="G13" s="190">
        <f>ROUND(7582/22,2)</f>
        <v>344.64</v>
      </c>
      <c r="H13" s="103">
        <f>G13*F13</f>
        <v>3791.04</v>
      </c>
      <c r="I13" s="26">
        <v>209.55</v>
      </c>
      <c r="J13" s="26"/>
      <c r="K13" s="26"/>
      <c r="L13" s="26">
        <v>327.78</v>
      </c>
      <c r="M13" s="26" t="s">
        <v>37</v>
      </c>
      <c r="N13" s="26"/>
      <c r="O13" s="26">
        <v>0</v>
      </c>
      <c r="P13" s="26"/>
      <c r="Q13" s="26"/>
      <c r="R13" s="188">
        <f>ROUND(G13*22*0.02,2)</f>
        <v>151.63999999999999</v>
      </c>
      <c r="S13" s="169">
        <f>R13</f>
        <v>151.63999999999999</v>
      </c>
      <c r="T13" s="26"/>
      <c r="U13" s="26"/>
      <c r="V13" s="26"/>
      <c r="W13" s="26"/>
      <c r="X13" s="26">
        <v>0</v>
      </c>
      <c r="Y13" s="26"/>
      <c r="Z13" s="26">
        <v>0</v>
      </c>
      <c r="AA13" s="26"/>
      <c r="AB13" s="26">
        <v>0</v>
      </c>
      <c r="AC13" s="26">
        <v>141.88</v>
      </c>
      <c r="AD13" s="26" t="s">
        <v>37</v>
      </c>
      <c r="AE13" s="33"/>
      <c r="AF13" s="26">
        <f>H13-(SUM(I13:R13)+T13+SUM(V13:AD13))</f>
        <v>2960.19</v>
      </c>
      <c r="AG13" s="77" t="s">
        <v>128</v>
      </c>
      <c r="AH13" s="70"/>
      <c r="AI13" s="21"/>
      <c r="AJ13" s="98"/>
    </row>
    <row r="14" spans="1:37" s="15" customFormat="1" ht="14.25" x14ac:dyDescent="0.25">
      <c r="A14" s="77" t="s">
        <v>129</v>
      </c>
      <c r="B14" s="80" t="s">
        <v>262</v>
      </c>
      <c r="C14" s="43" t="s">
        <v>281</v>
      </c>
      <c r="D14" s="883" t="s">
        <v>253</v>
      </c>
      <c r="E14" s="884"/>
      <c r="F14" s="242">
        <v>12</v>
      </c>
      <c r="G14" s="190">
        <f>ROUND(7582/22,2)</f>
        <v>344.64</v>
      </c>
      <c r="H14" s="103">
        <f>G14*F14</f>
        <v>4135.68</v>
      </c>
      <c r="I14" s="26">
        <v>209.55</v>
      </c>
      <c r="J14" s="26"/>
      <c r="K14" s="26"/>
      <c r="L14" s="26">
        <v>0</v>
      </c>
      <c r="M14" s="26"/>
      <c r="N14" s="26">
        <v>508.55</v>
      </c>
      <c r="O14" s="26">
        <v>0</v>
      </c>
      <c r="P14" s="26"/>
      <c r="Q14" s="26"/>
      <c r="R14" s="188">
        <f>ROUND(G14*22*0.02,2)</f>
        <v>151.63999999999999</v>
      </c>
      <c r="S14" s="169">
        <f>R14</f>
        <v>151.63999999999999</v>
      </c>
      <c r="T14" s="26"/>
      <c r="U14" s="26"/>
      <c r="V14" s="26"/>
      <c r="W14" s="26"/>
      <c r="X14" s="26">
        <v>0</v>
      </c>
      <c r="Y14" s="26"/>
      <c r="Z14" s="26">
        <v>0</v>
      </c>
      <c r="AA14" s="26"/>
      <c r="AB14" s="26">
        <v>0</v>
      </c>
      <c r="AC14" s="26">
        <v>0</v>
      </c>
      <c r="AD14" s="26"/>
      <c r="AE14" s="33"/>
      <c r="AF14" s="26">
        <f>H14-(SUM(I14:R14)+T14+SUM(V14:AD14))</f>
        <v>3265.9400000000005</v>
      </c>
      <c r="AG14" s="77" t="s">
        <v>129</v>
      </c>
      <c r="AH14" s="70"/>
      <c r="AI14" s="21"/>
      <c r="AJ14" s="98"/>
    </row>
    <row r="15" spans="1:37" s="15" customFormat="1" ht="14.25" x14ac:dyDescent="0.25">
      <c r="A15" s="77" t="s">
        <v>130</v>
      </c>
      <c r="B15" s="80" t="s">
        <v>263</v>
      </c>
      <c r="C15" s="43" t="s">
        <v>281</v>
      </c>
      <c r="D15" s="883" t="s">
        <v>253</v>
      </c>
      <c r="E15" s="884"/>
      <c r="F15" s="242">
        <v>11</v>
      </c>
      <c r="G15" s="190">
        <f>ROUND(7582/22,2)</f>
        <v>344.64</v>
      </c>
      <c r="H15" s="103">
        <f>G15*F15</f>
        <v>3791.04</v>
      </c>
      <c r="I15" s="26"/>
      <c r="J15" s="26"/>
      <c r="K15" s="26"/>
      <c r="L15" s="26">
        <v>0</v>
      </c>
      <c r="M15" s="26" t="s">
        <v>37</v>
      </c>
      <c r="N15" s="26">
        <v>508.55</v>
      </c>
      <c r="O15" s="26">
        <v>0</v>
      </c>
      <c r="P15" s="26"/>
      <c r="Q15" s="26"/>
      <c r="R15" s="188">
        <f>ROUND(G15*22*0.02,2)</f>
        <v>151.63999999999999</v>
      </c>
      <c r="S15" s="169">
        <f>R15</f>
        <v>151.63999999999999</v>
      </c>
      <c r="T15" s="26"/>
      <c r="U15" s="26"/>
      <c r="V15" s="26"/>
      <c r="W15" s="26"/>
      <c r="X15" s="26">
        <v>0</v>
      </c>
      <c r="Y15" s="26"/>
      <c r="Z15" s="26">
        <v>0</v>
      </c>
      <c r="AA15" s="26"/>
      <c r="AB15" s="26"/>
      <c r="AC15" s="26">
        <v>458.37</v>
      </c>
      <c r="AD15" s="26" t="s">
        <v>37</v>
      </c>
      <c r="AE15" s="33"/>
      <c r="AF15" s="26">
        <f>H15-(SUM(I15:R15)+T15+SUM(V15:AD15))</f>
        <v>2672.48</v>
      </c>
      <c r="AG15" s="77" t="s">
        <v>130</v>
      </c>
      <c r="AH15" s="70"/>
      <c r="AI15" s="21"/>
      <c r="AJ15" s="98"/>
    </row>
    <row r="16" spans="1:37" s="15" customFormat="1" ht="15" customHeight="1" thickBot="1" x14ac:dyDescent="0.4">
      <c r="A16" s="77" t="s">
        <v>131</v>
      </c>
      <c r="B16" s="80"/>
      <c r="C16" s="69"/>
      <c r="D16" s="71"/>
      <c r="E16" s="27"/>
      <c r="F16" s="316"/>
      <c r="G16" s="169"/>
      <c r="H16" s="65">
        <f>SUM(H12:H15)</f>
        <v>15853.440000000002</v>
      </c>
      <c r="I16" s="65">
        <f t="shared" ref="I16:AF16" si="0">SUM(I12:I15)</f>
        <v>419.1</v>
      </c>
      <c r="J16" s="65">
        <f t="shared" si="0"/>
        <v>0</v>
      </c>
      <c r="K16" s="65">
        <f t="shared" si="0"/>
        <v>0</v>
      </c>
      <c r="L16" s="65">
        <f t="shared" si="0"/>
        <v>655.56</v>
      </c>
      <c r="M16" s="65">
        <f t="shared" si="0"/>
        <v>0</v>
      </c>
      <c r="N16" s="65">
        <f t="shared" si="0"/>
        <v>1017.1</v>
      </c>
      <c r="O16" s="65">
        <f t="shared" si="0"/>
        <v>800</v>
      </c>
      <c r="P16" s="65"/>
      <c r="Q16" s="65"/>
      <c r="R16" s="170">
        <f t="shared" si="0"/>
        <v>606.55999999999995</v>
      </c>
      <c r="S16" s="170">
        <f t="shared" si="0"/>
        <v>606.55999999999995</v>
      </c>
      <c r="T16" s="65">
        <f t="shared" si="0"/>
        <v>0</v>
      </c>
      <c r="U16" s="65">
        <f t="shared" si="0"/>
        <v>0</v>
      </c>
      <c r="V16" s="65"/>
      <c r="W16" s="65"/>
      <c r="X16" s="65">
        <f t="shared" si="0"/>
        <v>157.74</v>
      </c>
      <c r="Y16" s="65">
        <f t="shared" si="0"/>
        <v>346.56</v>
      </c>
      <c r="Z16" s="65">
        <f t="shared" si="0"/>
        <v>20</v>
      </c>
      <c r="AA16" s="65">
        <f t="shared" si="0"/>
        <v>0</v>
      </c>
      <c r="AB16" s="65">
        <f t="shared" si="0"/>
        <v>0</v>
      </c>
      <c r="AC16" s="65">
        <f t="shared" si="0"/>
        <v>600.25</v>
      </c>
      <c r="AD16" s="65">
        <f t="shared" si="0"/>
        <v>0</v>
      </c>
      <c r="AE16" s="326">
        <f t="shared" si="0"/>
        <v>0</v>
      </c>
      <c r="AF16" s="65">
        <f t="shared" si="0"/>
        <v>11230.57</v>
      </c>
      <c r="AG16" s="77" t="s">
        <v>131</v>
      </c>
      <c r="AH16" s="85"/>
      <c r="AI16" s="21"/>
    </row>
    <row r="17" spans="1:36" s="15" customFormat="1" ht="12.75" thickTop="1" x14ac:dyDescent="0.2">
      <c r="A17" s="77" t="s">
        <v>132</v>
      </c>
      <c r="B17" s="183" t="s">
        <v>349</v>
      </c>
      <c r="C17" s="72"/>
      <c r="D17" s="76" t="s">
        <v>37</v>
      </c>
      <c r="E17" s="24"/>
      <c r="F17" s="317"/>
      <c r="G17" s="172"/>
      <c r="H17" s="39"/>
      <c r="I17" s="39"/>
      <c r="J17" s="39"/>
      <c r="K17" s="39"/>
      <c r="L17" s="39"/>
      <c r="M17" s="39"/>
      <c r="N17" s="39"/>
      <c r="O17" s="39"/>
      <c r="P17" s="39"/>
      <c r="Q17" s="39"/>
      <c r="R17" s="171"/>
      <c r="S17" s="171"/>
      <c r="T17" s="39"/>
      <c r="U17" s="39"/>
      <c r="V17" s="39"/>
      <c r="W17" s="39"/>
      <c r="X17" s="39"/>
      <c r="Y17" s="39"/>
      <c r="Z17" s="39"/>
      <c r="AA17" s="39"/>
      <c r="AB17" s="39"/>
      <c r="AC17" s="39"/>
      <c r="AD17" s="39"/>
      <c r="AE17" s="327"/>
      <c r="AF17" s="39"/>
      <c r="AG17" s="77" t="s">
        <v>132</v>
      </c>
      <c r="AH17" s="74"/>
      <c r="AI17" s="22"/>
    </row>
    <row r="18" spans="1:36" s="15" customFormat="1" ht="12.75" customHeight="1" x14ac:dyDescent="0.2">
      <c r="A18" s="77" t="s">
        <v>133</v>
      </c>
      <c r="B18" s="80" t="s">
        <v>225</v>
      </c>
      <c r="C18" s="43" t="s">
        <v>281</v>
      </c>
      <c r="D18" s="883" t="s">
        <v>253</v>
      </c>
      <c r="E18" s="884"/>
      <c r="F18" s="242">
        <v>11</v>
      </c>
      <c r="G18" s="190">
        <f>ROUND(7582/22,2)</f>
        <v>344.64</v>
      </c>
      <c r="H18" s="103">
        <f>G18*F18</f>
        <v>3791.04</v>
      </c>
      <c r="I18" s="26">
        <v>0</v>
      </c>
      <c r="J18" s="26"/>
      <c r="K18" s="26"/>
      <c r="L18" s="26">
        <v>0</v>
      </c>
      <c r="M18" s="26" t="s">
        <v>37</v>
      </c>
      <c r="N18" s="26"/>
      <c r="O18" s="26">
        <v>0</v>
      </c>
      <c r="P18" s="26"/>
      <c r="Q18" s="26"/>
      <c r="R18" s="188">
        <f>ROUND(G18*22*0.02,2)</f>
        <v>151.63999999999999</v>
      </c>
      <c r="S18" s="169">
        <f>R18</f>
        <v>151.63999999999999</v>
      </c>
      <c r="T18" s="26">
        <v>0</v>
      </c>
      <c r="U18" s="26">
        <v>0</v>
      </c>
      <c r="V18" s="26"/>
      <c r="W18" s="26"/>
      <c r="X18" s="26">
        <v>0</v>
      </c>
      <c r="Y18" s="26">
        <v>0</v>
      </c>
      <c r="Z18" s="26">
        <v>0</v>
      </c>
      <c r="AA18" s="26"/>
      <c r="AB18" s="26">
        <v>0</v>
      </c>
      <c r="AC18" s="26">
        <v>209.09</v>
      </c>
      <c r="AD18" s="26" t="s">
        <v>37</v>
      </c>
      <c r="AE18" s="33"/>
      <c r="AF18" s="26">
        <f>H18-(SUM(I18:R18)+T18+SUM(V18:AD18))</f>
        <v>3430.31</v>
      </c>
      <c r="AG18" s="77" t="s">
        <v>133</v>
      </c>
      <c r="AH18" s="74"/>
      <c r="AI18" s="22"/>
    </row>
    <row r="19" spans="1:36" s="15" customFormat="1" ht="16.5" customHeight="1" thickBot="1" x14ac:dyDescent="0.4">
      <c r="A19" s="77" t="s">
        <v>65</v>
      </c>
      <c r="B19" s="80"/>
      <c r="C19" s="72"/>
      <c r="D19" s="73"/>
      <c r="E19" s="24"/>
      <c r="F19" s="317"/>
      <c r="G19" s="172" t="s">
        <v>37</v>
      </c>
      <c r="H19" s="65">
        <f>SUM(H18:H18)</f>
        <v>3791.04</v>
      </c>
      <c r="I19" s="65">
        <f t="shared" ref="I19:AF19" si="1">SUM(I18:I18)</f>
        <v>0</v>
      </c>
      <c r="J19" s="65">
        <f t="shared" si="1"/>
        <v>0</v>
      </c>
      <c r="K19" s="65">
        <f t="shared" si="1"/>
        <v>0</v>
      </c>
      <c r="L19" s="65">
        <f t="shared" si="1"/>
        <v>0</v>
      </c>
      <c r="M19" s="65">
        <f t="shared" si="1"/>
        <v>0</v>
      </c>
      <c r="N19" s="65">
        <f t="shared" si="1"/>
        <v>0</v>
      </c>
      <c r="O19" s="65">
        <f t="shared" si="1"/>
        <v>0</v>
      </c>
      <c r="P19" s="65"/>
      <c r="Q19" s="65"/>
      <c r="R19" s="170">
        <f t="shared" si="1"/>
        <v>151.63999999999999</v>
      </c>
      <c r="S19" s="170">
        <f t="shared" si="1"/>
        <v>151.63999999999999</v>
      </c>
      <c r="T19" s="65">
        <f t="shared" si="1"/>
        <v>0</v>
      </c>
      <c r="U19" s="65">
        <f t="shared" si="1"/>
        <v>0</v>
      </c>
      <c r="V19" s="65"/>
      <c r="W19" s="65"/>
      <c r="X19" s="65">
        <f t="shared" si="1"/>
        <v>0</v>
      </c>
      <c r="Y19" s="65">
        <f t="shared" si="1"/>
        <v>0</v>
      </c>
      <c r="Z19" s="65">
        <f t="shared" si="1"/>
        <v>0</v>
      </c>
      <c r="AA19" s="65">
        <f t="shared" si="1"/>
        <v>0</v>
      </c>
      <c r="AB19" s="65">
        <f t="shared" si="1"/>
        <v>0</v>
      </c>
      <c r="AC19" s="65">
        <f t="shared" si="1"/>
        <v>209.09</v>
      </c>
      <c r="AD19" s="65">
        <f t="shared" si="1"/>
        <v>0</v>
      </c>
      <c r="AE19" s="326">
        <f t="shared" si="1"/>
        <v>0</v>
      </c>
      <c r="AF19" s="65">
        <f t="shared" si="1"/>
        <v>3430.31</v>
      </c>
      <c r="AG19" s="77" t="s">
        <v>65</v>
      </c>
      <c r="AH19" s="85"/>
      <c r="AI19" s="22"/>
    </row>
    <row r="20" spans="1:36" s="15" customFormat="1" ht="16.5" customHeight="1" thickTop="1" x14ac:dyDescent="0.35">
      <c r="A20" s="77" t="s">
        <v>134</v>
      </c>
      <c r="B20" s="182" t="s">
        <v>350</v>
      </c>
      <c r="C20" s="72"/>
      <c r="D20" s="73"/>
      <c r="E20" s="24"/>
      <c r="F20" s="317"/>
      <c r="G20" s="172"/>
      <c r="H20" s="39"/>
      <c r="I20" s="39"/>
      <c r="J20" s="39"/>
      <c r="K20" s="39"/>
      <c r="L20" s="39"/>
      <c r="M20" s="39"/>
      <c r="N20" s="39"/>
      <c r="O20" s="39"/>
      <c r="P20" s="39"/>
      <c r="Q20" s="39"/>
      <c r="R20" s="171"/>
      <c r="S20" s="171"/>
      <c r="T20" s="39"/>
      <c r="U20" s="39"/>
      <c r="V20" s="39"/>
      <c r="W20" s="39"/>
      <c r="X20" s="39"/>
      <c r="Y20" s="39"/>
      <c r="Z20" s="39"/>
      <c r="AA20" s="39"/>
      <c r="AB20" s="39"/>
      <c r="AC20" s="39"/>
      <c r="AD20" s="39"/>
      <c r="AE20" s="328"/>
      <c r="AF20" s="89"/>
      <c r="AG20" s="77" t="s">
        <v>134</v>
      </c>
      <c r="AH20" s="101"/>
      <c r="AI20" s="22"/>
    </row>
    <row r="21" spans="1:36" s="15" customFormat="1" ht="15" customHeight="1" x14ac:dyDescent="0.35">
      <c r="A21" s="77" t="s">
        <v>135</v>
      </c>
      <c r="B21" s="78" t="s">
        <v>369</v>
      </c>
      <c r="C21" s="43" t="s">
        <v>281</v>
      </c>
      <c r="D21" s="883" t="s">
        <v>253</v>
      </c>
      <c r="E21" s="884"/>
      <c r="F21" s="242">
        <v>11</v>
      </c>
      <c r="G21" s="190">
        <f>ROUND(7582/22,2)</f>
        <v>344.64</v>
      </c>
      <c r="H21" s="103">
        <f>G21*F21</f>
        <v>3791.04</v>
      </c>
      <c r="I21" s="26">
        <v>198.35</v>
      </c>
      <c r="J21" s="26"/>
      <c r="K21" s="26"/>
      <c r="L21" s="26"/>
      <c r="M21" s="26"/>
      <c r="N21" s="26"/>
      <c r="O21" s="26"/>
      <c r="P21" s="26"/>
      <c r="Q21" s="26"/>
      <c r="R21" s="188">
        <f>ROUND(G21*22*0.02,2)</f>
        <v>151.63999999999999</v>
      </c>
      <c r="S21" s="169">
        <f>R21</f>
        <v>151.63999999999999</v>
      </c>
      <c r="T21" s="26">
        <v>382.38</v>
      </c>
      <c r="U21" s="26">
        <v>909.84</v>
      </c>
      <c r="V21" s="26">
        <v>100</v>
      </c>
      <c r="W21" s="26">
        <v>100</v>
      </c>
      <c r="X21" s="26"/>
      <c r="Y21" s="26">
        <v>0</v>
      </c>
      <c r="Z21" s="26">
        <v>0</v>
      </c>
      <c r="AA21" s="26"/>
      <c r="AB21" s="26">
        <v>0</v>
      </c>
      <c r="AC21" s="26">
        <v>0</v>
      </c>
      <c r="AD21" s="26" t="s">
        <v>37</v>
      </c>
      <c r="AE21" s="329">
        <v>75.819999999999993</v>
      </c>
      <c r="AF21" s="87">
        <f>H21-(SUM(I21:R21)+T21+SUM(W21:AD21))</f>
        <v>2958.67</v>
      </c>
      <c r="AG21" s="77" t="s">
        <v>135</v>
      </c>
      <c r="AH21" s="101"/>
      <c r="AI21" s="335"/>
    </row>
    <row r="22" spans="1:36" s="15" customFormat="1" ht="14.25" customHeight="1" thickBot="1" x14ac:dyDescent="0.4">
      <c r="A22" s="77" t="s">
        <v>136</v>
      </c>
      <c r="B22" s="78"/>
      <c r="C22" s="72"/>
      <c r="D22" s="73"/>
      <c r="E22" s="24"/>
      <c r="F22" s="317"/>
      <c r="G22" s="172" t="s">
        <v>37</v>
      </c>
      <c r="H22" s="65">
        <f t="shared" ref="H22:AF22" si="2">SUM(H21:H21)</f>
        <v>3791.04</v>
      </c>
      <c r="I22" s="65">
        <f t="shared" si="2"/>
        <v>198.35</v>
      </c>
      <c r="J22" s="65">
        <f t="shared" si="2"/>
        <v>0</v>
      </c>
      <c r="K22" s="65">
        <f t="shared" si="2"/>
        <v>0</v>
      </c>
      <c r="L22" s="65">
        <f t="shared" si="2"/>
        <v>0</v>
      </c>
      <c r="M22" s="65">
        <f t="shared" si="2"/>
        <v>0</v>
      </c>
      <c r="N22" s="65">
        <f t="shared" si="2"/>
        <v>0</v>
      </c>
      <c r="O22" s="65">
        <f t="shared" si="2"/>
        <v>0</v>
      </c>
      <c r="P22" s="65">
        <f t="shared" si="2"/>
        <v>0</v>
      </c>
      <c r="Q22" s="65">
        <f t="shared" si="2"/>
        <v>0</v>
      </c>
      <c r="R22" s="170">
        <f t="shared" si="2"/>
        <v>151.63999999999999</v>
      </c>
      <c r="S22" s="170">
        <f t="shared" si="2"/>
        <v>151.63999999999999</v>
      </c>
      <c r="T22" s="65">
        <f t="shared" si="2"/>
        <v>382.38</v>
      </c>
      <c r="U22" s="65">
        <f t="shared" si="2"/>
        <v>909.84</v>
      </c>
      <c r="V22" s="65">
        <f t="shared" si="2"/>
        <v>100</v>
      </c>
      <c r="W22" s="65">
        <f t="shared" si="2"/>
        <v>100</v>
      </c>
      <c r="X22" s="65">
        <f t="shared" si="2"/>
        <v>0</v>
      </c>
      <c r="Y22" s="65">
        <f t="shared" si="2"/>
        <v>0</v>
      </c>
      <c r="Z22" s="65">
        <f t="shared" si="2"/>
        <v>0</v>
      </c>
      <c r="AA22" s="65">
        <f t="shared" si="2"/>
        <v>0</v>
      </c>
      <c r="AB22" s="65">
        <f t="shared" si="2"/>
        <v>0</v>
      </c>
      <c r="AC22" s="65">
        <f t="shared" si="2"/>
        <v>0</v>
      </c>
      <c r="AD22" s="65">
        <f t="shared" si="2"/>
        <v>0</v>
      </c>
      <c r="AE22" s="326">
        <f t="shared" si="2"/>
        <v>75.819999999999993</v>
      </c>
      <c r="AF22" s="65">
        <f t="shared" si="2"/>
        <v>2958.67</v>
      </c>
      <c r="AG22" s="77" t="s">
        <v>136</v>
      </c>
      <c r="AH22" s="101"/>
      <c r="AI22" s="22"/>
    </row>
    <row r="23" spans="1:36" s="15" customFormat="1" ht="12.75" thickTop="1" x14ac:dyDescent="0.2">
      <c r="A23" s="77" t="s">
        <v>137</v>
      </c>
      <c r="B23" s="182" t="s">
        <v>351</v>
      </c>
      <c r="C23" s="72"/>
      <c r="D23" s="73"/>
      <c r="E23" s="24"/>
      <c r="F23" s="317"/>
      <c r="G23" s="172"/>
      <c r="H23" s="39"/>
      <c r="I23" s="39"/>
      <c r="J23" s="39"/>
      <c r="K23" s="39"/>
      <c r="L23" s="39"/>
      <c r="M23" s="39"/>
      <c r="N23" s="39"/>
      <c r="O23" s="39"/>
      <c r="P23" s="39"/>
      <c r="Q23" s="39"/>
      <c r="R23" s="171"/>
      <c r="S23" s="171"/>
      <c r="T23" s="39"/>
      <c r="U23" s="39"/>
      <c r="V23" s="39"/>
      <c r="W23" s="39"/>
      <c r="X23" s="39"/>
      <c r="Y23" s="39"/>
      <c r="Z23" s="39"/>
      <c r="AA23" s="39"/>
      <c r="AB23" s="39"/>
      <c r="AC23" s="39"/>
      <c r="AD23" s="39"/>
      <c r="AE23" s="328"/>
      <c r="AF23" s="89"/>
      <c r="AG23" s="77" t="s">
        <v>137</v>
      </c>
      <c r="AH23" s="93"/>
      <c r="AI23" s="22"/>
    </row>
    <row r="24" spans="1:36" s="15" customFormat="1" ht="12.75" customHeight="1" x14ac:dyDescent="0.2">
      <c r="A24" s="77" t="s">
        <v>138</v>
      </c>
      <c r="B24" s="50" t="s">
        <v>299</v>
      </c>
      <c r="C24" s="43" t="s">
        <v>281</v>
      </c>
      <c r="D24" s="883" t="s">
        <v>253</v>
      </c>
      <c r="E24" s="884"/>
      <c r="F24" s="242">
        <v>12</v>
      </c>
      <c r="G24" s="190">
        <f>ROUND(7582/22,2)</f>
        <v>344.64</v>
      </c>
      <c r="H24" s="103">
        <f>G24*F24</f>
        <v>4135.68</v>
      </c>
      <c r="I24" s="26"/>
      <c r="J24" s="26"/>
      <c r="K24" s="26"/>
      <c r="L24" s="26">
        <v>0</v>
      </c>
      <c r="M24" s="26" t="s">
        <v>37</v>
      </c>
      <c r="N24" s="26"/>
      <c r="O24" s="26">
        <v>0</v>
      </c>
      <c r="P24" s="26"/>
      <c r="Q24" s="26"/>
      <c r="R24" s="188">
        <f>ROUND(G24*22*0.02,2)</f>
        <v>151.63999999999999</v>
      </c>
      <c r="S24" s="169">
        <f>R24</f>
        <v>151.63999999999999</v>
      </c>
      <c r="T24" s="26"/>
      <c r="U24" s="26"/>
      <c r="V24" s="26"/>
      <c r="W24" s="26"/>
      <c r="X24" s="26">
        <v>0</v>
      </c>
      <c r="Y24" s="26"/>
      <c r="Z24" s="26">
        <v>0</v>
      </c>
      <c r="AA24" s="26"/>
      <c r="AB24" s="26" t="s">
        <v>37</v>
      </c>
      <c r="AC24" s="26">
        <v>1493.05</v>
      </c>
      <c r="AD24" s="26" t="s">
        <v>37</v>
      </c>
      <c r="AE24" s="33"/>
      <c r="AF24" s="26">
        <f>H24-(SUM(I24:R24)+T24+SUM(V24:AD24))</f>
        <v>2490.9900000000002</v>
      </c>
      <c r="AG24" s="77" t="s">
        <v>138</v>
      </c>
      <c r="AH24" s="93"/>
      <c r="AI24" s="22"/>
    </row>
    <row r="25" spans="1:36" s="15" customFormat="1" ht="14.25" x14ac:dyDescent="0.25">
      <c r="A25" s="77" t="s">
        <v>139</v>
      </c>
      <c r="B25" s="51" t="s">
        <v>295</v>
      </c>
      <c r="C25" s="43" t="s">
        <v>281</v>
      </c>
      <c r="D25" s="883" t="s">
        <v>253</v>
      </c>
      <c r="E25" s="884"/>
      <c r="F25" s="242">
        <v>12</v>
      </c>
      <c r="G25" s="190">
        <f>ROUND(7582/22,2)</f>
        <v>344.64</v>
      </c>
      <c r="H25" s="103">
        <f>G25*F25</f>
        <v>4135.68</v>
      </c>
      <c r="I25" s="26">
        <v>209.35499999999999</v>
      </c>
      <c r="J25" s="26"/>
      <c r="K25" s="26"/>
      <c r="L25" s="26">
        <v>0</v>
      </c>
      <c r="M25" s="26" t="s">
        <v>37</v>
      </c>
      <c r="N25" s="26"/>
      <c r="O25" s="26">
        <v>0</v>
      </c>
      <c r="P25" s="26"/>
      <c r="Q25" s="26"/>
      <c r="R25" s="188">
        <f>ROUND(G25*22*0.02,2)</f>
        <v>151.63999999999999</v>
      </c>
      <c r="S25" s="169">
        <f>R25</f>
        <v>151.63999999999999</v>
      </c>
      <c r="T25" s="26"/>
      <c r="U25" s="26"/>
      <c r="V25" s="26"/>
      <c r="W25" s="26"/>
      <c r="X25" s="26">
        <v>0</v>
      </c>
      <c r="Y25" s="26"/>
      <c r="Z25" s="26">
        <v>0</v>
      </c>
      <c r="AA25" s="26"/>
      <c r="AB25" s="26"/>
      <c r="AC25" s="26"/>
      <c r="AD25" s="26" t="s">
        <v>37</v>
      </c>
      <c r="AE25" s="33"/>
      <c r="AF25" s="26">
        <f>H25-(SUM(I25:R25)+T25+SUM(V25:AD25))</f>
        <v>3774.6850000000004</v>
      </c>
      <c r="AG25" s="77" t="s">
        <v>139</v>
      </c>
      <c r="AH25" s="70"/>
      <c r="AI25" s="21"/>
      <c r="AJ25" s="98"/>
    </row>
    <row r="26" spans="1:36" s="15" customFormat="1" ht="12.75" customHeight="1" thickBot="1" x14ac:dyDescent="0.4">
      <c r="A26" s="77" t="s">
        <v>140</v>
      </c>
      <c r="B26" s="78"/>
      <c r="C26" s="72"/>
      <c r="D26" s="73"/>
      <c r="E26" s="24"/>
      <c r="F26" s="317"/>
      <c r="G26" s="172" t="s">
        <v>37</v>
      </c>
      <c r="H26" s="97">
        <f>SUM(H24:H25)</f>
        <v>8271.36</v>
      </c>
      <c r="I26" s="97">
        <f t="shared" ref="I26:AF26" si="3">SUM(I24:I25)</f>
        <v>209.35499999999999</v>
      </c>
      <c r="J26" s="97">
        <f t="shared" si="3"/>
        <v>0</v>
      </c>
      <c r="K26" s="97">
        <f t="shared" si="3"/>
        <v>0</v>
      </c>
      <c r="L26" s="97">
        <f t="shared" si="3"/>
        <v>0</v>
      </c>
      <c r="M26" s="97">
        <f t="shared" si="3"/>
        <v>0</v>
      </c>
      <c r="N26" s="97">
        <f t="shared" si="3"/>
        <v>0</v>
      </c>
      <c r="O26" s="97">
        <f t="shared" si="3"/>
        <v>0</v>
      </c>
      <c r="P26" s="97"/>
      <c r="Q26" s="97"/>
      <c r="R26" s="189">
        <f t="shared" si="3"/>
        <v>303.27999999999997</v>
      </c>
      <c r="S26" s="189">
        <f t="shared" si="3"/>
        <v>303.27999999999997</v>
      </c>
      <c r="T26" s="97">
        <f t="shared" si="3"/>
        <v>0</v>
      </c>
      <c r="U26" s="97">
        <f t="shared" si="3"/>
        <v>0</v>
      </c>
      <c r="V26" s="97"/>
      <c r="W26" s="97"/>
      <c r="X26" s="97">
        <f t="shared" si="3"/>
        <v>0</v>
      </c>
      <c r="Y26" s="97">
        <f t="shared" si="3"/>
        <v>0</v>
      </c>
      <c r="Z26" s="97">
        <f t="shared" si="3"/>
        <v>0</v>
      </c>
      <c r="AA26" s="97">
        <f t="shared" si="3"/>
        <v>0</v>
      </c>
      <c r="AB26" s="97">
        <f t="shared" si="3"/>
        <v>0</v>
      </c>
      <c r="AC26" s="97">
        <f t="shared" si="3"/>
        <v>1493.05</v>
      </c>
      <c r="AD26" s="97">
        <f t="shared" si="3"/>
        <v>0</v>
      </c>
      <c r="AE26" s="330">
        <f t="shared" si="3"/>
        <v>0</v>
      </c>
      <c r="AF26" s="97">
        <f t="shared" si="3"/>
        <v>6265.6750000000011</v>
      </c>
      <c r="AG26" s="77" t="s">
        <v>140</v>
      </c>
      <c r="AH26" s="85"/>
      <c r="AI26" s="22"/>
    </row>
    <row r="27" spans="1:36" s="15" customFormat="1" ht="12.75" thickTop="1" x14ac:dyDescent="0.2">
      <c r="A27" s="77" t="s">
        <v>141</v>
      </c>
      <c r="B27" s="182" t="s">
        <v>352</v>
      </c>
      <c r="C27" s="72"/>
      <c r="D27" s="73"/>
      <c r="E27" s="24"/>
      <c r="F27" s="317"/>
      <c r="G27" s="172"/>
      <c r="H27" s="39"/>
      <c r="I27" s="39"/>
      <c r="J27" s="39"/>
      <c r="K27" s="39"/>
      <c r="L27" s="39"/>
      <c r="M27" s="39"/>
      <c r="N27" s="39"/>
      <c r="O27" s="39"/>
      <c r="P27" s="39"/>
      <c r="Q27" s="39"/>
      <c r="R27" s="171"/>
      <c r="S27" s="171"/>
      <c r="T27" s="39"/>
      <c r="U27" s="39"/>
      <c r="V27" s="382"/>
      <c r="W27" s="382"/>
      <c r="X27" s="39"/>
      <c r="Y27" s="39"/>
      <c r="Z27" s="39"/>
      <c r="AA27" s="39"/>
      <c r="AB27" s="39"/>
      <c r="AC27" s="39"/>
      <c r="AD27" s="39"/>
      <c r="AE27" s="328"/>
      <c r="AF27" s="89"/>
      <c r="AG27" s="77" t="s">
        <v>141</v>
      </c>
      <c r="AH27" s="93"/>
      <c r="AI27" s="22"/>
    </row>
    <row r="28" spans="1:36" ht="13.5" customHeight="1" x14ac:dyDescent="0.2">
      <c r="A28" s="77" t="s">
        <v>142</v>
      </c>
      <c r="B28" s="78" t="s">
        <v>211</v>
      </c>
      <c r="C28" s="43" t="s">
        <v>281</v>
      </c>
      <c r="D28" s="883" t="s">
        <v>253</v>
      </c>
      <c r="E28" s="884"/>
      <c r="F28" s="242">
        <v>12</v>
      </c>
      <c r="G28" s="190">
        <f>ROUND(7582/22,2)</f>
        <v>344.64</v>
      </c>
      <c r="H28" s="103">
        <f>G28*F28</f>
        <v>4135.68</v>
      </c>
      <c r="I28" s="26">
        <v>0</v>
      </c>
      <c r="J28" s="26"/>
      <c r="K28" s="26"/>
      <c r="L28" s="26">
        <v>327.78</v>
      </c>
      <c r="M28" s="26" t="s">
        <v>37</v>
      </c>
      <c r="N28" s="26"/>
      <c r="O28" s="26">
        <v>0</v>
      </c>
      <c r="P28" s="26"/>
      <c r="Q28" s="26"/>
      <c r="R28" s="188">
        <v>300</v>
      </c>
      <c r="S28" s="169">
        <v>151.63999999999999</v>
      </c>
      <c r="T28" s="26">
        <v>0</v>
      </c>
      <c r="U28" s="26">
        <v>0</v>
      </c>
      <c r="V28" s="25"/>
      <c r="W28" s="25"/>
      <c r="X28" s="26">
        <v>0</v>
      </c>
      <c r="Y28" s="26">
        <v>0</v>
      </c>
      <c r="Z28" s="26">
        <v>0</v>
      </c>
      <c r="AA28" s="26"/>
      <c r="AB28" s="26"/>
      <c r="AC28" s="26"/>
      <c r="AD28" s="26"/>
      <c r="AE28" s="329"/>
      <c r="AF28" s="90">
        <f>H28-(SUM(I28:R28)+T28+SUM(V28:AD28))</f>
        <v>3507.9000000000005</v>
      </c>
      <c r="AG28" s="77" t="s">
        <v>142</v>
      </c>
      <c r="AH28" s="94"/>
      <c r="AI28" s="16"/>
    </row>
    <row r="29" spans="1:36" ht="12.75" customHeight="1" x14ac:dyDescent="0.2">
      <c r="A29" s="77" t="s">
        <v>143</v>
      </c>
      <c r="B29" s="78" t="s">
        <v>268</v>
      </c>
      <c r="C29" s="43" t="s">
        <v>281</v>
      </c>
      <c r="D29" s="883" t="s">
        <v>253</v>
      </c>
      <c r="E29" s="884"/>
      <c r="F29" s="242">
        <v>12</v>
      </c>
      <c r="G29" s="190">
        <f>ROUND(7582/22,2)</f>
        <v>344.64</v>
      </c>
      <c r="H29" s="103">
        <f>G29*F29</f>
        <v>4135.68</v>
      </c>
      <c r="I29" s="26">
        <v>0</v>
      </c>
      <c r="J29" s="26"/>
      <c r="K29" s="26"/>
      <c r="L29" s="26"/>
      <c r="M29" s="26" t="s">
        <v>37</v>
      </c>
      <c r="N29" s="26"/>
      <c r="O29" s="26">
        <v>0</v>
      </c>
      <c r="P29" s="26"/>
      <c r="Q29" s="26"/>
      <c r="R29" s="188">
        <f>ROUND(G29*22*0.02,2)</f>
        <v>151.63999999999999</v>
      </c>
      <c r="S29" s="169">
        <v>151.63999999999999</v>
      </c>
      <c r="T29" s="26">
        <v>0</v>
      </c>
      <c r="U29" s="26">
        <v>0</v>
      </c>
      <c r="V29" s="25"/>
      <c r="W29" s="25"/>
      <c r="X29" s="26">
        <v>0</v>
      </c>
      <c r="Y29" s="26">
        <v>0</v>
      </c>
      <c r="Z29" s="26">
        <v>0</v>
      </c>
      <c r="AA29" s="26"/>
      <c r="AB29" s="26">
        <v>0</v>
      </c>
      <c r="AC29" s="26">
        <v>0</v>
      </c>
      <c r="AD29" s="26"/>
      <c r="AE29" s="329"/>
      <c r="AF29" s="90">
        <f>H29-(SUM(I29:R29)+T29+SUM(V29:AD29))</f>
        <v>3984.0400000000004</v>
      </c>
      <c r="AG29" s="77" t="s">
        <v>143</v>
      </c>
      <c r="AH29" s="94"/>
      <c r="AI29" s="16"/>
    </row>
    <row r="30" spans="1:36" ht="14.25" customHeight="1" x14ac:dyDescent="0.2">
      <c r="A30" s="77" t="s">
        <v>144</v>
      </c>
      <c r="B30" s="78" t="s">
        <v>305</v>
      </c>
      <c r="C30" s="43" t="s">
        <v>281</v>
      </c>
      <c r="D30" s="883" t="s">
        <v>253</v>
      </c>
      <c r="E30" s="884"/>
      <c r="F30" s="242">
        <v>12</v>
      </c>
      <c r="G30" s="190">
        <f>ROUND(7582/22,2)</f>
        <v>344.64</v>
      </c>
      <c r="H30" s="103">
        <f>G30*F30</f>
        <v>4135.68</v>
      </c>
      <c r="I30" s="26">
        <v>209.55</v>
      </c>
      <c r="J30" s="26"/>
      <c r="K30" s="26"/>
      <c r="L30" s="26"/>
      <c r="M30" s="26" t="s">
        <v>37</v>
      </c>
      <c r="N30" s="26"/>
      <c r="O30" s="26">
        <v>0</v>
      </c>
      <c r="P30" s="26"/>
      <c r="Q30" s="26"/>
      <c r="R30" s="188">
        <f>ROUND(G30*22*0.02,2)</f>
        <v>151.63999999999999</v>
      </c>
      <c r="S30" s="169">
        <f>R30</f>
        <v>151.63999999999999</v>
      </c>
      <c r="T30" s="26">
        <v>0</v>
      </c>
      <c r="U30" s="26">
        <v>0</v>
      </c>
      <c r="V30" s="25"/>
      <c r="W30" s="25"/>
      <c r="X30" s="26">
        <v>0</v>
      </c>
      <c r="Y30" s="26">
        <v>0</v>
      </c>
      <c r="Z30" s="26">
        <v>0</v>
      </c>
      <c r="AA30" s="26"/>
      <c r="AB30" s="26">
        <v>0</v>
      </c>
      <c r="AC30" s="26">
        <v>0</v>
      </c>
      <c r="AD30" s="26"/>
      <c r="AE30" s="329"/>
      <c r="AF30" s="90">
        <f>H30-(SUM(I30:R30)+T30+SUM(V30:AD30))</f>
        <v>3774.4900000000002</v>
      </c>
      <c r="AG30" s="77" t="s">
        <v>144</v>
      </c>
      <c r="AH30" s="94"/>
      <c r="AI30" s="16"/>
    </row>
    <row r="31" spans="1:36" s="15" customFormat="1" ht="14.25" x14ac:dyDescent="0.25">
      <c r="A31" s="77" t="s">
        <v>145</v>
      </c>
      <c r="B31" s="51" t="s">
        <v>297</v>
      </c>
      <c r="C31" s="43" t="s">
        <v>281</v>
      </c>
      <c r="D31" s="883" t="s">
        <v>253</v>
      </c>
      <c r="E31" s="884"/>
      <c r="F31" s="242">
        <v>12</v>
      </c>
      <c r="G31" s="190">
        <f>ROUND(7582/22,2)</f>
        <v>344.64</v>
      </c>
      <c r="H31" s="103">
        <f>G31*F31</f>
        <v>4135.68</v>
      </c>
      <c r="I31" s="26"/>
      <c r="J31" s="26"/>
      <c r="K31" s="26"/>
      <c r="L31" s="26">
        <v>0</v>
      </c>
      <c r="M31" s="26" t="s">
        <v>37</v>
      </c>
      <c r="N31" s="26"/>
      <c r="O31" s="26">
        <v>0</v>
      </c>
      <c r="P31" s="26"/>
      <c r="Q31" s="26"/>
      <c r="R31" s="188">
        <f>ROUND(G31*22*0.02,2)</f>
        <v>151.63999999999999</v>
      </c>
      <c r="S31" s="169">
        <f>R31</f>
        <v>151.63999999999999</v>
      </c>
      <c r="T31" s="26"/>
      <c r="U31" s="26"/>
      <c r="V31" s="26"/>
      <c r="W31" s="26"/>
      <c r="X31" s="26">
        <v>0</v>
      </c>
      <c r="Y31" s="26"/>
      <c r="Z31" s="26">
        <v>0</v>
      </c>
      <c r="AA31" s="26"/>
      <c r="AB31" s="26"/>
      <c r="AC31" s="26"/>
      <c r="AD31" s="26" t="s">
        <v>37</v>
      </c>
      <c r="AE31" s="33"/>
      <c r="AF31" s="26">
        <f>H31-(SUM(I31:R31)+T31+SUM(V31:AD31))</f>
        <v>3984.0400000000004</v>
      </c>
      <c r="AG31" s="77" t="s">
        <v>145</v>
      </c>
      <c r="AH31" s="70"/>
      <c r="AI31" s="21"/>
      <c r="AJ31" s="98"/>
    </row>
    <row r="32" spans="1:36" s="15" customFormat="1" ht="14.25" x14ac:dyDescent="0.25">
      <c r="A32" s="77" t="s">
        <v>146</v>
      </c>
      <c r="B32" s="51" t="s">
        <v>343</v>
      </c>
      <c r="C32" s="43" t="s">
        <v>281</v>
      </c>
      <c r="D32" s="883" t="s">
        <v>253</v>
      </c>
      <c r="E32" s="884"/>
      <c r="F32" s="242">
        <v>12</v>
      </c>
      <c r="G32" s="190">
        <f>ROUND(7582/22,2)</f>
        <v>344.64</v>
      </c>
      <c r="H32" s="103">
        <f>G32*F32</f>
        <v>4135.68</v>
      </c>
      <c r="I32" s="26">
        <v>209.55</v>
      </c>
      <c r="J32" s="26"/>
      <c r="K32" s="26"/>
      <c r="L32" s="26">
        <v>0</v>
      </c>
      <c r="M32" s="26" t="s">
        <v>37</v>
      </c>
      <c r="N32" s="26"/>
      <c r="O32" s="26">
        <v>0</v>
      </c>
      <c r="P32" s="26"/>
      <c r="Q32" s="26"/>
      <c r="R32" s="188">
        <f>ROUND(G32*22*0.02,2)</f>
        <v>151.63999999999999</v>
      </c>
      <c r="S32" s="169">
        <f>R32</f>
        <v>151.63999999999999</v>
      </c>
      <c r="T32" s="26"/>
      <c r="U32" s="26"/>
      <c r="V32" s="26"/>
      <c r="W32" s="26"/>
      <c r="X32" s="26">
        <v>0</v>
      </c>
      <c r="Y32" s="26"/>
      <c r="Z32" s="26">
        <v>0</v>
      </c>
      <c r="AA32" s="26"/>
      <c r="AB32" s="26"/>
      <c r="AC32" s="26"/>
      <c r="AD32" s="26" t="s">
        <v>37</v>
      </c>
      <c r="AE32" s="33"/>
      <c r="AF32" s="26">
        <f>H32-(SUM(I32:R32)+T32+SUM(V32:AD32))</f>
        <v>3774.4900000000002</v>
      </c>
      <c r="AG32" s="77" t="s">
        <v>146</v>
      </c>
      <c r="AH32" s="70"/>
      <c r="AI32" s="21"/>
      <c r="AJ32" s="98"/>
    </row>
    <row r="33" spans="1:35" ht="13.5" customHeight="1" thickBot="1" x14ac:dyDescent="0.4">
      <c r="A33" s="77" t="s">
        <v>147</v>
      </c>
      <c r="B33" s="80"/>
      <c r="C33" s="26" t="s">
        <v>37</v>
      </c>
      <c r="D33" s="26" t="s">
        <v>37</v>
      </c>
      <c r="E33" s="26"/>
      <c r="F33" s="318"/>
      <c r="G33" s="172" t="s">
        <v>37</v>
      </c>
      <c r="H33" s="97">
        <f>SUM(H28:H32)</f>
        <v>20678.400000000001</v>
      </c>
      <c r="I33" s="97">
        <f t="shared" ref="I33:AF33" si="4">SUM(I28:I32)</f>
        <v>419.1</v>
      </c>
      <c r="J33" s="97">
        <f t="shared" si="4"/>
        <v>0</v>
      </c>
      <c r="K33" s="97">
        <f t="shared" si="4"/>
        <v>0</v>
      </c>
      <c r="L33" s="97">
        <f t="shared" si="4"/>
        <v>327.78</v>
      </c>
      <c r="M33" s="97">
        <f t="shared" si="4"/>
        <v>0</v>
      </c>
      <c r="N33" s="97">
        <f t="shared" si="4"/>
        <v>0</v>
      </c>
      <c r="O33" s="97">
        <f t="shared" si="4"/>
        <v>0</v>
      </c>
      <c r="P33" s="97"/>
      <c r="Q33" s="97"/>
      <c r="R33" s="189">
        <f t="shared" si="4"/>
        <v>906.56</v>
      </c>
      <c r="S33" s="189">
        <f t="shared" si="4"/>
        <v>758.19999999999993</v>
      </c>
      <c r="T33" s="97">
        <f t="shared" si="4"/>
        <v>0</v>
      </c>
      <c r="U33" s="97">
        <f t="shared" si="4"/>
        <v>0</v>
      </c>
      <c r="V33" s="97"/>
      <c r="W33" s="97"/>
      <c r="X33" s="97">
        <f t="shared" si="4"/>
        <v>0</v>
      </c>
      <c r="Y33" s="97">
        <f t="shared" si="4"/>
        <v>0</v>
      </c>
      <c r="Z33" s="97">
        <f t="shared" si="4"/>
        <v>0</v>
      </c>
      <c r="AA33" s="97">
        <f t="shared" si="4"/>
        <v>0</v>
      </c>
      <c r="AB33" s="97">
        <f t="shared" si="4"/>
        <v>0</v>
      </c>
      <c r="AC33" s="97">
        <f t="shared" si="4"/>
        <v>0</v>
      </c>
      <c r="AD33" s="97">
        <f t="shared" si="4"/>
        <v>0</v>
      </c>
      <c r="AE33" s="330">
        <f t="shared" si="4"/>
        <v>0</v>
      </c>
      <c r="AF33" s="97">
        <f t="shared" si="4"/>
        <v>19024.960000000003</v>
      </c>
      <c r="AG33" s="77" t="s">
        <v>147</v>
      </c>
      <c r="AH33" s="85"/>
      <c r="AI33" s="16"/>
    </row>
    <row r="34" spans="1:35" ht="13.5" thickTop="1" x14ac:dyDescent="0.2">
      <c r="A34" s="77" t="s">
        <v>148</v>
      </c>
      <c r="B34" s="184" t="s">
        <v>353</v>
      </c>
      <c r="C34" s="26"/>
      <c r="D34" s="26"/>
      <c r="E34" s="26"/>
      <c r="F34" s="318"/>
      <c r="G34" s="172"/>
      <c r="H34" s="25"/>
      <c r="I34" s="25"/>
      <c r="J34" s="25"/>
      <c r="K34" s="25"/>
      <c r="L34" s="25"/>
      <c r="M34" s="25"/>
      <c r="N34" s="25"/>
      <c r="O34" s="25"/>
      <c r="P34" s="25"/>
      <c r="Q34" s="25"/>
      <c r="R34" s="172"/>
      <c r="S34" s="172"/>
      <c r="T34" s="25"/>
      <c r="U34" s="25"/>
      <c r="V34" s="25"/>
      <c r="W34" s="25"/>
      <c r="X34" s="25"/>
      <c r="Y34" s="25"/>
      <c r="Z34" s="25"/>
      <c r="AA34" s="25"/>
      <c r="AB34" s="25"/>
      <c r="AC34" s="25"/>
      <c r="AD34" s="25"/>
      <c r="AE34" s="331"/>
      <c r="AF34" s="91"/>
      <c r="AG34" s="77" t="s">
        <v>148</v>
      </c>
      <c r="AH34" s="94"/>
      <c r="AI34" s="16"/>
    </row>
    <row r="35" spans="1:35" ht="12.75" customHeight="1" x14ac:dyDescent="0.2">
      <c r="A35" s="77" t="s">
        <v>149</v>
      </c>
      <c r="B35" s="80" t="s">
        <v>196</v>
      </c>
      <c r="C35" s="43" t="s">
        <v>281</v>
      </c>
      <c r="D35" s="883" t="s">
        <v>253</v>
      </c>
      <c r="E35" s="884"/>
      <c r="F35" s="242">
        <v>12</v>
      </c>
      <c r="G35" s="190">
        <f>ROUND(7582/22,2)</f>
        <v>344.64</v>
      </c>
      <c r="H35" s="103">
        <f>G35*F35</f>
        <v>4135.68</v>
      </c>
      <c r="I35" s="39"/>
      <c r="J35" s="39"/>
      <c r="K35" s="39"/>
      <c r="L35" s="39">
        <v>327.78</v>
      </c>
      <c r="M35" s="39">
        <v>0</v>
      </c>
      <c r="N35" s="39">
        <v>0</v>
      </c>
      <c r="O35" s="39"/>
      <c r="P35" s="39"/>
      <c r="Q35" s="39"/>
      <c r="R35" s="188">
        <f>ROUND(G35*22*0.02,2)</f>
        <v>151.63999999999999</v>
      </c>
      <c r="S35" s="173">
        <f>R35</f>
        <v>151.63999999999999</v>
      </c>
      <c r="T35" s="26">
        <v>0</v>
      </c>
      <c r="U35" s="26">
        <v>0</v>
      </c>
      <c r="V35" s="39"/>
      <c r="W35" s="39"/>
      <c r="X35" s="39">
        <v>0</v>
      </c>
      <c r="Y35" s="39">
        <v>0</v>
      </c>
      <c r="Z35" s="39">
        <v>20</v>
      </c>
      <c r="AA35" s="39"/>
      <c r="AB35" s="39"/>
      <c r="AC35" s="39">
        <v>0</v>
      </c>
      <c r="AD35" s="39"/>
      <c r="AE35" s="328"/>
      <c r="AF35" s="91">
        <f>H35-(SUM(I35:R35)+T35+SUM(V35:AD35))</f>
        <v>3636.26</v>
      </c>
      <c r="AG35" s="77" t="s">
        <v>149</v>
      </c>
      <c r="AH35" s="94"/>
      <c r="AI35" s="16"/>
    </row>
    <row r="36" spans="1:35" ht="12.75" customHeight="1" x14ac:dyDescent="0.2">
      <c r="A36" s="77" t="s">
        <v>150</v>
      </c>
      <c r="B36" s="80" t="s">
        <v>226</v>
      </c>
      <c r="C36" s="43" t="s">
        <v>281</v>
      </c>
      <c r="D36" s="883" t="s">
        <v>253</v>
      </c>
      <c r="E36" s="884"/>
      <c r="F36" s="242">
        <v>12</v>
      </c>
      <c r="G36" s="190">
        <f>ROUND(7582/22,2)</f>
        <v>344.64</v>
      </c>
      <c r="H36" s="103">
        <f>G36*F36</f>
        <v>4135.68</v>
      </c>
      <c r="I36" s="26">
        <v>209.55</v>
      </c>
      <c r="J36" s="26"/>
      <c r="K36" s="26"/>
      <c r="L36" s="26"/>
      <c r="M36" s="26"/>
      <c r="N36" s="26">
        <v>678.06</v>
      </c>
      <c r="O36" s="26">
        <v>300</v>
      </c>
      <c r="P36" s="26"/>
      <c r="Q36" s="26"/>
      <c r="R36" s="188">
        <f>ROUND(G36*22*0.02,2)</f>
        <v>151.63999999999999</v>
      </c>
      <c r="S36" s="169">
        <f>R36</f>
        <v>151.63999999999999</v>
      </c>
      <c r="T36" s="26">
        <v>0</v>
      </c>
      <c r="U36" s="26">
        <v>0</v>
      </c>
      <c r="V36" s="26"/>
      <c r="W36" s="26"/>
      <c r="X36" s="26">
        <v>0</v>
      </c>
      <c r="Y36" s="26">
        <v>0</v>
      </c>
      <c r="Z36" s="26">
        <v>0</v>
      </c>
      <c r="AA36" s="26"/>
      <c r="AB36" s="26">
        <v>0</v>
      </c>
      <c r="AC36" s="26">
        <v>192.8</v>
      </c>
      <c r="AD36" s="26"/>
      <c r="AE36" s="329"/>
      <c r="AF36" s="90">
        <f>H36-(SUM(I36:R36)+T36+SUM(V36:AD36))</f>
        <v>2603.63</v>
      </c>
      <c r="AG36" s="77" t="s">
        <v>150</v>
      </c>
      <c r="AH36" s="94"/>
      <c r="AI36" s="16"/>
    </row>
    <row r="37" spans="1:35" ht="12.75" customHeight="1" x14ac:dyDescent="0.2">
      <c r="A37" s="77" t="s">
        <v>151</v>
      </c>
      <c r="B37" s="80" t="s">
        <v>291</v>
      </c>
      <c r="C37" s="43" t="s">
        <v>281</v>
      </c>
      <c r="D37" s="883" t="s">
        <v>253</v>
      </c>
      <c r="E37" s="884"/>
      <c r="F37" s="242">
        <v>12</v>
      </c>
      <c r="G37" s="190">
        <f>ROUND(7582/22,2)</f>
        <v>344.64</v>
      </c>
      <c r="H37" s="103">
        <f>G37*F37</f>
        <v>4135.68</v>
      </c>
      <c r="I37" s="26">
        <v>209.55</v>
      </c>
      <c r="J37" s="26"/>
      <c r="K37" s="26"/>
      <c r="L37" s="26"/>
      <c r="M37" s="26"/>
      <c r="N37" s="26"/>
      <c r="O37" s="26">
        <v>0</v>
      </c>
      <c r="P37" s="26"/>
      <c r="Q37" s="26"/>
      <c r="R37" s="188">
        <f>ROUND(G37*22*0.02,2)</f>
        <v>151.63999999999999</v>
      </c>
      <c r="S37" s="169">
        <f>R37</f>
        <v>151.63999999999999</v>
      </c>
      <c r="T37" s="26">
        <v>0</v>
      </c>
      <c r="U37" s="26">
        <v>0</v>
      </c>
      <c r="V37" s="26"/>
      <c r="W37" s="26"/>
      <c r="X37" s="26">
        <v>0</v>
      </c>
      <c r="Y37" s="26">
        <v>0</v>
      </c>
      <c r="Z37" s="26">
        <v>0</v>
      </c>
      <c r="AA37" s="26"/>
      <c r="AB37" s="26">
        <v>0</v>
      </c>
      <c r="AC37" s="26"/>
      <c r="AD37" s="26"/>
      <c r="AE37" s="329"/>
      <c r="AF37" s="90">
        <f>H37-(SUM(I37:R37)+T37+SUM(V37:AD37))</f>
        <v>3774.4900000000002</v>
      </c>
      <c r="AG37" s="77" t="s">
        <v>151</v>
      </c>
      <c r="AH37" s="94"/>
      <c r="AI37" s="16"/>
    </row>
    <row r="38" spans="1:35" s="15" customFormat="1" ht="12.75" x14ac:dyDescent="0.2">
      <c r="A38" s="77" t="s">
        <v>152</v>
      </c>
      <c r="B38" s="78" t="s">
        <v>254</v>
      </c>
      <c r="C38" s="43" t="s">
        <v>281</v>
      </c>
      <c r="D38" s="883" t="s">
        <v>253</v>
      </c>
      <c r="E38" s="884"/>
      <c r="F38" s="242">
        <v>12</v>
      </c>
      <c r="G38" s="190">
        <f>ROUND(7582/22,2)</f>
        <v>344.64</v>
      </c>
      <c r="H38" s="103">
        <f>G38*F38</f>
        <v>4135.68</v>
      </c>
      <c r="I38" s="26">
        <v>0</v>
      </c>
      <c r="J38" s="26"/>
      <c r="K38" s="26"/>
      <c r="L38" s="26">
        <v>0</v>
      </c>
      <c r="M38" s="26" t="s">
        <v>37</v>
      </c>
      <c r="N38" s="26">
        <v>508.55</v>
      </c>
      <c r="O38" s="26">
        <v>0</v>
      </c>
      <c r="P38" s="26"/>
      <c r="Q38" s="26"/>
      <c r="R38" s="188">
        <f>ROUND(G38*22*0.02,2)</f>
        <v>151.63999999999999</v>
      </c>
      <c r="S38" s="169">
        <f>R38</f>
        <v>151.63999999999999</v>
      </c>
      <c r="T38" s="26">
        <v>0</v>
      </c>
      <c r="U38" s="26"/>
      <c r="V38" s="26"/>
      <c r="W38" s="26"/>
      <c r="X38" s="26">
        <v>0</v>
      </c>
      <c r="Y38" s="26">
        <v>0</v>
      </c>
      <c r="Z38" s="26">
        <v>0</v>
      </c>
      <c r="AA38" s="26"/>
      <c r="AB38" s="26">
        <v>0</v>
      </c>
      <c r="AC38" s="26">
        <v>0</v>
      </c>
      <c r="AD38" s="26" t="s">
        <v>37</v>
      </c>
      <c r="AE38" s="332"/>
      <c r="AF38" s="25">
        <f>H38-(SUM(I38:R38)+T38+SUM(V38:AD38))</f>
        <v>3475.4900000000002</v>
      </c>
      <c r="AG38" s="77" t="s">
        <v>152</v>
      </c>
      <c r="AH38" s="74"/>
      <c r="AI38" s="22"/>
    </row>
    <row r="39" spans="1:35" ht="15" customHeight="1" thickBot="1" x14ac:dyDescent="0.4">
      <c r="A39" s="77" t="s">
        <v>153</v>
      </c>
      <c r="B39" s="80"/>
      <c r="C39" s="26"/>
      <c r="D39" s="26" t="s">
        <v>188</v>
      </c>
      <c r="E39" s="26"/>
      <c r="F39" s="319"/>
      <c r="G39" s="169"/>
      <c r="H39" s="65">
        <f>SUM(H35:H38)</f>
        <v>16542.72</v>
      </c>
      <c r="I39" s="65">
        <f t="shared" ref="I39:AF39" si="5">SUM(I35:I38)</f>
        <v>419.1</v>
      </c>
      <c r="J39" s="65">
        <f t="shared" si="5"/>
        <v>0</v>
      </c>
      <c r="K39" s="65">
        <f t="shared" si="5"/>
        <v>0</v>
      </c>
      <c r="L39" s="65">
        <f t="shared" si="5"/>
        <v>327.78</v>
      </c>
      <c r="M39" s="65">
        <f t="shared" si="5"/>
        <v>0</v>
      </c>
      <c r="N39" s="65">
        <f t="shared" si="5"/>
        <v>1186.6099999999999</v>
      </c>
      <c r="O39" s="65">
        <f t="shared" si="5"/>
        <v>300</v>
      </c>
      <c r="P39" s="65"/>
      <c r="Q39" s="65"/>
      <c r="R39" s="170">
        <f t="shared" si="5"/>
        <v>606.55999999999995</v>
      </c>
      <c r="S39" s="170">
        <f t="shared" si="5"/>
        <v>606.55999999999995</v>
      </c>
      <c r="T39" s="65">
        <f t="shared" si="5"/>
        <v>0</v>
      </c>
      <c r="U39" s="65">
        <f t="shared" si="5"/>
        <v>0</v>
      </c>
      <c r="V39" s="65"/>
      <c r="W39" s="65"/>
      <c r="X39" s="65">
        <f t="shared" si="5"/>
        <v>0</v>
      </c>
      <c r="Y39" s="65">
        <f t="shared" si="5"/>
        <v>0</v>
      </c>
      <c r="Z39" s="65">
        <f t="shared" si="5"/>
        <v>20</v>
      </c>
      <c r="AA39" s="65">
        <f t="shared" si="5"/>
        <v>0</v>
      </c>
      <c r="AB39" s="65">
        <f t="shared" si="5"/>
        <v>0</v>
      </c>
      <c r="AC39" s="65">
        <f t="shared" si="5"/>
        <v>192.8</v>
      </c>
      <c r="AD39" s="65">
        <f t="shared" si="5"/>
        <v>0</v>
      </c>
      <c r="AE39" s="326">
        <f t="shared" si="5"/>
        <v>0</v>
      </c>
      <c r="AF39" s="65">
        <f t="shared" si="5"/>
        <v>13489.87</v>
      </c>
      <c r="AG39" s="77" t="s">
        <v>153</v>
      </c>
      <c r="AH39" s="85"/>
      <c r="AI39" s="16"/>
    </row>
    <row r="40" spans="1:35" ht="13.5" thickTop="1" x14ac:dyDescent="0.2">
      <c r="A40" s="77" t="s">
        <v>154</v>
      </c>
      <c r="B40" s="184" t="s">
        <v>354</v>
      </c>
      <c r="C40" s="26"/>
      <c r="D40" s="26"/>
      <c r="E40" s="26"/>
      <c r="F40" s="319"/>
      <c r="G40" s="169"/>
      <c r="H40" s="25"/>
      <c r="I40" s="25"/>
      <c r="J40" s="25"/>
      <c r="K40" s="25"/>
      <c r="L40" s="25"/>
      <c r="M40" s="25"/>
      <c r="N40" s="25"/>
      <c r="O40" s="25"/>
      <c r="P40" s="25"/>
      <c r="Q40" s="25"/>
      <c r="R40" s="172"/>
      <c r="S40" s="172"/>
      <c r="T40" s="25"/>
      <c r="U40" s="25"/>
      <c r="V40" s="25"/>
      <c r="W40" s="25"/>
      <c r="X40" s="25"/>
      <c r="Y40" s="25"/>
      <c r="Z40" s="25"/>
      <c r="AA40" s="25"/>
      <c r="AB40" s="25"/>
      <c r="AC40" s="25"/>
      <c r="AD40" s="25"/>
      <c r="AE40" s="331"/>
      <c r="AF40" s="91"/>
      <c r="AG40" s="77" t="s">
        <v>154</v>
      </c>
      <c r="AH40" s="94"/>
      <c r="AI40" s="16"/>
    </row>
    <row r="41" spans="1:35" ht="12.75" customHeight="1" x14ac:dyDescent="0.2">
      <c r="A41" s="77" t="s">
        <v>155</v>
      </c>
      <c r="B41" s="80" t="s">
        <v>197</v>
      </c>
      <c r="C41" s="43" t="s">
        <v>281</v>
      </c>
      <c r="D41" s="883" t="s">
        <v>253</v>
      </c>
      <c r="E41" s="884"/>
      <c r="F41" s="242">
        <v>12</v>
      </c>
      <c r="G41" s="190">
        <f>ROUND(7582/22,2)</f>
        <v>344.64</v>
      </c>
      <c r="H41" s="103">
        <f>G41*F41</f>
        <v>4135.68</v>
      </c>
      <c r="I41" s="26">
        <v>209.55</v>
      </c>
      <c r="J41" s="25"/>
      <c r="K41" s="25"/>
      <c r="L41" s="25"/>
      <c r="M41" s="25"/>
      <c r="N41" s="25"/>
      <c r="O41" s="25">
        <v>0</v>
      </c>
      <c r="P41" s="25"/>
      <c r="Q41" s="25"/>
      <c r="R41" s="188">
        <f>ROUND(G41*22*0.02,2)</f>
        <v>151.63999999999999</v>
      </c>
      <c r="S41" s="169">
        <f>R41</f>
        <v>151.63999999999999</v>
      </c>
      <c r="T41" s="26">
        <v>0</v>
      </c>
      <c r="U41" s="26">
        <v>0</v>
      </c>
      <c r="V41" s="25"/>
      <c r="W41" s="25"/>
      <c r="X41" s="25">
        <v>0</v>
      </c>
      <c r="Y41" s="25">
        <v>0</v>
      </c>
      <c r="Z41" s="25">
        <v>0</v>
      </c>
      <c r="AA41" s="25"/>
      <c r="AB41" s="25">
        <v>0</v>
      </c>
      <c r="AC41" s="25">
        <v>0</v>
      </c>
      <c r="AD41" s="25"/>
      <c r="AE41" s="331"/>
      <c r="AF41" s="91">
        <f>H41-(SUM(I41:R41)+T41+SUM(V41:AD41))</f>
        <v>3774.4900000000002</v>
      </c>
      <c r="AG41" s="77" t="s">
        <v>155</v>
      </c>
      <c r="AH41" s="94"/>
      <c r="AI41" s="16"/>
    </row>
    <row r="42" spans="1:35" ht="12.75" customHeight="1" x14ac:dyDescent="0.2">
      <c r="A42" s="77" t="s">
        <v>156</v>
      </c>
      <c r="B42" s="80" t="s">
        <v>209</v>
      </c>
      <c r="C42" s="43" t="s">
        <v>281</v>
      </c>
      <c r="D42" s="883" t="s">
        <v>253</v>
      </c>
      <c r="E42" s="884"/>
      <c r="F42" s="242">
        <v>12</v>
      </c>
      <c r="G42" s="190">
        <f>ROUND(7582/22,2)</f>
        <v>344.64</v>
      </c>
      <c r="H42" s="103">
        <f>G42*F42</f>
        <v>4135.68</v>
      </c>
      <c r="I42" s="26">
        <v>209.55</v>
      </c>
      <c r="J42" s="39"/>
      <c r="K42" s="39"/>
      <c r="L42" s="39"/>
      <c r="M42" s="39"/>
      <c r="N42" s="39">
        <v>0</v>
      </c>
      <c r="O42" s="39">
        <v>0</v>
      </c>
      <c r="P42" s="39"/>
      <c r="Q42" s="39"/>
      <c r="R42" s="188">
        <f>ROUND(G42*22*0.02,2)</f>
        <v>151.63999999999999</v>
      </c>
      <c r="S42" s="173">
        <f>R42</f>
        <v>151.63999999999999</v>
      </c>
      <c r="T42" s="38">
        <v>0</v>
      </c>
      <c r="U42" s="38">
        <v>0</v>
      </c>
      <c r="V42" s="39"/>
      <c r="W42" s="39"/>
      <c r="X42" s="39">
        <v>0</v>
      </c>
      <c r="Y42" s="39">
        <v>0</v>
      </c>
      <c r="Z42" s="39">
        <v>0</v>
      </c>
      <c r="AA42" s="39"/>
      <c r="AB42" s="39">
        <v>0</v>
      </c>
      <c r="AC42" s="39">
        <v>0</v>
      </c>
      <c r="AD42" s="39"/>
      <c r="AE42" s="328"/>
      <c r="AF42" s="89">
        <f>H42-(SUM(I42:R42)+T42+SUM(V42:AD42))</f>
        <v>3774.4900000000002</v>
      </c>
      <c r="AG42" s="77" t="s">
        <v>156</v>
      </c>
      <c r="AH42" s="94"/>
      <c r="AI42" s="16"/>
    </row>
    <row r="43" spans="1:35" ht="16.5" customHeight="1" thickBot="1" x14ac:dyDescent="0.4">
      <c r="A43" s="77" t="s">
        <v>157</v>
      </c>
      <c r="B43" s="80"/>
      <c r="C43" s="26"/>
      <c r="D43" s="26"/>
      <c r="E43" s="26"/>
      <c r="F43" s="319"/>
      <c r="G43" s="169"/>
      <c r="H43" s="65">
        <f>SUM(H41:H42)</f>
        <v>8271.36</v>
      </c>
      <c r="I43" s="65">
        <f t="shared" ref="I43:AF43" si="6">SUM(I41:I42)</f>
        <v>419.1</v>
      </c>
      <c r="J43" s="65">
        <f t="shared" si="6"/>
        <v>0</v>
      </c>
      <c r="K43" s="65">
        <f t="shared" si="6"/>
        <v>0</v>
      </c>
      <c r="L43" s="65">
        <f t="shared" si="6"/>
        <v>0</v>
      </c>
      <c r="M43" s="65">
        <f t="shared" si="6"/>
        <v>0</v>
      </c>
      <c r="N43" s="65">
        <f t="shared" si="6"/>
        <v>0</v>
      </c>
      <c r="O43" s="65">
        <f t="shared" si="6"/>
        <v>0</v>
      </c>
      <c r="P43" s="65"/>
      <c r="Q43" s="65"/>
      <c r="R43" s="170">
        <f t="shared" si="6"/>
        <v>303.27999999999997</v>
      </c>
      <c r="S43" s="170">
        <f t="shared" si="6"/>
        <v>303.27999999999997</v>
      </c>
      <c r="T43" s="65">
        <f t="shared" si="6"/>
        <v>0</v>
      </c>
      <c r="U43" s="65">
        <f t="shared" si="6"/>
        <v>0</v>
      </c>
      <c r="V43" s="65"/>
      <c r="W43" s="65"/>
      <c r="X43" s="65">
        <f t="shared" si="6"/>
        <v>0</v>
      </c>
      <c r="Y43" s="65">
        <f t="shared" si="6"/>
        <v>0</v>
      </c>
      <c r="Z43" s="65">
        <f t="shared" si="6"/>
        <v>0</v>
      </c>
      <c r="AA43" s="65">
        <f t="shared" si="6"/>
        <v>0</v>
      </c>
      <c r="AB43" s="65">
        <f t="shared" si="6"/>
        <v>0</v>
      </c>
      <c r="AC43" s="65">
        <f t="shared" si="6"/>
        <v>0</v>
      </c>
      <c r="AD43" s="65">
        <f t="shared" si="6"/>
        <v>0</v>
      </c>
      <c r="AE43" s="326">
        <f t="shared" si="6"/>
        <v>0</v>
      </c>
      <c r="AF43" s="65">
        <f t="shared" si="6"/>
        <v>7548.9800000000005</v>
      </c>
      <c r="AG43" s="77" t="s">
        <v>157</v>
      </c>
      <c r="AH43" s="85"/>
      <c r="AI43" s="16"/>
    </row>
    <row r="44" spans="1:35" ht="12.75" customHeight="1" thickTop="1" x14ac:dyDescent="0.2">
      <c r="A44" s="77" t="s">
        <v>97</v>
      </c>
      <c r="B44" s="184" t="s">
        <v>356</v>
      </c>
      <c r="C44" s="26"/>
      <c r="D44" s="26"/>
      <c r="E44" s="26"/>
      <c r="F44" s="318"/>
      <c r="G44" s="172"/>
      <c r="H44" s="39"/>
      <c r="I44" s="39"/>
      <c r="J44" s="39"/>
      <c r="K44" s="39"/>
      <c r="L44" s="39"/>
      <c r="M44" s="39"/>
      <c r="N44" s="39"/>
      <c r="O44" s="39"/>
      <c r="P44" s="39"/>
      <c r="Q44" s="39"/>
      <c r="R44" s="171"/>
      <c r="S44" s="171"/>
      <c r="T44" s="39"/>
      <c r="U44" s="39"/>
      <c r="V44" s="39"/>
      <c r="W44" s="39"/>
      <c r="X44" s="39"/>
      <c r="Y44" s="39"/>
      <c r="Z44" s="39"/>
      <c r="AA44" s="39"/>
      <c r="AB44" s="39"/>
      <c r="AC44" s="39"/>
      <c r="AD44" s="39"/>
      <c r="AE44" s="328"/>
      <c r="AF44" s="89"/>
      <c r="AG44" s="77" t="s">
        <v>97</v>
      </c>
      <c r="AH44" s="94"/>
      <c r="AI44" s="16"/>
    </row>
    <row r="45" spans="1:35" ht="12.75" customHeight="1" x14ac:dyDescent="0.2">
      <c r="A45" s="77" t="s">
        <v>99</v>
      </c>
      <c r="B45" s="78" t="s">
        <v>265</v>
      </c>
      <c r="C45" s="43" t="s">
        <v>281</v>
      </c>
      <c r="D45" s="883" t="s">
        <v>253</v>
      </c>
      <c r="E45" s="884"/>
      <c r="F45" s="242">
        <v>13</v>
      </c>
      <c r="G45" s="190">
        <f>ROUND(7582/22,2)</f>
        <v>344.64</v>
      </c>
      <c r="H45" s="103">
        <f>G45*F45</f>
        <v>4480.32</v>
      </c>
      <c r="I45" s="26">
        <v>209.55</v>
      </c>
      <c r="J45" s="26"/>
      <c r="K45" s="26"/>
      <c r="L45" s="26"/>
      <c r="M45" s="26" t="s">
        <v>37</v>
      </c>
      <c r="N45" s="26">
        <v>1186.6099999999999</v>
      </c>
      <c r="O45" s="26">
        <v>0</v>
      </c>
      <c r="P45" s="26"/>
      <c r="Q45" s="26"/>
      <c r="R45" s="188">
        <f>ROUND(G45*22*0.02,2)</f>
        <v>151.63999999999999</v>
      </c>
      <c r="S45" s="169">
        <f>R45</f>
        <v>151.63999999999999</v>
      </c>
      <c r="T45" s="26"/>
      <c r="U45" s="26"/>
      <c r="V45" s="26"/>
      <c r="W45" s="26"/>
      <c r="X45" s="26"/>
      <c r="Y45" s="26"/>
      <c r="Z45" s="26">
        <v>0</v>
      </c>
      <c r="AA45" s="26"/>
      <c r="AB45" s="26">
        <v>0</v>
      </c>
      <c r="AC45" s="26">
        <v>373.33</v>
      </c>
      <c r="AD45" s="26" t="s">
        <v>37</v>
      </c>
      <c r="AE45" s="329"/>
      <c r="AF45" s="90">
        <f>H45-(SUM(I45:R45)+T45+SUM(V45:AD45))</f>
        <v>2559.19</v>
      </c>
      <c r="AG45" s="77" t="s">
        <v>99</v>
      </c>
      <c r="AH45" s="94"/>
      <c r="AI45" s="16"/>
    </row>
    <row r="46" spans="1:35" ht="12.75" customHeight="1" thickBot="1" x14ac:dyDescent="0.4">
      <c r="A46" s="77" t="s">
        <v>46</v>
      </c>
      <c r="B46" s="80"/>
      <c r="C46" s="26"/>
      <c r="D46" s="26"/>
      <c r="E46" s="26"/>
      <c r="F46" s="318"/>
      <c r="G46" s="172"/>
      <c r="H46" s="97">
        <f>H45</f>
        <v>4480.32</v>
      </c>
      <c r="I46" s="97">
        <f t="shared" ref="I46:AF46" si="7">I45</f>
        <v>209.55</v>
      </c>
      <c r="J46" s="97">
        <f t="shared" si="7"/>
        <v>0</v>
      </c>
      <c r="K46" s="97">
        <f t="shared" si="7"/>
        <v>0</v>
      </c>
      <c r="L46" s="97">
        <f t="shared" si="7"/>
        <v>0</v>
      </c>
      <c r="M46" s="97" t="str">
        <f t="shared" si="7"/>
        <v xml:space="preserve"> </v>
      </c>
      <c r="N46" s="97">
        <f t="shared" si="7"/>
        <v>1186.6099999999999</v>
      </c>
      <c r="O46" s="97">
        <f t="shared" si="7"/>
        <v>0</v>
      </c>
      <c r="P46" s="97"/>
      <c r="Q46" s="97"/>
      <c r="R46" s="189">
        <f t="shared" si="7"/>
        <v>151.63999999999999</v>
      </c>
      <c r="S46" s="189">
        <f t="shared" si="7"/>
        <v>151.63999999999999</v>
      </c>
      <c r="T46" s="97">
        <f t="shared" si="7"/>
        <v>0</v>
      </c>
      <c r="U46" s="97">
        <f t="shared" si="7"/>
        <v>0</v>
      </c>
      <c r="V46" s="97"/>
      <c r="W46" s="97"/>
      <c r="X46" s="97">
        <f t="shared" si="7"/>
        <v>0</v>
      </c>
      <c r="Y46" s="97">
        <f t="shared" si="7"/>
        <v>0</v>
      </c>
      <c r="Z46" s="97">
        <f t="shared" si="7"/>
        <v>0</v>
      </c>
      <c r="AA46" s="97">
        <f t="shared" si="7"/>
        <v>0</v>
      </c>
      <c r="AB46" s="97">
        <f t="shared" si="7"/>
        <v>0</v>
      </c>
      <c r="AC46" s="97">
        <f t="shared" si="7"/>
        <v>373.33</v>
      </c>
      <c r="AD46" s="97" t="str">
        <f t="shared" si="7"/>
        <v xml:space="preserve"> </v>
      </c>
      <c r="AE46" s="330">
        <f t="shared" si="7"/>
        <v>0</v>
      </c>
      <c r="AF46" s="97">
        <f t="shared" si="7"/>
        <v>2559.19</v>
      </c>
      <c r="AG46" s="77" t="s">
        <v>46</v>
      </c>
      <c r="AH46" s="85"/>
      <c r="AI46" s="16"/>
    </row>
    <row r="47" spans="1:35" ht="12.75" customHeight="1" thickTop="1" x14ac:dyDescent="0.2">
      <c r="A47" s="77" t="s">
        <v>47</v>
      </c>
      <c r="B47" s="184" t="s">
        <v>357</v>
      </c>
      <c r="C47" s="26"/>
      <c r="D47" s="26"/>
      <c r="E47" s="26"/>
      <c r="F47" s="319"/>
      <c r="G47" s="169"/>
      <c r="H47" s="25"/>
      <c r="I47" s="25"/>
      <c r="J47" s="25"/>
      <c r="K47" s="25"/>
      <c r="L47" s="25"/>
      <c r="M47" s="25"/>
      <c r="N47" s="25"/>
      <c r="O47" s="25"/>
      <c r="P47" s="25"/>
      <c r="Q47" s="25"/>
      <c r="R47" s="172"/>
      <c r="S47" s="172"/>
      <c r="T47" s="25"/>
      <c r="U47" s="25"/>
      <c r="V47" s="25"/>
      <c r="W47" s="25"/>
      <c r="X47" s="25"/>
      <c r="Y47" s="25"/>
      <c r="Z47" s="25"/>
      <c r="AA47" s="25"/>
      <c r="AB47" s="25"/>
      <c r="AC47" s="25"/>
      <c r="AD47" s="25"/>
      <c r="AE47" s="331"/>
      <c r="AF47" s="91"/>
      <c r="AG47" s="77" t="s">
        <v>47</v>
      </c>
      <c r="AH47" s="94"/>
      <c r="AI47" s="16"/>
    </row>
    <row r="48" spans="1:35" ht="12.75" customHeight="1" x14ac:dyDescent="0.2">
      <c r="A48" s="77" t="s">
        <v>100</v>
      </c>
      <c r="B48" s="80" t="s">
        <v>370</v>
      </c>
      <c r="C48" s="43" t="s">
        <v>281</v>
      </c>
      <c r="D48" s="883" t="s">
        <v>253</v>
      </c>
      <c r="E48" s="884"/>
      <c r="F48" s="320">
        <v>12</v>
      </c>
      <c r="G48" s="190">
        <f>ROUND(7582/22,2)</f>
        <v>344.64</v>
      </c>
      <c r="H48" s="103">
        <f>G48*F48</f>
        <v>4135.68</v>
      </c>
      <c r="I48" s="39"/>
      <c r="J48" s="39"/>
      <c r="K48" s="39"/>
      <c r="L48" s="39"/>
      <c r="M48" s="39"/>
      <c r="N48" s="39"/>
      <c r="O48" s="39"/>
      <c r="P48" s="39"/>
      <c r="Q48" s="39"/>
      <c r="R48" s="188">
        <f>ROUND(G48*22*0.02,2)</f>
        <v>151.63999999999999</v>
      </c>
      <c r="S48" s="169">
        <f>R48</f>
        <v>151.63999999999999</v>
      </c>
      <c r="T48" s="25"/>
      <c r="U48" s="25"/>
      <c r="V48" s="39"/>
      <c r="W48" s="39"/>
      <c r="X48" s="38">
        <v>0</v>
      </c>
      <c r="Y48" s="38">
        <v>0</v>
      </c>
      <c r="Z48" s="38">
        <v>0</v>
      </c>
      <c r="AA48" s="38"/>
      <c r="AB48" s="38">
        <v>0</v>
      </c>
      <c r="AC48" s="38">
        <v>0</v>
      </c>
      <c r="AD48" s="39"/>
      <c r="AE48" s="331"/>
      <c r="AF48" s="91">
        <f>H48-(SUM(I48:R48)+T48+SUM(V48:AD48))</f>
        <v>3984.0400000000004</v>
      </c>
      <c r="AG48" s="77" t="s">
        <v>100</v>
      </c>
      <c r="AH48" s="94"/>
      <c r="AI48" s="16"/>
    </row>
    <row r="49" spans="1:35" ht="12.75" customHeight="1" x14ac:dyDescent="0.2">
      <c r="A49" s="77" t="s">
        <v>101</v>
      </c>
      <c r="B49" s="80" t="s">
        <v>269</v>
      </c>
      <c r="C49" s="43" t="s">
        <v>281</v>
      </c>
      <c r="D49" s="883" t="s">
        <v>253</v>
      </c>
      <c r="E49" s="884"/>
      <c r="F49" s="242">
        <v>12</v>
      </c>
      <c r="G49" s="190">
        <f>ROUND(7582/22,2)</f>
        <v>344.64</v>
      </c>
      <c r="H49" s="103">
        <f>G49*F49</f>
        <v>4135.68</v>
      </c>
      <c r="I49" s="38">
        <v>0</v>
      </c>
      <c r="J49" s="38"/>
      <c r="K49" s="38"/>
      <c r="L49" s="38">
        <v>0</v>
      </c>
      <c r="M49" s="38"/>
      <c r="N49" s="38">
        <v>0</v>
      </c>
      <c r="O49" s="38">
        <v>0</v>
      </c>
      <c r="P49" s="38"/>
      <c r="Q49" s="38"/>
      <c r="R49" s="188">
        <f>ROUND(G49*22*0.02,2)</f>
        <v>151.63999999999999</v>
      </c>
      <c r="S49" s="169">
        <f>R49</f>
        <v>151.63999999999999</v>
      </c>
      <c r="T49" s="26">
        <v>0</v>
      </c>
      <c r="U49" s="26">
        <v>0</v>
      </c>
      <c r="V49" s="38"/>
      <c r="W49" s="38"/>
      <c r="X49" s="38">
        <v>0</v>
      </c>
      <c r="Y49" s="38">
        <v>0</v>
      </c>
      <c r="Z49" s="38">
        <v>0</v>
      </c>
      <c r="AA49" s="38"/>
      <c r="AB49" s="38">
        <v>0</v>
      </c>
      <c r="AC49" s="38">
        <v>0</v>
      </c>
      <c r="AD49" s="38"/>
      <c r="AE49" s="329"/>
      <c r="AF49" s="90">
        <f>H49-(SUM(I49:R49)+T49+SUM(V49:AD49))+AA49</f>
        <v>3984.0400000000004</v>
      </c>
      <c r="AG49" s="77" t="s">
        <v>101</v>
      </c>
      <c r="AH49" s="94"/>
      <c r="AI49" s="16"/>
    </row>
    <row r="50" spans="1:35" ht="12.75" customHeight="1" x14ac:dyDescent="0.2">
      <c r="A50" s="77" t="s">
        <v>162</v>
      </c>
      <c r="B50" s="51" t="s">
        <v>285</v>
      </c>
      <c r="C50" s="43" t="s">
        <v>281</v>
      </c>
      <c r="D50" s="883" t="s">
        <v>253</v>
      </c>
      <c r="E50" s="884"/>
      <c r="F50" s="242">
        <v>12</v>
      </c>
      <c r="G50" s="190">
        <f>ROUND(7582/22,2)</f>
        <v>344.64</v>
      </c>
      <c r="H50" s="103">
        <f>G50*F50</f>
        <v>4135.68</v>
      </c>
      <c r="I50" s="38">
        <v>209.55</v>
      </c>
      <c r="J50" s="38"/>
      <c r="K50" s="38"/>
      <c r="L50" s="38">
        <v>0</v>
      </c>
      <c r="M50" s="38"/>
      <c r="N50" s="38">
        <v>0</v>
      </c>
      <c r="O50" s="38">
        <v>0</v>
      </c>
      <c r="P50" s="38"/>
      <c r="Q50" s="38"/>
      <c r="R50" s="188">
        <f>ROUND(G50*22*0.02,2)</f>
        <v>151.63999999999999</v>
      </c>
      <c r="S50" s="169">
        <f>R50</f>
        <v>151.63999999999999</v>
      </c>
      <c r="T50" s="26">
        <v>0</v>
      </c>
      <c r="U50" s="26">
        <v>0</v>
      </c>
      <c r="V50" s="38"/>
      <c r="W50" s="38"/>
      <c r="X50" s="38">
        <v>0</v>
      </c>
      <c r="Y50" s="38">
        <v>0</v>
      </c>
      <c r="Z50" s="38">
        <v>0</v>
      </c>
      <c r="AA50" s="38"/>
      <c r="AB50" s="38">
        <v>0</v>
      </c>
      <c r="AC50" s="38">
        <v>0</v>
      </c>
      <c r="AD50" s="38"/>
      <c r="AE50" s="329"/>
      <c r="AF50" s="90">
        <f>H50-(SUM(I50:R50)+T50+SUM(V50:AD50))+AA50</f>
        <v>3774.4900000000002</v>
      </c>
      <c r="AG50" s="77" t="s">
        <v>162</v>
      </c>
      <c r="AH50" s="94"/>
      <c r="AI50" s="16"/>
    </row>
    <row r="51" spans="1:35" ht="12.75" customHeight="1" thickBot="1" x14ac:dyDescent="0.4">
      <c r="A51" s="77" t="s">
        <v>177</v>
      </c>
      <c r="B51" s="80"/>
      <c r="C51" s="26"/>
      <c r="D51" s="26"/>
      <c r="E51" s="26"/>
      <c r="F51" s="319"/>
      <c r="G51" s="169"/>
      <c r="H51" s="97">
        <f>SUM(H48:H50)</f>
        <v>12407.04</v>
      </c>
      <c r="I51" s="97">
        <f t="shared" ref="I51:AE51" si="8">SUM(I49:I50)</f>
        <v>209.55</v>
      </c>
      <c r="J51" s="97">
        <f t="shared" si="8"/>
        <v>0</v>
      </c>
      <c r="K51" s="97">
        <f t="shared" si="8"/>
        <v>0</v>
      </c>
      <c r="L51" s="97">
        <f t="shared" si="8"/>
        <v>0</v>
      </c>
      <c r="M51" s="97">
        <f t="shared" si="8"/>
        <v>0</v>
      </c>
      <c r="N51" s="97">
        <f t="shared" si="8"/>
        <v>0</v>
      </c>
      <c r="O51" s="97">
        <f t="shared" si="8"/>
        <v>0</v>
      </c>
      <c r="P51" s="97"/>
      <c r="Q51" s="97"/>
      <c r="R51" s="189">
        <f>SUM(R48:R50)</f>
        <v>454.91999999999996</v>
      </c>
      <c r="S51" s="189">
        <f>SUM(S48:S50)</f>
        <v>454.91999999999996</v>
      </c>
      <c r="T51" s="97">
        <f t="shared" si="8"/>
        <v>0</v>
      </c>
      <c r="U51" s="97">
        <f t="shared" si="8"/>
        <v>0</v>
      </c>
      <c r="V51" s="97"/>
      <c r="W51" s="97"/>
      <c r="X51" s="97">
        <f t="shared" si="8"/>
        <v>0</v>
      </c>
      <c r="Y51" s="97">
        <f t="shared" si="8"/>
        <v>0</v>
      </c>
      <c r="Z51" s="97">
        <f t="shared" si="8"/>
        <v>0</v>
      </c>
      <c r="AA51" s="97">
        <f t="shared" si="8"/>
        <v>0</v>
      </c>
      <c r="AB51" s="97">
        <f t="shared" si="8"/>
        <v>0</v>
      </c>
      <c r="AC51" s="97">
        <f t="shared" si="8"/>
        <v>0</v>
      </c>
      <c r="AD51" s="97">
        <f t="shared" si="8"/>
        <v>0</v>
      </c>
      <c r="AE51" s="330">
        <f t="shared" si="8"/>
        <v>0</v>
      </c>
      <c r="AF51" s="97">
        <f>SUM(AF48:AF50)</f>
        <v>11742.570000000002</v>
      </c>
      <c r="AG51" s="77" t="s">
        <v>177</v>
      </c>
      <c r="AH51" s="85"/>
      <c r="AI51" s="16"/>
    </row>
    <row r="52" spans="1:35" ht="13.5" thickTop="1" x14ac:dyDescent="0.2">
      <c r="A52" s="77" t="s">
        <v>178</v>
      </c>
      <c r="B52" s="184" t="s">
        <v>358</v>
      </c>
      <c r="C52" s="26"/>
      <c r="D52" s="26"/>
      <c r="E52" s="26"/>
      <c r="F52" s="318"/>
      <c r="G52" s="172"/>
      <c r="H52" s="25"/>
      <c r="I52" s="25"/>
      <c r="J52" s="25"/>
      <c r="K52" s="25"/>
      <c r="L52" s="25"/>
      <c r="M52" s="25"/>
      <c r="N52" s="25"/>
      <c r="O52" s="25"/>
      <c r="P52" s="25"/>
      <c r="Q52" s="25"/>
      <c r="R52" s="172"/>
      <c r="S52" s="172"/>
      <c r="T52" s="25"/>
      <c r="U52" s="25"/>
      <c r="V52" s="25"/>
      <c r="W52" s="25"/>
      <c r="X52" s="25"/>
      <c r="Y52" s="25"/>
      <c r="Z52" s="25"/>
      <c r="AA52" s="25"/>
      <c r="AB52" s="25"/>
      <c r="AC52" s="25"/>
      <c r="AD52" s="25"/>
      <c r="AE52" s="331"/>
      <c r="AF52" s="91"/>
      <c r="AG52" s="77" t="s">
        <v>178</v>
      </c>
      <c r="AH52" s="94"/>
      <c r="AI52" s="16"/>
    </row>
    <row r="53" spans="1:35" ht="12.75" customHeight="1" x14ac:dyDescent="0.2">
      <c r="A53" s="77" t="s">
        <v>179</v>
      </c>
      <c r="B53" s="81" t="s">
        <v>169</v>
      </c>
      <c r="C53" s="43" t="s">
        <v>281</v>
      </c>
      <c r="D53" s="883" t="s">
        <v>253</v>
      </c>
      <c r="E53" s="884"/>
      <c r="F53" s="242">
        <v>12</v>
      </c>
      <c r="G53" s="190">
        <f>ROUND(7582/22,2)</f>
        <v>344.64</v>
      </c>
      <c r="H53" s="103">
        <f>G53*F53</f>
        <v>4135.68</v>
      </c>
      <c r="I53" s="25">
        <v>0</v>
      </c>
      <c r="J53" s="25"/>
      <c r="K53" s="25"/>
      <c r="L53" s="25">
        <v>0</v>
      </c>
      <c r="M53" s="25" t="s">
        <v>37</v>
      </c>
      <c r="N53" s="25">
        <v>1412.11</v>
      </c>
      <c r="O53" s="25">
        <v>0</v>
      </c>
      <c r="P53" s="25"/>
      <c r="Q53" s="25"/>
      <c r="R53" s="188">
        <f>ROUND(G53*22*0.02,2)</f>
        <v>151.63999999999999</v>
      </c>
      <c r="S53" s="169">
        <f>R53</f>
        <v>151.63999999999999</v>
      </c>
      <c r="T53" s="26">
        <v>0</v>
      </c>
      <c r="U53" s="26">
        <v>0</v>
      </c>
      <c r="V53" s="25"/>
      <c r="W53" s="25"/>
      <c r="X53" s="25">
        <v>0</v>
      </c>
      <c r="Y53" s="25">
        <v>0</v>
      </c>
      <c r="Z53" s="25">
        <v>0</v>
      </c>
      <c r="AA53" s="25"/>
      <c r="AB53" s="25">
        <v>0</v>
      </c>
      <c r="AC53" s="25">
        <v>0</v>
      </c>
      <c r="AD53" s="25"/>
      <c r="AE53" s="331"/>
      <c r="AF53" s="91">
        <f>H53-(SUM(I53:R53)+T53+SUM(V53:AD53))</f>
        <v>2571.9300000000003</v>
      </c>
      <c r="AG53" s="77" t="s">
        <v>179</v>
      </c>
      <c r="AH53" s="94"/>
      <c r="AI53" s="16"/>
    </row>
    <row r="54" spans="1:35" ht="12.75" customHeight="1" x14ac:dyDescent="0.2">
      <c r="A54" s="77" t="s">
        <v>180</v>
      </c>
      <c r="B54" s="80" t="s">
        <v>247</v>
      </c>
      <c r="C54" s="43" t="s">
        <v>281</v>
      </c>
      <c r="D54" s="883" t="s">
        <v>253</v>
      </c>
      <c r="E54" s="884"/>
      <c r="F54" s="242">
        <v>12</v>
      </c>
      <c r="G54" s="190">
        <f>ROUND(7582/22,2)</f>
        <v>344.64</v>
      </c>
      <c r="H54" s="103">
        <f>G54*F54</f>
        <v>4135.68</v>
      </c>
      <c r="I54" s="25">
        <v>0</v>
      </c>
      <c r="J54" s="25"/>
      <c r="K54" s="25"/>
      <c r="L54" s="25">
        <v>327.78</v>
      </c>
      <c r="M54" s="25" t="s">
        <v>37</v>
      </c>
      <c r="N54" s="25"/>
      <c r="O54" s="25">
        <v>0</v>
      </c>
      <c r="P54" s="25"/>
      <c r="Q54" s="25"/>
      <c r="R54" s="188">
        <f>ROUND(G54*22*0.02,2)</f>
        <v>151.63999999999999</v>
      </c>
      <c r="S54" s="169">
        <f>R54</f>
        <v>151.63999999999999</v>
      </c>
      <c r="T54" s="26">
        <v>0</v>
      </c>
      <c r="U54" s="26">
        <v>0</v>
      </c>
      <c r="V54" s="25"/>
      <c r="W54" s="25"/>
      <c r="X54" s="25">
        <v>0</v>
      </c>
      <c r="Y54" s="25">
        <v>0</v>
      </c>
      <c r="Z54" s="25">
        <v>0</v>
      </c>
      <c r="AA54" s="25"/>
      <c r="AB54" s="25">
        <v>0</v>
      </c>
      <c r="AC54" s="25">
        <v>0</v>
      </c>
      <c r="AD54" s="25"/>
      <c r="AE54" s="331"/>
      <c r="AF54" s="91">
        <f>H54-(SUM(I54:R54)+T54+SUM(V54:AD54))</f>
        <v>3656.26</v>
      </c>
      <c r="AG54" s="77" t="s">
        <v>180</v>
      </c>
      <c r="AH54" s="94"/>
      <c r="AI54" s="16"/>
    </row>
    <row r="55" spans="1:35" ht="16.5" customHeight="1" thickBot="1" x14ac:dyDescent="0.4">
      <c r="A55" s="77" t="s">
        <v>181</v>
      </c>
      <c r="B55" s="80"/>
      <c r="C55" s="26"/>
      <c r="D55" s="26"/>
      <c r="E55" s="26"/>
      <c r="F55" s="319"/>
      <c r="G55" s="169"/>
      <c r="H55" s="65">
        <f t="shared" ref="H55:O55" si="9">SUM(H53:H54)</f>
        <v>8271.36</v>
      </c>
      <c r="I55" s="65">
        <f t="shared" si="9"/>
        <v>0</v>
      </c>
      <c r="J55" s="65">
        <f t="shared" si="9"/>
        <v>0</v>
      </c>
      <c r="K55" s="65">
        <f t="shared" si="9"/>
        <v>0</v>
      </c>
      <c r="L55" s="65">
        <f t="shared" si="9"/>
        <v>327.78</v>
      </c>
      <c r="M55" s="65">
        <f t="shared" si="9"/>
        <v>0</v>
      </c>
      <c r="N55" s="65">
        <f t="shared" si="9"/>
        <v>1412.11</v>
      </c>
      <c r="O55" s="65">
        <f t="shared" si="9"/>
        <v>0</v>
      </c>
      <c r="P55" s="65"/>
      <c r="Q55" s="65"/>
      <c r="R55" s="170">
        <f t="shared" ref="R55:AF55" si="10">SUM(R53:R54)</f>
        <v>303.27999999999997</v>
      </c>
      <c r="S55" s="170">
        <f t="shared" si="10"/>
        <v>303.27999999999997</v>
      </c>
      <c r="T55" s="65">
        <f t="shared" si="10"/>
        <v>0</v>
      </c>
      <c r="U55" s="65">
        <f t="shared" si="10"/>
        <v>0</v>
      </c>
      <c r="V55" s="65"/>
      <c r="W55" s="65"/>
      <c r="X55" s="65">
        <f t="shared" si="10"/>
        <v>0</v>
      </c>
      <c r="Y55" s="65">
        <f t="shared" si="10"/>
        <v>0</v>
      </c>
      <c r="Z55" s="65">
        <f t="shared" si="10"/>
        <v>0</v>
      </c>
      <c r="AA55" s="65">
        <f t="shared" si="10"/>
        <v>0</v>
      </c>
      <c r="AB55" s="65">
        <f t="shared" si="10"/>
        <v>0</v>
      </c>
      <c r="AC55" s="65">
        <f t="shared" si="10"/>
        <v>0</v>
      </c>
      <c r="AD55" s="65">
        <f t="shared" si="10"/>
        <v>0</v>
      </c>
      <c r="AE55" s="326">
        <f t="shared" si="10"/>
        <v>0</v>
      </c>
      <c r="AF55" s="65">
        <f t="shared" si="10"/>
        <v>6228.1900000000005</v>
      </c>
      <c r="AG55" s="77" t="s">
        <v>181</v>
      </c>
      <c r="AH55" s="85"/>
      <c r="AI55" s="16"/>
    </row>
    <row r="56" spans="1:35" ht="13.5" thickTop="1" x14ac:dyDescent="0.2">
      <c r="A56" s="77" t="s">
        <v>186</v>
      </c>
      <c r="B56" s="184" t="s">
        <v>359</v>
      </c>
      <c r="C56" s="26"/>
      <c r="D56" s="26"/>
      <c r="E56" s="26"/>
      <c r="F56" s="319"/>
      <c r="G56" s="169"/>
      <c r="H56" s="25"/>
      <c r="I56" s="25"/>
      <c r="J56" s="25"/>
      <c r="K56" s="25"/>
      <c r="L56" s="25"/>
      <c r="M56" s="25"/>
      <c r="N56" s="25"/>
      <c r="O56" s="25"/>
      <c r="P56" s="25"/>
      <c r="Q56" s="25"/>
      <c r="R56" s="172"/>
      <c r="S56" s="172"/>
      <c r="T56" s="25"/>
      <c r="U56" s="25"/>
      <c r="V56" s="25"/>
      <c r="W56" s="25"/>
      <c r="X56" s="25"/>
      <c r="Y56" s="25"/>
      <c r="Z56" s="25"/>
      <c r="AA56" s="25"/>
      <c r="AB56" s="25"/>
      <c r="AC56" s="25"/>
      <c r="AD56" s="25"/>
      <c r="AE56" s="331"/>
      <c r="AF56" s="91"/>
      <c r="AG56" s="77" t="s">
        <v>186</v>
      </c>
      <c r="AH56" s="94"/>
      <c r="AI56" s="16"/>
    </row>
    <row r="57" spans="1:35" ht="12.75" customHeight="1" x14ac:dyDescent="0.2">
      <c r="A57" s="77" t="s">
        <v>189</v>
      </c>
      <c r="B57" s="80" t="s">
        <v>215</v>
      </c>
      <c r="C57" s="43" t="s">
        <v>281</v>
      </c>
      <c r="D57" s="883" t="s">
        <v>253</v>
      </c>
      <c r="E57" s="884"/>
      <c r="F57" s="242">
        <v>12</v>
      </c>
      <c r="G57" s="190">
        <f>ROUND(7582/22,2)</f>
        <v>344.64</v>
      </c>
      <c r="H57" s="27">
        <f>G57*F57</f>
        <v>4135.68</v>
      </c>
      <c r="I57" s="38"/>
      <c r="J57" s="38"/>
      <c r="K57" s="38"/>
      <c r="L57" s="38"/>
      <c r="M57" s="38"/>
      <c r="N57" s="38">
        <v>678.06</v>
      </c>
      <c r="O57" s="38"/>
      <c r="P57" s="38"/>
      <c r="Q57" s="38"/>
      <c r="R57" s="188">
        <f>ROUND(G57*22*0.02,2)</f>
        <v>151.63999999999999</v>
      </c>
      <c r="S57" s="169">
        <f>R57</f>
        <v>151.63999999999999</v>
      </c>
      <c r="T57" s="26"/>
      <c r="U57" s="26"/>
      <c r="V57" s="38"/>
      <c r="W57" s="38"/>
      <c r="X57" s="38"/>
      <c r="Y57" s="38"/>
      <c r="Z57" s="38">
        <v>20</v>
      </c>
      <c r="AA57" s="38"/>
      <c r="AB57" s="38">
        <v>0</v>
      </c>
      <c r="AC57" s="38">
        <v>0</v>
      </c>
      <c r="AD57" s="38"/>
      <c r="AE57" s="329"/>
      <c r="AF57" s="91">
        <f>H57-(SUM(I57:R57)+T57+SUM(V57:AD57))</f>
        <v>3285.9800000000005</v>
      </c>
      <c r="AG57" s="77" t="s">
        <v>189</v>
      </c>
      <c r="AH57" s="94"/>
      <c r="AI57" s="16"/>
    </row>
    <row r="58" spans="1:35" ht="12.75" customHeight="1" x14ac:dyDescent="0.2">
      <c r="A58" s="77" t="s">
        <v>190</v>
      </c>
      <c r="B58" s="80" t="s">
        <v>364</v>
      </c>
      <c r="C58" s="43" t="s">
        <v>281</v>
      </c>
      <c r="D58" s="883" t="s">
        <v>253</v>
      </c>
      <c r="E58" s="884"/>
      <c r="F58" s="242">
        <v>12</v>
      </c>
      <c r="G58" s="190">
        <f>ROUND(7582/22,2)</f>
        <v>344.64</v>
      </c>
      <c r="H58" s="27">
        <f>G58*F58</f>
        <v>4135.68</v>
      </c>
      <c r="I58" s="26">
        <v>209.55</v>
      </c>
      <c r="J58" s="26"/>
      <c r="K58" s="26"/>
      <c r="L58" s="26"/>
      <c r="M58" s="26"/>
      <c r="N58" s="38"/>
      <c r="O58" s="26"/>
      <c r="P58" s="26"/>
      <c r="Q58" s="26"/>
      <c r="R58" s="188">
        <f>ROUND(G58*22*0.02,2)</f>
        <v>151.63999999999999</v>
      </c>
      <c r="S58" s="169">
        <f>R58</f>
        <v>151.63999999999999</v>
      </c>
      <c r="T58" s="26"/>
      <c r="U58" s="26"/>
      <c r="V58" s="26"/>
      <c r="W58" s="26"/>
      <c r="X58" s="26"/>
      <c r="Y58" s="26"/>
      <c r="Z58" s="26"/>
      <c r="AA58" s="26"/>
      <c r="AB58" s="26"/>
      <c r="AC58" s="26"/>
      <c r="AD58" s="26" t="s">
        <v>37</v>
      </c>
      <c r="AE58" s="331"/>
      <c r="AF58" s="91">
        <f>H58-(SUM(I58:R58)+T58+SUM(V58:AD58))</f>
        <v>3774.4900000000002</v>
      </c>
      <c r="AG58" s="77" t="s">
        <v>190</v>
      </c>
      <c r="AH58" s="94"/>
      <c r="AI58" s="16"/>
    </row>
    <row r="59" spans="1:35" ht="15" customHeight="1" x14ac:dyDescent="0.2">
      <c r="A59" s="77" t="s">
        <v>191</v>
      </c>
      <c r="B59" s="80" t="s">
        <v>344</v>
      </c>
      <c r="C59" s="43" t="s">
        <v>281</v>
      </c>
      <c r="D59" s="883" t="s">
        <v>253</v>
      </c>
      <c r="E59" s="884"/>
      <c r="F59" s="242">
        <v>11</v>
      </c>
      <c r="G59" s="190">
        <f>ROUND(7582/22,2)</f>
        <v>344.64</v>
      </c>
      <c r="H59" s="27">
        <f>G59*F59</f>
        <v>3791.04</v>
      </c>
      <c r="I59" s="26"/>
      <c r="J59" s="26"/>
      <c r="K59" s="26"/>
      <c r="L59" s="26">
        <v>0</v>
      </c>
      <c r="M59" s="26"/>
      <c r="N59" s="38"/>
      <c r="O59" s="26">
        <v>0</v>
      </c>
      <c r="P59" s="26"/>
      <c r="Q59" s="26"/>
      <c r="R59" s="188">
        <f>ROUND(G59*22*0.02,2)</f>
        <v>151.63999999999999</v>
      </c>
      <c r="S59" s="169">
        <f>R59</f>
        <v>151.63999999999999</v>
      </c>
      <c r="T59" s="26">
        <v>0</v>
      </c>
      <c r="U59" s="26">
        <v>0</v>
      </c>
      <c r="V59" s="26"/>
      <c r="W59" s="26"/>
      <c r="X59" s="26">
        <v>0</v>
      </c>
      <c r="Y59" s="26">
        <v>0</v>
      </c>
      <c r="Z59" s="26">
        <v>0</v>
      </c>
      <c r="AA59" s="26"/>
      <c r="AB59" s="26">
        <v>0</v>
      </c>
      <c r="AC59" s="26">
        <v>0</v>
      </c>
      <c r="AD59" s="26"/>
      <c r="AE59" s="331"/>
      <c r="AF59" s="91">
        <f>H59-(SUM(I59:R59)+T59+SUM(V59:AD59))</f>
        <v>3639.4</v>
      </c>
      <c r="AG59" s="77" t="s">
        <v>191</v>
      </c>
      <c r="AH59" s="94"/>
      <c r="AI59" s="16"/>
    </row>
    <row r="60" spans="1:35" ht="12.75" customHeight="1" thickBot="1" x14ac:dyDescent="0.4">
      <c r="A60" s="77" t="s">
        <v>192</v>
      </c>
      <c r="B60" s="80"/>
      <c r="C60" s="26"/>
      <c r="D60" s="26"/>
      <c r="E60" s="26"/>
      <c r="F60" s="319"/>
      <c r="G60" s="169"/>
      <c r="H60" s="97">
        <f>SUM(H57:H59)</f>
        <v>12062.400000000001</v>
      </c>
      <c r="I60" s="97">
        <f>SUM(I57:I59)</f>
        <v>209.55</v>
      </c>
      <c r="J60" s="97">
        <f t="shared" ref="J60:O60" si="11">SUM(J57:J57)</f>
        <v>0</v>
      </c>
      <c r="K60" s="97">
        <f t="shared" si="11"/>
        <v>0</v>
      </c>
      <c r="L60" s="97">
        <f t="shared" si="11"/>
        <v>0</v>
      </c>
      <c r="M60" s="97">
        <f t="shared" si="11"/>
        <v>0</v>
      </c>
      <c r="N60" s="97">
        <f t="shared" si="11"/>
        <v>678.06</v>
      </c>
      <c r="O60" s="97">
        <f t="shared" si="11"/>
        <v>0</v>
      </c>
      <c r="P60" s="97"/>
      <c r="Q60" s="97"/>
      <c r="R60" s="189">
        <f>SUM(R57:R59)</f>
        <v>454.91999999999996</v>
      </c>
      <c r="S60" s="189">
        <f>SUM(S57:S59)</f>
        <v>454.91999999999996</v>
      </c>
      <c r="T60" s="97">
        <f>SUM(T57:T57)</f>
        <v>0</v>
      </c>
      <c r="U60" s="97">
        <f>SUM(U57:U57)</f>
        <v>0</v>
      </c>
      <c r="V60" s="97"/>
      <c r="W60" s="97"/>
      <c r="X60" s="97">
        <f t="shared" ref="X60:AE60" si="12">SUM(X57:X57)</f>
        <v>0</v>
      </c>
      <c r="Y60" s="97">
        <f t="shared" si="12"/>
        <v>0</v>
      </c>
      <c r="Z60" s="97">
        <f t="shared" si="12"/>
        <v>20</v>
      </c>
      <c r="AA60" s="97">
        <f t="shared" si="12"/>
        <v>0</v>
      </c>
      <c r="AB60" s="97">
        <f t="shared" si="12"/>
        <v>0</v>
      </c>
      <c r="AC60" s="97">
        <f t="shared" si="12"/>
        <v>0</v>
      </c>
      <c r="AD60" s="97">
        <f t="shared" si="12"/>
        <v>0</v>
      </c>
      <c r="AE60" s="330">
        <f t="shared" si="12"/>
        <v>0</v>
      </c>
      <c r="AF60" s="97">
        <f>SUM(AF57:AF59)</f>
        <v>10699.87</v>
      </c>
      <c r="AG60" s="77" t="s">
        <v>192</v>
      </c>
      <c r="AH60" s="85"/>
      <c r="AI60" s="16"/>
    </row>
    <row r="61" spans="1:35" ht="13.5" thickTop="1" x14ac:dyDescent="0.2">
      <c r="A61" s="77" t="s">
        <v>193</v>
      </c>
      <c r="B61" s="184" t="s">
        <v>360</v>
      </c>
      <c r="C61" s="26"/>
      <c r="D61" s="26"/>
      <c r="E61" s="26"/>
      <c r="F61" s="319"/>
      <c r="G61" s="169"/>
      <c r="H61" s="26"/>
      <c r="I61" s="26"/>
      <c r="J61" s="26"/>
      <c r="K61" s="26"/>
      <c r="L61" s="26"/>
      <c r="M61" s="26"/>
      <c r="N61" s="26"/>
      <c r="O61" s="26"/>
      <c r="P61" s="26"/>
      <c r="Q61" s="26"/>
      <c r="R61" s="169"/>
      <c r="S61" s="169"/>
      <c r="T61" s="26"/>
      <c r="U61" s="26"/>
      <c r="V61" s="26"/>
      <c r="W61" s="26"/>
      <c r="X61" s="26"/>
      <c r="Y61" s="26"/>
      <c r="Z61" s="26"/>
      <c r="AA61" s="26"/>
      <c r="AB61" s="26"/>
      <c r="AC61" s="26"/>
      <c r="AD61" s="26"/>
      <c r="AE61" s="329"/>
      <c r="AF61" s="90"/>
      <c r="AG61" s="77" t="s">
        <v>193</v>
      </c>
      <c r="AH61" s="94"/>
      <c r="AI61" s="16"/>
    </row>
    <row r="62" spans="1:35" ht="12.75" customHeight="1" x14ac:dyDescent="0.2">
      <c r="A62" s="77" t="s">
        <v>194</v>
      </c>
      <c r="B62" s="80" t="s">
        <v>325</v>
      </c>
      <c r="C62" s="43" t="s">
        <v>281</v>
      </c>
      <c r="D62" s="883" t="s">
        <v>253</v>
      </c>
      <c r="E62" s="884"/>
      <c r="F62" s="242">
        <v>11</v>
      </c>
      <c r="G62" s="190">
        <f>ROUND(7582/22,2)</f>
        <v>344.64</v>
      </c>
      <c r="H62" s="103">
        <f>G62*F62</f>
        <v>3791.04</v>
      </c>
      <c r="I62" s="26">
        <v>0</v>
      </c>
      <c r="J62" s="26"/>
      <c r="K62" s="26"/>
      <c r="L62" s="26">
        <v>0</v>
      </c>
      <c r="M62" s="26"/>
      <c r="N62" s="26">
        <v>0</v>
      </c>
      <c r="O62" s="26">
        <v>0</v>
      </c>
      <c r="P62" s="26"/>
      <c r="Q62" s="26"/>
      <c r="R62" s="188">
        <f>ROUND(G62*22*0.02,2)</f>
        <v>151.63999999999999</v>
      </c>
      <c r="S62" s="169">
        <f>R62</f>
        <v>151.63999999999999</v>
      </c>
      <c r="T62" s="26"/>
      <c r="U62" s="26"/>
      <c r="V62" s="26"/>
      <c r="W62" s="26"/>
      <c r="X62" s="26">
        <v>0</v>
      </c>
      <c r="Y62" s="26">
        <v>0</v>
      </c>
      <c r="Z62" s="26">
        <v>0</v>
      </c>
      <c r="AA62" s="26"/>
      <c r="AB62" s="26">
        <v>0</v>
      </c>
      <c r="AC62" s="26">
        <v>0</v>
      </c>
      <c r="AD62" s="26"/>
      <c r="AE62" s="331"/>
      <c r="AF62" s="91">
        <f>H62-(SUM(I62:R62)+T62+SUM(V62:AD62))</f>
        <v>3639.4</v>
      </c>
      <c r="AG62" s="77" t="s">
        <v>194</v>
      </c>
      <c r="AH62" s="94"/>
      <c r="AI62" s="16"/>
    </row>
    <row r="63" spans="1:35" ht="12.75" customHeight="1" x14ac:dyDescent="0.2">
      <c r="A63" s="77" t="s">
        <v>195</v>
      </c>
      <c r="B63" s="80" t="s">
        <v>345</v>
      </c>
      <c r="C63" s="43" t="s">
        <v>281</v>
      </c>
      <c r="D63" s="883" t="s">
        <v>253</v>
      </c>
      <c r="E63" s="884"/>
      <c r="F63" s="242">
        <v>12</v>
      </c>
      <c r="G63" s="190">
        <f>ROUND(7582/22,2)</f>
        <v>344.64</v>
      </c>
      <c r="H63" s="103">
        <f>G63*F63</f>
        <v>4135.68</v>
      </c>
      <c r="I63" s="26">
        <v>0</v>
      </c>
      <c r="J63" s="26"/>
      <c r="K63" s="26"/>
      <c r="L63" s="26">
        <v>0</v>
      </c>
      <c r="M63" s="26"/>
      <c r="N63" s="26">
        <v>0</v>
      </c>
      <c r="O63" s="26">
        <v>0</v>
      </c>
      <c r="P63" s="26"/>
      <c r="Q63" s="26"/>
      <c r="R63" s="188">
        <f>ROUND(G63*22*0.02,2)</f>
        <v>151.63999999999999</v>
      </c>
      <c r="S63" s="169">
        <f>R63</f>
        <v>151.63999999999999</v>
      </c>
      <c r="T63" s="26"/>
      <c r="U63" s="26"/>
      <c r="V63" s="26"/>
      <c r="W63" s="26"/>
      <c r="X63" s="26">
        <v>0</v>
      </c>
      <c r="Y63" s="26">
        <v>0</v>
      </c>
      <c r="Z63" s="26">
        <v>0</v>
      </c>
      <c r="AA63" s="26"/>
      <c r="AB63" s="26">
        <v>0</v>
      </c>
      <c r="AC63" s="26">
        <v>0</v>
      </c>
      <c r="AD63" s="26"/>
      <c r="AE63" s="331"/>
      <c r="AF63" s="91">
        <f>H63-(SUM(I63:R63)+T63+SUM(V63:AD63))</f>
        <v>3984.0400000000004</v>
      </c>
      <c r="AG63" s="77" t="s">
        <v>195</v>
      </c>
      <c r="AH63" s="94"/>
      <c r="AI63" s="16"/>
    </row>
    <row r="64" spans="1:35" ht="15" customHeight="1" thickBot="1" x14ac:dyDescent="0.4">
      <c r="A64" s="77" t="s">
        <v>217</v>
      </c>
      <c r="B64" s="80"/>
      <c r="C64" s="26"/>
      <c r="D64" s="26"/>
      <c r="E64" s="26"/>
      <c r="F64" s="319"/>
      <c r="G64" s="169"/>
      <c r="H64" s="65">
        <f>SUM(H62:H63)</f>
        <v>7926.72</v>
      </c>
      <c r="I64" s="65">
        <f t="shared" ref="I64:R64" si="13">SUM(I62:I63)</f>
        <v>0</v>
      </c>
      <c r="J64" s="65">
        <f t="shared" si="13"/>
        <v>0</v>
      </c>
      <c r="K64" s="65">
        <f t="shared" si="13"/>
        <v>0</v>
      </c>
      <c r="L64" s="65">
        <f t="shared" si="13"/>
        <v>0</v>
      </c>
      <c r="M64" s="65">
        <f t="shared" si="13"/>
        <v>0</v>
      </c>
      <c r="N64" s="65">
        <f t="shared" si="13"/>
        <v>0</v>
      </c>
      <c r="O64" s="65">
        <f t="shared" si="13"/>
        <v>0</v>
      </c>
      <c r="P64" s="65"/>
      <c r="Q64" s="65"/>
      <c r="R64" s="170">
        <f t="shared" si="13"/>
        <v>303.27999999999997</v>
      </c>
      <c r="S64" s="170">
        <f>SUM(S62:S63)</f>
        <v>303.27999999999997</v>
      </c>
      <c r="T64" s="65">
        <f>SUM(T62:T63)</f>
        <v>0</v>
      </c>
      <c r="U64" s="65">
        <f>SUM(U62:U63)</f>
        <v>0</v>
      </c>
      <c r="V64" s="65"/>
      <c r="W64" s="65"/>
      <c r="X64" s="65">
        <f t="shared" ref="X64:AF64" si="14">SUM(X62:X63)</f>
        <v>0</v>
      </c>
      <c r="Y64" s="65">
        <f t="shared" si="14"/>
        <v>0</v>
      </c>
      <c r="Z64" s="65">
        <f t="shared" si="14"/>
        <v>0</v>
      </c>
      <c r="AA64" s="65">
        <f t="shared" si="14"/>
        <v>0</v>
      </c>
      <c r="AB64" s="65">
        <f t="shared" si="14"/>
        <v>0</v>
      </c>
      <c r="AC64" s="65">
        <f t="shared" si="14"/>
        <v>0</v>
      </c>
      <c r="AD64" s="65">
        <f t="shared" si="14"/>
        <v>0</v>
      </c>
      <c r="AE64" s="326">
        <f t="shared" si="14"/>
        <v>0</v>
      </c>
      <c r="AF64" s="65">
        <f t="shared" si="14"/>
        <v>7623.4400000000005</v>
      </c>
      <c r="AG64" s="77" t="s">
        <v>217</v>
      </c>
      <c r="AH64" s="85"/>
      <c r="AI64" s="16"/>
    </row>
    <row r="65" spans="1:35" ht="13.5" thickTop="1" x14ac:dyDescent="0.2">
      <c r="A65" s="77" t="s">
        <v>218</v>
      </c>
      <c r="B65" s="184" t="s">
        <v>361</v>
      </c>
      <c r="C65" s="75"/>
      <c r="D65" s="73"/>
      <c r="E65" s="27"/>
      <c r="F65" s="316"/>
      <c r="G65" s="179"/>
      <c r="H65" s="27"/>
      <c r="I65" s="25"/>
      <c r="J65" s="25"/>
      <c r="K65" s="25"/>
      <c r="L65" s="25"/>
      <c r="M65" s="25"/>
      <c r="N65" s="25"/>
      <c r="O65" s="25"/>
      <c r="P65" s="25"/>
      <c r="Q65" s="25"/>
      <c r="R65" s="169"/>
      <c r="S65" s="169"/>
      <c r="T65" s="26"/>
      <c r="U65" s="26"/>
      <c r="V65" s="25"/>
      <c r="W65" s="25"/>
      <c r="X65" s="25"/>
      <c r="Y65" s="25"/>
      <c r="Z65" s="25"/>
      <c r="AA65" s="25"/>
      <c r="AB65" s="25"/>
      <c r="AC65" s="25"/>
      <c r="AD65" s="25"/>
      <c r="AE65" s="331"/>
      <c r="AF65" s="91"/>
      <c r="AG65" s="77" t="s">
        <v>218</v>
      </c>
      <c r="AH65" s="94"/>
      <c r="AI65" s="16"/>
    </row>
    <row r="66" spans="1:35" ht="12.75" customHeight="1" x14ac:dyDescent="0.2">
      <c r="A66" s="77" t="s">
        <v>219</v>
      </c>
      <c r="B66" s="81" t="s">
        <v>173</v>
      </c>
      <c r="C66" s="43" t="s">
        <v>281</v>
      </c>
      <c r="D66" s="883" t="s">
        <v>253</v>
      </c>
      <c r="E66" s="884"/>
      <c r="F66" s="242">
        <v>12</v>
      </c>
      <c r="G66" s="190">
        <f>ROUND(7582/22,2)</f>
        <v>344.64</v>
      </c>
      <c r="H66" s="103">
        <f>G66*F66</f>
        <v>4135.68</v>
      </c>
      <c r="I66" s="26">
        <v>0</v>
      </c>
      <c r="J66" s="25"/>
      <c r="K66" s="25"/>
      <c r="L66" s="25"/>
      <c r="M66" s="25" t="s">
        <v>37</v>
      </c>
      <c r="N66" s="25">
        <v>1152.72</v>
      </c>
      <c r="O66" s="25"/>
      <c r="P66" s="25"/>
      <c r="Q66" s="25"/>
      <c r="R66" s="188">
        <f>ROUND(G66*22*0.02,2)</f>
        <v>151.63999999999999</v>
      </c>
      <c r="S66" s="169">
        <f>R66</f>
        <v>151.63999999999999</v>
      </c>
      <c r="T66" s="26">
        <v>0</v>
      </c>
      <c r="U66" s="26">
        <v>0</v>
      </c>
      <c r="V66" s="25"/>
      <c r="W66" s="25"/>
      <c r="X66" s="25">
        <v>0</v>
      </c>
      <c r="Y66" s="25">
        <v>0</v>
      </c>
      <c r="Z66" s="25">
        <v>0</v>
      </c>
      <c r="AA66" s="25"/>
      <c r="AB66" s="25"/>
      <c r="AC66" s="25"/>
      <c r="AD66" s="25"/>
      <c r="AE66" s="331"/>
      <c r="AF66" s="91">
        <f>H66-(SUM(I66:R66)+T66+SUM(V66:AD66))</f>
        <v>2831.32</v>
      </c>
      <c r="AG66" s="77" t="s">
        <v>219</v>
      </c>
      <c r="AH66" s="94"/>
      <c r="AI66" s="16"/>
    </row>
    <row r="67" spans="1:35" ht="16.5" customHeight="1" thickBot="1" x14ac:dyDescent="0.4">
      <c r="A67" s="77" t="s">
        <v>223</v>
      </c>
      <c r="B67" s="80" t="s">
        <v>37</v>
      </c>
      <c r="C67" s="75" t="s">
        <v>37</v>
      </c>
      <c r="D67" s="76" t="s">
        <v>37</v>
      </c>
      <c r="E67" s="26" t="s">
        <v>37</v>
      </c>
      <c r="F67" s="319"/>
      <c r="G67" s="179"/>
      <c r="H67" s="68">
        <f>SUM(H66)</f>
        <v>4135.68</v>
      </c>
      <c r="I67" s="68">
        <f>I66</f>
        <v>0</v>
      </c>
      <c r="J67" s="68">
        <f>J66</f>
        <v>0</v>
      </c>
      <c r="K67" s="68">
        <f>K66</f>
        <v>0</v>
      </c>
      <c r="L67" s="68">
        <f>L66</f>
        <v>0</v>
      </c>
      <c r="M67" s="68">
        <v>0</v>
      </c>
      <c r="N67" s="68">
        <f>N66</f>
        <v>1152.72</v>
      </c>
      <c r="O67" s="68">
        <f>O66</f>
        <v>0</v>
      </c>
      <c r="P67" s="68"/>
      <c r="Q67" s="68"/>
      <c r="R67" s="174">
        <f>R66</f>
        <v>151.63999999999999</v>
      </c>
      <c r="S67" s="174">
        <f>S66</f>
        <v>151.63999999999999</v>
      </c>
      <c r="T67" s="68"/>
      <c r="U67" s="68"/>
      <c r="V67" s="68"/>
      <c r="W67" s="68"/>
      <c r="X67" s="68">
        <v>0</v>
      </c>
      <c r="Y67" s="68">
        <f t="shared" ref="Y67:AD67" si="15">Y66</f>
        <v>0</v>
      </c>
      <c r="Z67" s="68">
        <f t="shared" si="15"/>
        <v>0</v>
      </c>
      <c r="AA67" s="68">
        <f t="shared" si="15"/>
        <v>0</v>
      </c>
      <c r="AB67" s="68">
        <f t="shared" si="15"/>
        <v>0</v>
      </c>
      <c r="AC67" s="68">
        <f>AC66</f>
        <v>0</v>
      </c>
      <c r="AD67" s="68">
        <f t="shared" si="15"/>
        <v>0</v>
      </c>
      <c r="AE67" s="333"/>
      <c r="AF67" s="92">
        <f>AF66</f>
        <v>2831.32</v>
      </c>
      <c r="AG67" s="77" t="s">
        <v>223</v>
      </c>
      <c r="AH67" s="85"/>
      <c r="AI67" s="16"/>
    </row>
    <row r="68" spans="1:35" ht="13.5" thickTop="1" x14ac:dyDescent="0.2">
      <c r="A68" s="77" t="s">
        <v>227</v>
      </c>
      <c r="B68" s="184" t="s">
        <v>362</v>
      </c>
      <c r="C68" s="75" t="s">
        <v>37</v>
      </c>
      <c r="D68" s="76" t="s">
        <v>37</v>
      </c>
      <c r="E68" s="26" t="s">
        <v>37</v>
      </c>
      <c r="F68" s="318"/>
      <c r="G68" s="180"/>
      <c r="H68" s="24"/>
      <c r="I68" s="25"/>
      <c r="J68" s="25"/>
      <c r="K68" s="25"/>
      <c r="L68" s="25"/>
      <c r="M68" s="25"/>
      <c r="N68" s="25"/>
      <c r="O68" s="25"/>
      <c r="P68" s="25"/>
      <c r="Q68" s="25"/>
      <c r="R68" s="172"/>
      <c r="S68" s="172"/>
      <c r="T68" s="25"/>
      <c r="U68" s="25"/>
      <c r="V68" s="25"/>
      <c r="W68" s="25"/>
      <c r="X68" s="25"/>
      <c r="Y68" s="25"/>
      <c r="Z68" s="25"/>
      <c r="AA68" s="25"/>
      <c r="AB68" s="25"/>
      <c r="AC68" s="25" t="s">
        <v>37</v>
      </c>
      <c r="AD68" s="25"/>
      <c r="AE68" s="331"/>
      <c r="AF68" s="91"/>
      <c r="AG68" s="77" t="s">
        <v>227</v>
      </c>
      <c r="AH68" s="95"/>
      <c r="AI68" s="20" t="s">
        <v>37</v>
      </c>
    </row>
    <row r="69" spans="1:35" ht="12.75" customHeight="1" x14ac:dyDescent="0.2">
      <c r="A69" s="77" t="s">
        <v>228</v>
      </c>
      <c r="B69" s="80" t="s">
        <v>279</v>
      </c>
      <c r="C69" s="43" t="s">
        <v>281</v>
      </c>
      <c r="D69" s="883" t="s">
        <v>253</v>
      </c>
      <c r="E69" s="884"/>
      <c r="F69" s="242">
        <v>11</v>
      </c>
      <c r="G69" s="190">
        <f>ROUND(7582/22,2)</f>
        <v>344.64</v>
      </c>
      <c r="H69" s="103">
        <f>G69*F69</f>
        <v>3791.04</v>
      </c>
      <c r="I69" s="26"/>
      <c r="J69" s="26"/>
      <c r="K69" s="26"/>
      <c r="L69" s="26"/>
      <c r="M69" s="26"/>
      <c r="N69" s="26"/>
      <c r="O69" s="26"/>
      <c r="P69" s="26"/>
      <c r="Q69" s="26"/>
      <c r="R69" s="188">
        <f>ROUND(G69*22*0.02,2)</f>
        <v>151.63999999999999</v>
      </c>
      <c r="S69" s="169">
        <f>R69</f>
        <v>151.63999999999999</v>
      </c>
      <c r="T69" s="26"/>
      <c r="U69" s="26"/>
      <c r="V69" s="26"/>
      <c r="W69" s="26"/>
      <c r="X69" s="26"/>
      <c r="Y69" s="26"/>
      <c r="Z69" s="26"/>
      <c r="AA69" s="26"/>
      <c r="AB69" s="26"/>
      <c r="AC69" s="26"/>
      <c r="AD69" s="26" t="s">
        <v>37</v>
      </c>
      <c r="AE69" s="331"/>
      <c r="AF69" s="91">
        <f>H69-(SUM(I69:R69)+T69+SUM(V69:AD69))</f>
        <v>3639.4</v>
      </c>
      <c r="AG69" s="77" t="s">
        <v>228</v>
      </c>
      <c r="AH69" s="94"/>
      <c r="AI69" s="16"/>
    </row>
    <row r="70" spans="1:35" ht="15" customHeight="1" x14ac:dyDescent="0.2">
      <c r="A70" s="77" t="s">
        <v>229</v>
      </c>
      <c r="B70" s="80" t="s">
        <v>304</v>
      </c>
      <c r="C70" s="43" t="s">
        <v>281</v>
      </c>
      <c r="D70" s="883" t="s">
        <v>253</v>
      </c>
      <c r="E70" s="884"/>
      <c r="F70" s="242">
        <v>11</v>
      </c>
      <c r="G70" s="190">
        <f>ROUND(7582/22,2)</f>
        <v>344.64</v>
      </c>
      <c r="H70" s="103">
        <f>G70*F70</f>
        <v>3791.04</v>
      </c>
      <c r="I70" s="26">
        <v>209.55</v>
      </c>
      <c r="J70" s="26"/>
      <c r="K70" s="26"/>
      <c r="L70" s="26">
        <v>0</v>
      </c>
      <c r="M70" s="26"/>
      <c r="N70" s="26">
        <v>0</v>
      </c>
      <c r="O70" s="26">
        <v>0</v>
      </c>
      <c r="P70" s="26"/>
      <c r="Q70" s="26"/>
      <c r="R70" s="188">
        <f>ROUND(G70*22*0.02,2)</f>
        <v>151.63999999999999</v>
      </c>
      <c r="S70" s="169">
        <f>R70</f>
        <v>151.63999999999999</v>
      </c>
      <c r="T70" s="26">
        <v>0</v>
      </c>
      <c r="U70" s="26">
        <v>0</v>
      </c>
      <c r="V70" s="26"/>
      <c r="W70" s="26"/>
      <c r="X70" s="26">
        <v>0</v>
      </c>
      <c r="Y70" s="26">
        <v>0</v>
      </c>
      <c r="Z70" s="26">
        <v>0</v>
      </c>
      <c r="AA70" s="26"/>
      <c r="AB70" s="26">
        <v>0</v>
      </c>
      <c r="AC70" s="26">
        <v>0</v>
      </c>
      <c r="AD70" s="26"/>
      <c r="AE70" s="331"/>
      <c r="AF70" s="91">
        <f>H70-(SUM(I70:R70)+T70+SUM(V70:AD70))</f>
        <v>3429.85</v>
      </c>
      <c r="AG70" s="77" t="s">
        <v>229</v>
      </c>
      <c r="AH70" s="94"/>
      <c r="AI70" s="16"/>
    </row>
    <row r="71" spans="1:35" ht="15" customHeight="1" thickBot="1" x14ac:dyDescent="0.4">
      <c r="A71" s="77" t="s">
        <v>246</v>
      </c>
      <c r="B71" s="82" t="s">
        <v>37</v>
      </c>
      <c r="C71" s="26" t="s">
        <v>37</v>
      </c>
      <c r="D71" s="25" t="s">
        <v>37</v>
      </c>
      <c r="E71" s="25" t="s">
        <v>37</v>
      </c>
      <c r="F71" s="318"/>
      <c r="G71" s="169" t="s">
        <v>37</v>
      </c>
      <c r="H71" s="65">
        <f t="shared" ref="H71:O71" si="16">SUM(H69:H70)</f>
        <v>7582.08</v>
      </c>
      <c r="I71" s="65">
        <f t="shared" si="16"/>
        <v>209.55</v>
      </c>
      <c r="J71" s="65">
        <f t="shared" si="16"/>
        <v>0</v>
      </c>
      <c r="K71" s="65">
        <f t="shared" si="16"/>
        <v>0</v>
      </c>
      <c r="L71" s="65">
        <f t="shared" si="16"/>
        <v>0</v>
      </c>
      <c r="M71" s="65">
        <f t="shared" si="16"/>
        <v>0</v>
      </c>
      <c r="N71" s="65">
        <f t="shared" si="16"/>
        <v>0</v>
      </c>
      <c r="O71" s="65">
        <f t="shared" si="16"/>
        <v>0</v>
      </c>
      <c r="P71" s="65"/>
      <c r="Q71" s="65"/>
      <c r="R71" s="170">
        <f>SUM(R69:R70)</f>
        <v>303.27999999999997</v>
      </c>
      <c r="S71" s="170">
        <f>SUM(S69:S70)</f>
        <v>303.27999999999997</v>
      </c>
      <c r="T71" s="65">
        <f>SUM(T69:T70)</f>
        <v>0</v>
      </c>
      <c r="U71" s="65">
        <f>SUM(U69:U70)</f>
        <v>0</v>
      </c>
      <c r="V71" s="65"/>
      <c r="W71" s="65"/>
      <c r="X71" s="65">
        <f t="shared" ref="X71:AF71" si="17">SUM(X69:X70)</f>
        <v>0</v>
      </c>
      <c r="Y71" s="65">
        <f t="shared" si="17"/>
        <v>0</v>
      </c>
      <c r="Z71" s="65">
        <f t="shared" si="17"/>
        <v>0</v>
      </c>
      <c r="AA71" s="65">
        <f t="shared" si="17"/>
        <v>0</v>
      </c>
      <c r="AB71" s="65">
        <f t="shared" si="17"/>
        <v>0</v>
      </c>
      <c r="AC71" s="65">
        <f t="shared" si="17"/>
        <v>0</v>
      </c>
      <c r="AD71" s="65">
        <f t="shared" si="17"/>
        <v>0</v>
      </c>
      <c r="AE71" s="326">
        <f t="shared" si="17"/>
        <v>0</v>
      </c>
      <c r="AF71" s="65">
        <f t="shared" si="17"/>
        <v>7069.25</v>
      </c>
      <c r="AG71" s="77" t="s">
        <v>246</v>
      </c>
      <c r="AH71" s="85"/>
      <c r="AI71" s="16"/>
    </row>
    <row r="72" spans="1:35" ht="18.75" customHeight="1" thickTop="1" thickBot="1" x14ac:dyDescent="0.25">
      <c r="A72" s="77" t="s">
        <v>266</v>
      </c>
      <c r="B72" s="83"/>
      <c r="C72" s="65"/>
      <c r="D72" s="65"/>
      <c r="E72" s="65"/>
      <c r="F72" s="297"/>
      <c r="G72" s="170"/>
      <c r="H72" s="185">
        <f>H71+H67+H64+H60+H55+H51+H46+H43+H39+H33+H26+H22+H19+H16</f>
        <v>134064.96000000002</v>
      </c>
      <c r="I72" s="185">
        <f t="shared" ref="I72:AC72" si="18">I71+I67+I64+I60+I55+I51+I46+I43+I39+I33+I26+I22+I19+I16</f>
        <v>2922.3049999999998</v>
      </c>
      <c r="J72" s="185">
        <f t="shared" si="18"/>
        <v>0</v>
      </c>
      <c r="K72" s="185">
        <f t="shared" si="18"/>
        <v>0</v>
      </c>
      <c r="L72" s="185">
        <f t="shared" si="18"/>
        <v>1638.8999999999999</v>
      </c>
      <c r="M72" s="185" t="e">
        <f t="shared" si="18"/>
        <v>#VALUE!</v>
      </c>
      <c r="N72" s="185">
        <f t="shared" si="18"/>
        <v>6633.21</v>
      </c>
      <c r="O72" s="185">
        <f t="shared" si="18"/>
        <v>1100</v>
      </c>
      <c r="P72" s="185">
        <f t="shared" si="18"/>
        <v>0</v>
      </c>
      <c r="Q72" s="185">
        <f t="shared" si="18"/>
        <v>0</v>
      </c>
      <c r="R72" s="185">
        <f t="shared" si="18"/>
        <v>5152.4799999999996</v>
      </c>
      <c r="S72" s="185">
        <f t="shared" si="18"/>
        <v>5004.1200000000008</v>
      </c>
      <c r="T72" s="185">
        <f t="shared" si="18"/>
        <v>382.38</v>
      </c>
      <c r="U72" s="185">
        <f t="shared" si="18"/>
        <v>909.84</v>
      </c>
      <c r="V72" s="185">
        <f t="shared" si="18"/>
        <v>100</v>
      </c>
      <c r="W72" s="185">
        <f t="shared" si="18"/>
        <v>100</v>
      </c>
      <c r="X72" s="185">
        <f t="shared" si="18"/>
        <v>157.74</v>
      </c>
      <c r="Y72" s="185">
        <f t="shared" si="18"/>
        <v>346.56</v>
      </c>
      <c r="Z72" s="185">
        <f t="shared" si="18"/>
        <v>60</v>
      </c>
      <c r="AA72" s="185">
        <f t="shared" si="18"/>
        <v>0</v>
      </c>
      <c r="AB72" s="185">
        <f t="shared" si="18"/>
        <v>0</v>
      </c>
      <c r="AC72" s="185">
        <f t="shared" si="18"/>
        <v>2868.52</v>
      </c>
      <c r="AD72" s="185" t="e">
        <f>AD71+AD67+AD64+AD60+AD55+AD51+AD46+AD43+AD39+AD33+AD26+AD22+AD19+AD16</f>
        <v>#VALUE!</v>
      </c>
      <c r="AE72" s="326">
        <f>AE71+AE67+AE64+AE60+AE55+AE51+AE46+AE43+AE39+AE33+AE26+AE22+AE19+AE16</f>
        <v>75.819999999999993</v>
      </c>
      <c r="AF72" s="185">
        <f>AF71+AF67+AF64+AF60+AF55+AF51+AF46+AF43+AF39+AF33+AF26+AF22+AF19+AF16</f>
        <v>112702.86500000002</v>
      </c>
      <c r="AG72" s="77" t="s">
        <v>266</v>
      </c>
      <c r="AH72" s="96"/>
      <c r="AI72" s="49"/>
    </row>
    <row r="73" spans="1:35" ht="8.25" customHeight="1" thickTop="1" x14ac:dyDescent="0.2">
      <c r="H73" s="35"/>
      <c r="K73" s="1" t="s">
        <v>37</v>
      </c>
      <c r="AF73" s="35"/>
      <c r="AH73" s="18"/>
    </row>
    <row r="74" spans="1:35" ht="15" customHeight="1" x14ac:dyDescent="0.2">
      <c r="A74" s="889" t="s">
        <v>49</v>
      </c>
      <c r="B74" s="889"/>
      <c r="C74" s="889"/>
      <c r="D74" s="889"/>
      <c r="E74" s="889"/>
      <c r="F74" s="889"/>
      <c r="G74" s="889"/>
      <c r="R74" s="1" t="s">
        <v>382</v>
      </c>
      <c r="AE74" s="251"/>
      <c r="AF74" s="251"/>
      <c r="AG74" s="251"/>
      <c r="AH74" s="251"/>
    </row>
    <row r="75" spans="1:35" ht="17.25" customHeight="1" x14ac:dyDescent="0.2">
      <c r="A75" s="889"/>
      <c r="B75" s="889"/>
      <c r="C75" s="889"/>
      <c r="D75" s="889"/>
      <c r="E75" s="889"/>
      <c r="F75" s="889"/>
      <c r="G75" s="889"/>
      <c r="S75" s="339"/>
      <c r="AB75" s="35"/>
      <c r="AC75" s="826" t="s">
        <v>212</v>
      </c>
      <c r="AD75" s="826"/>
      <c r="AE75" s="826"/>
      <c r="AF75" s="826"/>
      <c r="AG75" s="826"/>
      <c r="AH75" s="826"/>
      <c r="AI75" s="251"/>
    </row>
    <row r="76" spans="1:35" ht="15" customHeight="1" x14ac:dyDescent="0.25">
      <c r="A76" s="889"/>
      <c r="B76" s="889"/>
      <c r="C76" s="889"/>
      <c r="D76" s="889"/>
      <c r="E76" s="889"/>
      <c r="F76" s="889"/>
      <c r="G76" s="889"/>
      <c r="P76" s="307"/>
      <c r="Q76" s="307"/>
      <c r="R76" s="835" t="s">
        <v>200</v>
      </c>
      <c r="S76" s="835"/>
      <c r="T76" s="835"/>
      <c r="U76" s="835"/>
      <c r="V76" s="835"/>
      <c r="W76" s="835"/>
      <c r="AB76" s="35"/>
      <c r="AC76" s="826"/>
      <c r="AD76" s="826"/>
      <c r="AE76" s="826"/>
      <c r="AF76" s="826"/>
      <c r="AG76" s="826"/>
      <c r="AH76" s="826"/>
      <c r="AI76" s="251"/>
    </row>
    <row r="77" spans="1:35" ht="11.25" customHeight="1" x14ac:dyDescent="0.2">
      <c r="P77" s="306"/>
      <c r="Q77" s="306"/>
      <c r="R77" s="824" t="s">
        <v>171</v>
      </c>
      <c r="S77" s="824"/>
      <c r="T77" s="824"/>
      <c r="U77" s="824"/>
      <c r="V77" s="824"/>
      <c r="W77" s="824"/>
      <c r="AC77" s="826"/>
      <c r="AD77" s="826"/>
      <c r="AE77" s="826"/>
      <c r="AF77" s="826"/>
      <c r="AG77" s="826"/>
      <c r="AH77" s="826"/>
      <c r="AI77" s="251"/>
    </row>
    <row r="78" spans="1:35" ht="14.25" customHeight="1" x14ac:dyDescent="0.25">
      <c r="D78" s="891" t="s">
        <v>200</v>
      </c>
      <c r="E78" s="891"/>
      <c r="F78" s="891"/>
      <c r="G78" s="891"/>
      <c r="H78" s="892"/>
      <c r="P78" s="306"/>
      <c r="Q78" s="306"/>
      <c r="R78" s="824" t="s">
        <v>51</v>
      </c>
      <c r="S78" s="824"/>
      <c r="T78" s="824"/>
      <c r="U78" s="824"/>
      <c r="V78" s="824"/>
      <c r="W78" s="824"/>
      <c r="AC78" s="826"/>
      <c r="AD78" s="826"/>
      <c r="AE78" s="826"/>
      <c r="AF78" s="826"/>
      <c r="AG78" s="826"/>
      <c r="AH78" s="826"/>
      <c r="AI78" s="251"/>
    </row>
    <row r="79" spans="1:35" ht="11.25" customHeight="1" x14ac:dyDescent="0.2">
      <c r="D79" s="829" t="s">
        <v>171</v>
      </c>
      <c r="E79" s="829"/>
      <c r="F79" s="829"/>
      <c r="G79" s="829"/>
      <c r="H79" s="830"/>
      <c r="AE79" s="251"/>
      <c r="AF79" s="251"/>
      <c r="AG79" s="251"/>
      <c r="AH79" s="251"/>
    </row>
    <row r="80" spans="1:35" ht="3" customHeight="1" x14ac:dyDescent="0.2">
      <c r="AH80" s="18"/>
    </row>
    <row r="81" spans="1:35" x14ac:dyDescent="0.2">
      <c r="A81" s="17" t="s">
        <v>52</v>
      </c>
    </row>
    <row r="82" spans="1:35" ht="11.25" customHeight="1" x14ac:dyDescent="0.2">
      <c r="AC82" s="825" t="s">
        <v>213</v>
      </c>
      <c r="AD82" s="825"/>
      <c r="AE82" s="825"/>
      <c r="AF82" s="825"/>
      <c r="AG82" s="825"/>
      <c r="AH82" s="825"/>
    </row>
    <row r="83" spans="1:35" ht="12.75" customHeight="1" x14ac:dyDescent="0.2">
      <c r="E83" s="1" t="s">
        <v>53</v>
      </c>
      <c r="Z83" s="105"/>
      <c r="AC83" s="825"/>
      <c r="AD83" s="825"/>
      <c r="AE83" s="825"/>
      <c r="AF83" s="825"/>
      <c r="AG83" s="825"/>
      <c r="AH83" s="825"/>
    </row>
    <row r="84" spans="1:35" ht="11.25" customHeight="1" x14ac:dyDescent="0.2">
      <c r="A84" s="17" t="s">
        <v>54</v>
      </c>
      <c r="AC84" s="825"/>
      <c r="AD84" s="825"/>
      <c r="AE84" s="825"/>
      <c r="AF84" s="825"/>
      <c r="AG84" s="825"/>
      <c r="AH84" s="825"/>
    </row>
    <row r="85" spans="1:35" ht="11.25" customHeight="1" x14ac:dyDescent="0.2">
      <c r="C85" s="1" t="s">
        <v>56</v>
      </c>
      <c r="E85" s="1" t="s">
        <v>57</v>
      </c>
      <c r="AE85" s="381"/>
      <c r="AF85" s="381"/>
      <c r="AG85" s="381"/>
      <c r="AH85" s="381"/>
      <c r="AI85" s="19" t="s">
        <v>53</v>
      </c>
    </row>
    <row r="86" spans="1:35" ht="11.25" customHeight="1" x14ac:dyDescent="0.2">
      <c r="AE86" s="334"/>
      <c r="AF86" s="104"/>
      <c r="AG86" s="104"/>
      <c r="AH86" s="104"/>
    </row>
    <row r="87" spans="1:35" ht="11.25" customHeight="1" x14ac:dyDescent="0.2">
      <c r="AE87" s="334"/>
      <c r="AF87" s="104"/>
      <c r="AG87" s="104"/>
      <c r="AH87" s="104"/>
    </row>
    <row r="88" spans="1:35" ht="11.25" customHeight="1" x14ac:dyDescent="0.2"/>
    <row r="89" spans="1:35" ht="11.25" customHeight="1" x14ac:dyDescent="0.2"/>
    <row r="90" spans="1:35" ht="11.25" customHeight="1" x14ac:dyDescent="0.2">
      <c r="C90" s="17"/>
    </row>
    <row r="91" spans="1:35" ht="11.25" customHeight="1" x14ac:dyDescent="0.2"/>
  </sheetData>
  <mergeCells count="84">
    <mergeCell ref="AC75:AH78"/>
    <mergeCell ref="AC82:AH84"/>
    <mergeCell ref="P8:Q8"/>
    <mergeCell ref="V8:W8"/>
    <mergeCell ref="D32:E32"/>
    <mergeCell ref="D38:E38"/>
    <mergeCell ref="D31:E31"/>
    <mergeCell ref="D13:E13"/>
    <mergeCell ref="D14:E14"/>
    <mergeCell ref="D15:E15"/>
    <mergeCell ref="D25:E25"/>
    <mergeCell ref="D29:E29"/>
    <mergeCell ref="D30:E30"/>
    <mergeCell ref="K5:K8"/>
    <mergeCell ref="G6:G7"/>
    <mergeCell ref="D63:E63"/>
    <mergeCell ref="D36:E36"/>
    <mergeCell ref="D37:E37"/>
    <mergeCell ref="D42:E42"/>
    <mergeCell ref="D50:E50"/>
    <mergeCell ref="D54:E54"/>
    <mergeCell ref="D45:E45"/>
    <mergeCell ref="D49:E49"/>
    <mergeCell ref="D48:E48"/>
    <mergeCell ref="A1:AI1"/>
    <mergeCell ref="A2:AI3"/>
    <mergeCell ref="A4:A7"/>
    <mergeCell ref="B4:B9"/>
    <mergeCell ref="C4:C9"/>
    <mergeCell ref="D4:E4"/>
    <mergeCell ref="G4:G5"/>
    <mergeCell ref="H4:H7"/>
    <mergeCell ref="I4:Z4"/>
    <mergeCell ref="D5:D7"/>
    <mergeCell ref="E5:E7"/>
    <mergeCell ref="I5:I8"/>
    <mergeCell ref="J5:J8"/>
    <mergeCell ref="AD6:AD8"/>
    <mergeCell ref="AH6:AH8"/>
    <mergeCell ref="AI6:AI8"/>
    <mergeCell ref="AF5:AF9"/>
    <mergeCell ref="AE8:AE9"/>
    <mergeCell ref="R7:R8"/>
    <mergeCell ref="S7:S8"/>
    <mergeCell ref="T7:X7"/>
    <mergeCell ref="Y7:Y8"/>
    <mergeCell ref="Z7:Z8"/>
    <mergeCell ref="AG5:AG9"/>
    <mergeCell ref="AA8:AA9"/>
    <mergeCell ref="AB8:AB9"/>
    <mergeCell ref="AC8:AC9"/>
    <mergeCell ref="L5:L8"/>
    <mergeCell ref="N6:N7"/>
    <mergeCell ref="O6:O7"/>
    <mergeCell ref="R6:S6"/>
    <mergeCell ref="N5:Y5"/>
    <mergeCell ref="X8:X9"/>
    <mergeCell ref="M6:M9"/>
    <mergeCell ref="T6:U6"/>
    <mergeCell ref="AE5:AE6"/>
    <mergeCell ref="T8:T9"/>
    <mergeCell ref="U8:U9"/>
    <mergeCell ref="AA5:AC7"/>
    <mergeCell ref="D12:E12"/>
    <mergeCell ref="D18:E18"/>
    <mergeCell ref="D69:E69"/>
    <mergeCell ref="D28:E28"/>
    <mergeCell ref="A74:G76"/>
    <mergeCell ref="D70:E70"/>
    <mergeCell ref="D53:E53"/>
    <mergeCell ref="D66:E66"/>
    <mergeCell ref="D62:E62"/>
    <mergeCell ref="D59:E59"/>
    <mergeCell ref="D58:E58"/>
    <mergeCell ref="D21:E21"/>
    <mergeCell ref="D35:E35"/>
    <mergeCell ref="D41:E41"/>
    <mergeCell ref="D57:E57"/>
    <mergeCell ref="D24:E24"/>
    <mergeCell ref="R76:W76"/>
    <mergeCell ref="R77:W77"/>
    <mergeCell ref="D78:H78"/>
    <mergeCell ref="R78:W78"/>
    <mergeCell ref="D79:H79"/>
  </mergeCells>
  <pageMargins left="0.21" right="0.11" top="0.25" bottom="0.27" header="0.18" footer="0.15"/>
  <pageSetup paperSize="8" scale="68" orientation="landscape" verticalDpi="300"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I89"/>
  <sheetViews>
    <sheetView zoomScale="115" zoomScaleNormal="115" workbookViewId="0">
      <pane xSplit="6" ySplit="11" topLeftCell="G33" activePane="bottomRight" state="frozen"/>
      <selection pane="topRight" activeCell="G1" sqref="G1"/>
      <selection pane="bottomLeft" activeCell="A12" sqref="A12"/>
      <selection pane="bottomRight" activeCell="B51" sqref="B51:B57"/>
    </sheetView>
  </sheetViews>
  <sheetFormatPr defaultColWidth="9.140625" defaultRowHeight="11.25" x14ac:dyDescent="0.2"/>
  <cols>
    <col min="1" max="1" width="3" style="105" customWidth="1"/>
    <col min="2" max="2" width="32" style="17" customWidth="1"/>
    <col min="3" max="3" width="17.140625" style="1" customWidth="1"/>
    <col min="4" max="5" width="7.85546875" style="1" customWidth="1"/>
    <col min="6" max="6" width="13.7109375" style="176" customWidth="1"/>
    <col min="7" max="7" width="15.140625" style="1" customWidth="1"/>
    <col min="8" max="8" width="10" style="1" hidden="1" customWidth="1"/>
    <col min="9" max="9" width="11.7109375" style="1" customWidth="1"/>
    <col min="10" max="10" width="10.85546875" style="1" customWidth="1"/>
    <col min="11" max="11" width="9.85546875" style="1" customWidth="1"/>
    <col min="12" max="12" width="10.85546875" style="1" customWidth="1"/>
    <col min="13" max="13" width="9.7109375" style="1" hidden="1" customWidth="1"/>
    <col min="14" max="14" width="9.5703125" style="1" customWidth="1"/>
    <col min="15" max="15" width="11" style="1" customWidth="1"/>
    <col min="16" max="16" width="12.5703125" style="1" customWidth="1"/>
    <col min="17" max="17" width="11" style="1" customWidth="1"/>
    <col min="18" max="19" width="11" style="1" hidden="1" customWidth="1"/>
    <col min="20" max="21" width="10.85546875" style="1" customWidth="1"/>
    <col min="22" max="22" width="12.42578125" style="1" hidden="1" customWidth="1"/>
    <col min="23" max="23" width="12.140625" style="1" customWidth="1"/>
    <col min="24" max="24" width="13.140625" style="1" customWidth="1"/>
    <col min="25" max="25" width="12.140625" style="1" customWidth="1"/>
    <col min="26" max="27" width="11.85546875" style="1" customWidth="1"/>
    <col min="28" max="28" width="12.28515625" style="1" customWidth="1"/>
    <col min="29" max="29" width="10.85546875" style="1" customWidth="1"/>
    <col min="30" max="30" width="12.85546875" style="1" customWidth="1"/>
    <col min="31" max="31" width="2.7109375" style="1" customWidth="1"/>
    <col min="32" max="32" width="15.7109375" style="1" customWidth="1"/>
    <col min="33" max="33" width="9" style="1" customWidth="1"/>
    <col min="34" max="34" width="9.140625" style="1"/>
    <col min="35" max="35" width="11.140625" style="735" bestFit="1" customWidth="1"/>
    <col min="36" max="16384" width="9.140625" style="1"/>
  </cols>
  <sheetData>
    <row r="1" spans="1:35" ht="26.25" x14ac:dyDescent="0.4">
      <c r="A1" s="944" t="s">
        <v>59</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row>
    <row r="2" spans="1:35" ht="11.25" customHeight="1" x14ac:dyDescent="0.2">
      <c r="A2" s="945" t="s">
        <v>164</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row>
    <row r="3" spans="1:35"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row>
    <row r="4" spans="1:35" s="4" customFormat="1" ht="24" customHeight="1" thickTop="1" x14ac:dyDescent="0.3">
      <c r="A4" s="494" t="s">
        <v>1</v>
      </c>
      <c r="B4" s="947" t="s">
        <v>2</v>
      </c>
      <c r="C4" s="948" t="s">
        <v>3</v>
      </c>
      <c r="D4" s="871" t="s">
        <v>4</v>
      </c>
      <c r="E4" s="871"/>
      <c r="F4" s="872"/>
      <c r="G4" s="866" t="s">
        <v>5</v>
      </c>
      <c r="H4" s="866" t="s">
        <v>656</v>
      </c>
      <c r="I4" s="887"/>
      <c r="J4" s="887"/>
      <c r="K4" s="887"/>
      <c r="L4" s="887"/>
      <c r="M4" s="887"/>
      <c r="N4" s="887"/>
      <c r="O4" s="887"/>
      <c r="P4" s="887"/>
      <c r="Q4" s="887"/>
      <c r="R4" s="887"/>
      <c r="S4" s="887"/>
      <c r="T4" s="887"/>
      <c r="U4" s="887"/>
      <c r="V4" s="887"/>
      <c r="W4" s="887"/>
      <c r="X4" s="887"/>
      <c r="Y4" s="887"/>
      <c r="Z4" s="887"/>
      <c r="AA4" s="110"/>
      <c r="AB4" s="110"/>
      <c r="AC4" s="2"/>
      <c r="AD4" s="3"/>
      <c r="AE4" s="3"/>
      <c r="AF4" s="3"/>
      <c r="AG4" s="3"/>
      <c r="AI4" s="736"/>
    </row>
    <row r="5" spans="1:35" s="8" customFormat="1" ht="13.5" customHeight="1" x14ac:dyDescent="0.15">
      <c r="A5" s="10"/>
      <c r="B5" s="869"/>
      <c r="C5" s="949"/>
      <c r="D5" s="851" t="s">
        <v>7</v>
      </c>
      <c r="E5" s="852" t="s">
        <v>8</v>
      </c>
      <c r="F5" s="873"/>
      <c r="G5" s="874"/>
      <c r="H5" s="874"/>
      <c r="I5" s="951"/>
      <c r="J5" s="952"/>
      <c r="K5" s="953"/>
      <c r="L5" s="953"/>
      <c r="M5" s="953"/>
      <c r="N5" s="953"/>
      <c r="O5" s="953"/>
      <c r="P5" s="953"/>
      <c r="Q5" s="954"/>
      <c r="S5" s="642"/>
      <c r="T5" s="955" t="s">
        <v>230</v>
      </c>
      <c r="U5" s="955"/>
      <c r="V5" s="643"/>
      <c r="W5" s="956" t="s">
        <v>238</v>
      </c>
      <c r="X5" s="956"/>
      <c r="Y5" s="957" t="s">
        <v>12</v>
      </c>
      <c r="Z5" s="957" t="s">
        <v>183</v>
      </c>
      <c r="AA5" s="960" t="s">
        <v>584</v>
      </c>
      <c r="AB5" s="961"/>
      <c r="AC5" s="644" t="s">
        <v>238</v>
      </c>
      <c r="AD5" s="838" t="s">
        <v>14</v>
      </c>
      <c r="AE5" s="842" t="s">
        <v>15</v>
      </c>
      <c r="AF5" s="7"/>
      <c r="AG5" s="7"/>
      <c r="AI5" s="737"/>
    </row>
    <row r="6" spans="1:35" s="8" customFormat="1" ht="13.5" customHeight="1" x14ac:dyDescent="0.15">
      <c r="A6" s="10"/>
      <c r="B6" s="869"/>
      <c r="C6" s="949"/>
      <c r="D6" s="867"/>
      <c r="E6" s="867"/>
      <c r="F6" s="973" t="s">
        <v>610</v>
      </c>
      <c r="G6" s="839"/>
      <c r="H6" s="839"/>
      <c r="I6" s="941" t="s">
        <v>664</v>
      </c>
      <c r="J6" s="949" t="s">
        <v>235</v>
      </c>
      <c r="K6" s="900" t="s">
        <v>234</v>
      </c>
      <c r="L6" s="949" t="s">
        <v>236</v>
      </c>
      <c r="M6" s="859" t="s">
        <v>237</v>
      </c>
      <c r="N6" s="859" t="s">
        <v>31</v>
      </c>
      <c r="O6" s="960" t="s">
        <v>549</v>
      </c>
      <c r="P6" s="971" t="s">
        <v>585</v>
      </c>
      <c r="Q6" s="972" t="s">
        <v>680</v>
      </c>
      <c r="R6" s="645"/>
      <c r="S6" s="645"/>
      <c r="T6" s="955"/>
      <c r="U6" s="955"/>
      <c r="V6" s="646"/>
      <c r="W6" s="937" t="s">
        <v>232</v>
      </c>
      <c r="X6" s="938"/>
      <c r="Y6" s="958"/>
      <c r="Z6" s="975"/>
      <c r="AA6" s="962"/>
      <c r="AB6" s="963"/>
      <c r="AC6" s="900" t="s">
        <v>586</v>
      </c>
      <c r="AD6" s="838"/>
      <c r="AE6" s="842"/>
      <c r="AF6" s="838" t="s">
        <v>25</v>
      </c>
      <c r="AG6" s="838" t="s">
        <v>26</v>
      </c>
      <c r="AI6" s="737"/>
    </row>
    <row r="7" spans="1:35" s="8" customFormat="1" ht="13.5" customHeight="1" x14ac:dyDescent="0.15">
      <c r="A7" s="10"/>
      <c r="B7" s="869"/>
      <c r="C7" s="949"/>
      <c r="D7" s="867"/>
      <c r="E7" s="867"/>
      <c r="F7" s="974"/>
      <c r="G7" s="839"/>
      <c r="H7" s="839"/>
      <c r="I7" s="900"/>
      <c r="J7" s="949"/>
      <c r="K7" s="900"/>
      <c r="L7" s="949"/>
      <c r="M7" s="859"/>
      <c r="N7" s="859"/>
      <c r="O7" s="949"/>
      <c r="P7" s="857"/>
      <c r="Q7" s="857"/>
      <c r="R7" s="942" t="s">
        <v>615</v>
      </c>
      <c r="S7" s="943"/>
      <c r="T7" s="856" t="s">
        <v>27</v>
      </c>
      <c r="U7" s="859" t="s">
        <v>28</v>
      </c>
      <c r="V7" s="859" t="s">
        <v>587</v>
      </c>
      <c r="W7" s="939"/>
      <c r="X7" s="940"/>
      <c r="Y7" s="958"/>
      <c r="Z7" s="975"/>
      <c r="AA7" s="957" t="s">
        <v>30</v>
      </c>
      <c r="AB7" s="964" t="s">
        <v>23</v>
      </c>
      <c r="AC7" s="900"/>
      <c r="AD7" s="838"/>
      <c r="AE7" s="842"/>
      <c r="AF7" s="970"/>
      <c r="AG7" s="838"/>
      <c r="AI7" s="737"/>
    </row>
    <row r="8" spans="1:35" s="8" customFormat="1" ht="13.5" customHeight="1" x14ac:dyDescent="0.2">
      <c r="A8" s="10"/>
      <c r="B8" s="869"/>
      <c r="C8" s="950"/>
      <c r="D8" s="11"/>
      <c r="E8" s="107"/>
      <c r="F8" s="4"/>
      <c r="G8" s="495"/>
      <c r="H8" s="495"/>
      <c r="I8" s="900"/>
      <c r="J8" s="949"/>
      <c r="K8" s="900"/>
      <c r="L8" s="949"/>
      <c r="M8" s="859"/>
      <c r="N8" s="859"/>
      <c r="O8" s="949"/>
      <c r="P8" s="857"/>
      <c r="Q8" s="857"/>
      <c r="R8" s="908" t="s">
        <v>378</v>
      </c>
      <c r="S8" s="900" t="s">
        <v>379</v>
      </c>
      <c r="T8" s="859"/>
      <c r="U8" s="859"/>
      <c r="V8" s="859"/>
      <c r="W8" s="851" t="s">
        <v>27</v>
      </c>
      <c r="X8" s="852" t="s">
        <v>33</v>
      </c>
      <c r="Y8" s="958"/>
      <c r="Z8" s="975"/>
      <c r="AA8" s="949"/>
      <c r="AB8" s="964"/>
      <c r="AC8" s="900"/>
      <c r="AD8" s="838"/>
      <c r="AE8" s="959"/>
      <c r="AF8" s="970"/>
      <c r="AG8" s="838"/>
      <c r="AI8" s="737"/>
    </row>
    <row r="9" spans="1:35" s="8" customFormat="1" ht="13.5" customHeight="1" x14ac:dyDescent="0.2">
      <c r="A9" s="10"/>
      <c r="B9" s="869"/>
      <c r="C9" s="950"/>
      <c r="D9" s="11"/>
      <c r="E9" s="107"/>
      <c r="F9" s="4"/>
      <c r="G9" s="495"/>
      <c r="H9" s="495"/>
      <c r="I9" s="900"/>
      <c r="J9" s="949"/>
      <c r="K9" s="900"/>
      <c r="L9" s="949"/>
      <c r="M9" s="859"/>
      <c r="N9" s="859"/>
      <c r="O9" s="949"/>
      <c r="P9" s="857"/>
      <c r="Q9" s="857"/>
      <c r="R9" s="908"/>
      <c r="S9" s="900"/>
      <c r="T9" s="859"/>
      <c r="U9" s="859"/>
      <c r="V9" s="859"/>
      <c r="W9" s="838"/>
      <c r="X9" s="853"/>
      <c r="Y9" s="958"/>
      <c r="Z9" s="975"/>
      <c r="AA9" s="949"/>
      <c r="AB9" s="949"/>
      <c r="AC9" s="900"/>
      <c r="AD9" s="838"/>
      <c r="AE9" s="959"/>
      <c r="AF9" s="7"/>
      <c r="AG9" s="7"/>
      <c r="AI9" s="737"/>
    </row>
    <row r="10" spans="1:35" s="15" customFormat="1" ht="13.5" customHeight="1" thickBot="1" x14ac:dyDescent="0.25">
      <c r="A10" s="13">
        <v>1</v>
      </c>
      <c r="B10" s="13">
        <v>2</v>
      </c>
      <c r="C10" s="13">
        <v>3</v>
      </c>
      <c r="D10" s="13">
        <v>4</v>
      </c>
      <c r="E10" s="13">
        <v>5</v>
      </c>
      <c r="F10" s="13">
        <v>6</v>
      </c>
      <c r="G10" s="13">
        <v>7</v>
      </c>
      <c r="H10" s="13"/>
      <c r="I10" s="13"/>
      <c r="J10" s="13">
        <v>9</v>
      </c>
      <c r="K10" s="13">
        <v>10</v>
      </c>
      <c r="L10" s="13">
        <v>11</v>
      </c>
      <c r="M10" s="13">
        <v>18</v>
      </c>
      <c r="N10" s="13">
        <v>12</v>
      </c>
      <c r="O10" s="13">
        <v>13</v>
      </c>
      <c r="P10" s="13">
        <v>14</v>
      </c>
      <c r="Q10" s="13">
        <v>15</v>
      </c>
      <c r="R10" s="13"/>
      <c r="S10" s="13"/>
      <c r="T10" s="13">
        <v>16</v>
      </c>
      <c r="U10" s="13">
        <v>17</v>
      </c>
      <c r="V10" s="13"/>
      <c r="W10" s="14">
        <v>18</v>
      </c>
      <c r="X10" s="14">
        <v>19</v>
      </c>
      <c r="Y10" s="13">
        <v>20</v>
      </c>
      <c r="Z10" s="13">
        <v>21</v>
      </c>
      <c r="AA10" s="13"/>
      <c r="AB10" s="13">
        <v>22</v>
      </c>
      <c r="AC10" s="13">
        <v>24</v>
      </c>
      <c r="AD10" s="13">
        <v>25</v>
      </c>
      <c r="AE10" s="13">
        <v>26</v>
      </c>
      <c r="AF10" s="13">
        <v>27</v>
      </c>
      <c r="AG10" s="13">
        <v>28</v>
      </c>
      <c r="AI10" s="738"/>
    </row>
    <row r="11" spans="1:35" s="15" customFormat="1" ht="18.75" customHeight="1" thickTop="1" x14ac:dyDescent="0.2">
      <c r="A11" s="222"/>
      <c r="B11" s="498" t="s">
        <v>432</v>
      </c>
      <c r="C11" s="208"/>
      <c r="D11" s="208"/>
      <c r="E11" s="208"/>
      <c r="F11" s="208"/>
      <c r="G11" s="208"/>
      <c r="H11" s="208"/>
      <c r="I11" s="208"/>
      <c r="J11" s="208"/>
      <c r="K11" s="208"/>
      <c r="L11" s="208"/>
      <c r="M11" s="208"/>
      <c r="N11" s="208"/>
      <c r="O11" s="208"/>
      <c r="P11" s="208"/>
      <c r="Q11" s="208"/>
      <c r="R11" s="208"/>
      <c r="S11" s="208"/>
      <c r="T11" s="208"/>
      <c r="U11" s="208"/>
      <c r="V11" s="208"/>
      <c r="W11" s="493"/>
      <c r="X11" s="493"/>
      <c r="Y11" s="208"/>
      <c r="Z11" s="208"/>
      <c r="AA11" s="208"/>
      <c r="AB11" s="208"/>
      <c r="AC11" s="208"/>
      <c r="AD11" s="208"/>
      <c r="AE11" s="502"/>
      <c r="AF11" s="499"/>
      <c r="AG11" s="500"/>
      <c r="AI11" s="738"/>
    </row>
    <row r="12" spans="1:35" s="15" customFormat="1" ht="18.75" customHeight="1" x14ac:dyDescent="0.2">
      <c r="A12" s="222" t="s">
        <v>38</v>
      </c>
      <c r="B12" s="44"/>
      <c r="C12" s="210" t="s">
        <v>79</v>
      </c>
      <c r="D12" s="935" t="s">
        <v>685</v>
      </c>
      <c r="E12" s="936"/>
      <c r="F12" s="55">
        <v>121264</v>
      </c>
      <c r="G12" s="54">
        <f t="shared" ref="G12:G18" si="0">F12/2</f>
        <v>60632</v>
      </c>
      <c r="H12" s="208"/>
      <c r="I12" s="208"/>
      <c r="J12" s="208"/>
      <c r="K12" s="208"/>
      <c r="L12" s="208"/>
      <c r="M12" s="208"/>
      <c r="N12" s="208"/>
      <c r="O12" s="208"/>
      <c r="P12" s="208"/>
      <c r="Q12" s="38"/>
      <c r="R12" s="208"/>
      <c r="S12" s="208"/>
      <c r="T12" s="56">
        <v>2500</v>
      </c>
      <c r="U12" s="56">
        <v>2500</v>
      </c>
      <c r="V12" s="208"/>
      <c r="W12" s="56">
        <f t="shared" ref="W12:W14" si="1">F12*0.09</f>
        <v>10913.76</v>
      </c>
      <c r="X12" s="54">
        <f t="shared" ref="X12:X14" si="2">F12*0.12</f>
        <v>14551.68</v>
      </c>
      <c r="Y12" s="208"/>
      <c r="Z12" s="208"/>
      <c r="AA12" s="208"/>
      <c r="AB12" s="208"/>
      <c r="AC12" s="56">
        <v>100</v>
      </c>
      <c r="AD12" s="56">
        <f>G12-SUM(I12:Q12)-T12-W12-SUM(Y12:AB12)-R12</f>
        <v>47218.239999999998</v>
      </c>
      <c r="AE12" s="502" t="s">
        <v>38</v>
      </c>
      <c r="AF12" s="499"/>
      <c r="AG12" s="22"/>
      <c r="AI12" s="738"/>
    </row>
    <row r="13" spans="1:35" s="15" customFormat="1" ht="18.75" customHeight="1" x14ac:dyDescent="0.2">
      <c r="A13" s="222" t="s">
        <v>127</v>
      </c>
      <c r="B13" s="44"/>
      <c r="C13" s="209" t="s">
        <v>496</v>
      </c>
      <c r="D13" s="30" t="s">
        <v>595</v>
      </c>
      <c r="E13" s="210" t="s">
        <v>175</v>
      </c>
      <c r="F13" s="55">
        <v>40160</v>
      </c>
      <c r="G13" s="54">
        <f t="shared" si="0"/>
        <v>20080</v>
      </c>
      <c r="H13" s="208"/>
      <c r="I13" s="208"/>
      <c r="J13" s="208"/>
      <c r="K13" s="208"/>
      <c r="L13" s="208"/>
      <c r="M13" s="208"/>
      <c r="N13" s="208"/>
      <c r="O13" s="208"/>
      <c r="P13" s="208"/>
      <c r="Q13" s="38"/>
      <c r="R13" s="208"/>
      <c r="S13" s="208"/>
      <c r="T13" s="56">
        <v>1004</v>
      </c>
      <c r="U13" s="56">
        <v>1004</v>
      </c>
      <c r="V13" s="208"/>
      <c r="W13" s="56">
        <f t="shared" si="1"/>
        <v>3614.4</v>
      </c>
      <c r="X13" s="54">
        <f t="shared" si="2"/>
        <v>4819.2</v>
      </c>
      <c r="Y13" s="208"/>
      <c r="Z13" s="208"/>
      <c r="AA13" s="208"/>
      <c r="AB13" s="208"/>
      <c r="AC13" s="56">
        <v>100</v>
      </c>
      <c r="AD13" s="56">
        <f>G13-SUM(I13:Q13)-T13-W13-SUM(Y13:AB13)-R13</f>
        <v>15461.6</v>
      </c>
      <c r="AE13" s="502" t="s">
        <v>127</v>
      </c>
      <c r="AF13" s="499"/>
      <c r="AG13" s="22"/>
      <c r="AI13" s="751"/>
    </row>
    <row r="14" spans="1:35" s="15" customFormat="1" ht="18.75" customHeight="1" x14ac:dyDescent="0.2">
      <c r="A14" s="222" t="s">
        <v>128</v>
      </c>
      <c r="B14" s="44"/>
      <c r="C14" s="404" t="s">
        <v>683</v>
      </c>
      <c r="D14" s="30" t="s">
        <v>595</v>
      </c>
      <c r="E14" s="210" t="s">
        <v>175</v>
      </c>
      <c r="F14" s="55">
        <v>34177</v>
      </c>
      <c r="G14" s="54">
        <f t="shared" si="0"/>
        <v>17088.5</v>
      </c>
      <c r="H14" s="208"/>
      <c r="I14" s="208"/>
      <c r="J14" s="208"/>
      <c r="K14" s="208"/>
      <c r="L14" s="208"/>
      <c r="M14" s="208"/>
      <c r="N14" s="208"/>
      <c r="O14" s="208"/>
      <c r="P14" s="208"/>
      <c r="Q14" s="38"/>
      <c r="R14" s="208"/>
      <c r="S14" s="208"/>
      <c r="T14" s="56">
        <v>854.42</v>
      </c>
      <c r="U14" s="56">
        <v>854.43</v>
      </c>
      <c r="V14" s="208"/>
      <c r="W14" s="56">
        <f t="shared" si="1"/>
        <v>3075.93</v>
      </c>
      <c r="X14" s="54">
        <f t="shared" si="2"/>
        <v>4101.24</v>
      </c>
      <c r="Y14" s="208"/>
      <c r="Z14" s="208"/>
      <c r="AA14" s="208"/>
      <c r="AB14" s="208"/>
      <c r="AC14" s="56">
        <v>100</v>
      </c>
      <c r="AD14" s="56">
        <f>G14-SUM(I14:Q14)-T14-W14-SUM(Y14:AB14)-R14</f>
        <v>13158.15</v>
      </c>
      <c r="AE14" s="502" t="s">
        <v>128</v>
      </c>
      <c r="AF14" s="499"/>
      <c r="AG14" s="22"/>
      <c r="AI14" s="738"/>
    </row>
    <row r="15" spans="1:35" ht="17.100000000000001" customHeight="1" x14ac:dyDescent="0.2">
      <c r="A15" s="222" t="s">
        <v>129</v>
      </c>
      <c r="B15" s="44"/>
      <c r="C15" s="209" t="s">
        <v>473</v>
      </c>
      <c r="D15" s="30" t="s">
        <v>595</v>
      </c>
      <c r="E15" s="210" t="s">
        <v>175</v>
      </c>
      <c r="F15" s="56">
        <v>21922</v>
      </c>
      <c r="G15" s="54">
        <f t="shared" si="0"/>
        <v>10961</v>
      </c>
      <c r="H15" s="54"/>
      <c r="I15" s="618"/>
      <c r="J15" s="56">
        <v>605.72</v>
      </c>
      <c r="K15" s="56"/>
      <c r="L15" s="56"/>
      <c r="M15" s="56"/>
      <c r="N15" s="56"/>
      <c r="O15" s="56"/>
      <c r="P15" s="56"/>
      <c r="Q15" s="56"/>
      <c r="R15" s="56"/>
      <c r="S15" s="56"/>
      <c r="T15" s="56">
        <v>548.04999999999995</v>
      </c>
      <c r="U15" s="56">
        <v>548.04999999999995</v>
      </c>
      <c r="V15" s="56"/>
      <c r="W15" s="56">
        <f t="shared" ref="W15:W18" si="3">F15*0.09</f>
        <v>1972.98</v>
      </c>
      <c r="X15" s="54">
        <f t="shared" ref="X15:X18" si="4">F15*0.12</f>
        <v>2630.64</v>
      </c>
      <c r="Y15" s="56"/>
      <c r="Z15" s="56">
        <v>1826.79</v>
      </c>
      <c r="AA15" s="56"/>
      <c r="AB15" s="56"/>
      <c r="AC15" s="56">
        <v>100</v>
      </c>
      <c r="AD15" s="56">
        <f>G15-SUM(I15:Q15)-T15-W15-SUM(Y15:AB15)-R15</f>
        <v>6007.4600000000019</v>
      </c>
      <c r="AE15" s="502" t="s">
        <v>129</v>
      </c>
      <c r="AF15" s="649"/>
      <c r="AG15" s="650"/>
    </row>
    <row r="16" spans="1:35" ht="17.100000000000001" customHeight="1" x14ac:dyDescent="0.2">
      <c r="A16" s="222" t="s">
        <v>130</v>
      </c>
      <c r="B16" s="44"/>
      <c r="C16" s="32" t="s">
        <v>499</v>
      </c>
      <c r="D16" s="30" t="s">
        <v>595</v>
      </c>
      <c r="E16" s="210" t="s">
        <v>175</v>
      </c>
      <c r="F16" s="58">
        <f>'[1]Reg1(1-15)'!$G$14</f>
        <v>14308</v>
      </c>
      <c r="G16" s="59">
        <f t="shared" si="0"/>
        <v>7154</v>
      </c>
      <c r="H16" s="59"/>
      <c r="I16" s="58"/>
      <c r="J16" s="58">
        <v>900</v>
      </c>
      <c r="K16" s="58"/>
      <c r="L16" s="58"/>
      <c r="M16" s="58"/>
      <c r="N16" s="58"/>
      <c r="O16" s="58"/>
      <c r="P16" s="58">
        <v>924.28</v>
      </c>
      <c r="Q16" s="58"/>
      <c r="R16" s="58"/>
      <c r="S16" s="58"/>
      <c r="T16" s="58">
        <v>357.7</v>
      </c>
      <c r="U16" s="58">
        <v>357.7</v>
      </c>
      <c r="V16" s="58"/>
      <c r="W16" s="58">
        <f t="shared" si="3"/>
        <v>1287.72</v>
      </c>
      <c r="X16" s="59">
        <f t="shared" si="4"/>
        <v>1716.96</v>
      </c>
      <c r="Y16" s="58"/>
      <c r="Z16" s="58">
        <v>448.89</v>
      </c>
      <c r="AA16" s="58"/>
      <c r="AB16" s="58">
        <v>200</v>
      </c>
      <c r="AC16" s="58">
        <v>100</v>
      </c>
      <c r="AD16" s="58">
        <f>G16-SUM(I16:Q16)-T16-W16-SUM(Y16:AB16)-R16</f>
        <v>3035.4100000000003</v>
      </c>
      <c r="AE16" s="502" t="s">
        <v>130</v>
      </c>
      <c r="AF16" s="649"/>
      <c r="AG16" s="650"/>
    </row>
    <row r="17" spans="1:33" ht="17.100000000000001" customHeight="1" x14ac:dyDescent="0.2">
      <c r="A17" s="222" t="s">
        <v>131</v>
      </c>
      <c r="B17" s="44"/>
      <c r="C17" s="443" t="s">
        <v>684</v>
      </c>
      <c r="D17" s="30" t="s">
        <v>595</v>
      </c>
      <c r="E17" s="210" t="s">
        <v>175</v>
      </c>
      <c r="F17" s="56">
        <v>13474</v>
      </c>
      <c r="G17" s="59">
        <f t="shared" si="0"/>
        <v>6737</v>
      </c>
      <c r="H17" s="54"/>
      <c r="I17" s="56"/>
      <c r="J17" s="56"/>
      <c r="K17" s="56"/>
      <c r="L17" s="56"/>
      <c r="M17" s="56"/>
      <c r="N17" s="56"/>
      <c r="O17" s="56"/>
      <c r="P17" s="56"/>
      <c r="Q17" s="56"/>
      <c r="R17" s="56"/>
      <c r="S17" s="56"/>
      <c r="T17" s="56">
        <v>336.85</v>
      </c>
      <c r="U17" s="56">
        <v>336.85</v>
      </c>
      <c r="V17" s="56"/>
      <c r="W17" s="58">
        <f t="shared" si="3"/>
        <v>1212.6599999999999</v>
      </c>
      <c r="X17" s="59">
        <f t="shared" si="4"/>
        <v>1616.8799999999999</v>
      </c>
      <c r="Y17" s="56"/>
      <c r="Z17" s="56"/>
      <c r="AA17" s="56"/>
      <c r="AB17" s="56"/>
      <c r="AC17" s="58">
        <v>100</v>
      </c>
      <c r="AD17" s="58">
        <f t="shared" ref="AD17:AD18" si="5">G17-SUM(I17:Q17)-T17-W17-SUM(Y17:AB17)-R17</f>
        <v>5187.49</v>
      </c>
      <c r="AE17" s="502" t="s">
        <v>131</v>
      </c>
      <c r="AF17" s="649"/>
      <c r="AG17" s="650"/>
    </row>
    <row r="18" spans="1:33" ht="17.100000000000001" customHeight="1" thickBot="1" x14ac:dyDescent="0.25">
      <c r="A18" s="222" t="s">
        <v>132</v>
      </c>
      <c r="B18" s="44"/>
      <c r="C18" s="443" t="s">
        <v>684</v>
      </c>
      <c r="D18" s="30" t="s">
        <v>595</v>
      </c>
      <c r="E18" s="210" t="s">
        <v>175</v>
      </c>
      <c r="F18" s="56">
        <v>13474</v>
      </c>
      <c r="G18" s="59">
        <f t="shared" si="0"/>
        <v>6737</v>
      </c>
      <c r="H18" s="54"/>
      <c r="I18" s="56"/>
      <c r="J18" s="56"/>
      <c r="K18" s="56"/>
      <c r="L18" s="56"/>
      <c r="M18" s="56"/>
      <c r="N18" s="56"/>
      <c r="O18" s="56"/>
      <c r="P18" s="56"/>
      <c r="Q18" s="56"/>
      <c r="R18" s="56"/>
      <c r="S18" s="56"/>
      <c r="T18" s="56">
        <v>336.85</v>
      </c>
      <c r="U18" s="56">
        <v>336.85</v>
      </c>
      <c r="V18" s="56"/>
      <c r="W18" s="58">
        <f t="shared" si="3"/>
        <v>1212.6599999999999</v>
      </c>
      <c r="X18" s="59">
        <f t="shared" si="4"/>
        <v>1616.8799999999999</v>
      </c>
      <c r="Y18" s="56"/>
      <c r="Z18" s="56"/>
      <c r="AA18" s="56"/>
      <c r="AB18" s="56"/>
      <c r="AC18" s="58">
        <v>100</v>
      </c>
      <c r="AD18" s="58">
        <f t="shared" si="5"/>
        <v>5187.49</v>
      </c>
      <c r="AE18" s="502" t="s">
        <v>132</v>
      </c>
      <c r="AF18" s="649"/>
      <c r="AG18" s="650"/>
    </row>
    <row r="19" spans="1:33" ht="17.100000000000001" customHeight="1" thickBot="1" x14ac:dyDescent="0.25">
      <c r="A19" s="222" t="s">
        <v>133</v>
      </c>
      <c r="B19" s="44"/>
      <c r="C19" s="209"/>
      <c r="D19" s="647"/>
      <c r="E19" s="648"/>
      <c r="F19" s="472">
        <f>SUM(F12:F18)</f>
        <v>258779</v>
      </c>
      <c r="G19" s="472">
        <f t="shared" ref="G19:AD19" si="6">SUM(G12:G18)</f>
        <v>129389.5</v>
      </c>
      <c r="H19" s="472">
        <f t="shared" si="6"/>
        <v>0</v>
      </c>
      <c r="I19" s="472">
        <f t="shared" si="6"/>
        <v>0</v>
      </c>
      <c r="J19" s="472">
        <f t="shared" si="6"/>
        <v>1505.72</v>
      </c>
      <c r="K19" s="472">
        <f t="shared" si="6"/>
        <v>0</v>
      </c>
      <c r="L19" s="472">
        <f t="shared" si="6"/>
        <v>0</v>
      </c>
      <c r="M19" s="472">
        <f t="shared" si="6"/>
        <v>0</v>
      </c>
      <c r="N19" s="472">
        <f t="shared" si="6"/>
        <v>0</v>
      </c>
      <c r="O19" s="472">
        <f t="shared" si="6"/>
        <v>0</v>
      </c>
      <c r="P19" s="472">
        <f t="shared" si="6"/>
        <v>924.28</v>
      </c>
      <c r="Q19" s="472">
        <f t="shared" si="6"/>
        <v>0</v>
      </c>
      <c r="R19" s="472">
        <f t="shared" si="6"/>
        <v>0</v>
      </c>
      <c r="S19" s="472">
        <f t="shared" si="6"/>
        <v>0</v>
      </c>
      <c r="T19" s="472">
        <f t="shared" si="6"/>
        <v>5937.8700000000008</v>
      </c>
      <c r="U19" s="472">
        <f t="shared" si="6"/>
        <v>5937.880000000001</v>
      </c>
      <c r="V19" s="472">
        <f t="shared" si="6"/>
        <v>0</v>
      </c>
      <c r="W19" s="472">
        <f t="shared" si="6"/>
        <v>23290.11</v>
      </c>
      <c r="X19" s="472">
        <f t="shared" si="6"/>
        <v>31053.480000000003</v>
      </c>
      <c r="Y19" s="472">
        <f t="shared" si="6"/>
        <v>0</v>
      </c>
      <c r="Z19" s="472">
        <f t="shared" si="6"/>
        <v>2275.6799999999998</v>
      </c>
      <c r="AA19" s="472">
        <f t="shared" si="6"/>
        <v>0</v>
      </c>
      <c r="AB19" s="472">
        <f t="shared" si="6"/>
        <v>200</v>
      </c>
      <c r="AC19" s="472">
        <f t="shared" si="6"/>
        <v>700</v>
      </c>
      <c r="AD19" s="472">
        <f t="shared" si="6"/>
        <v>95255.840000000011</v>
      </c>
      <c r="AE19" s="502" t="s">
        <v>133</v>
      </c>
      <c r="AF19" s="649"/>
      <c r="AG19" s="650"/>
    </row>
    <row r="20" spans="1:33" ht="17.100000000000001" customHeight="1" thickTop="1" x14ac:dyDescent="0.2">
      <c r="A20" s="222" t="s">
        <v>65</v>
      </c>
      <c r="B20" s="194" t="s">
        <v>666</v>
      </c>
      <c r="C20" s="209"/>
      <c r="D20" s="647"/>
      <c r="E20" s="648"/>
      <c r="F20" s="61"/>
      <c r="G20" s="61"/>
      <c r="H20" s="61"/>
      <c r="I20" s="55"/>
      <c r="J20" s="61"/>
      <c r="K20" s="61"/>
      <c r="L20" s="61"/>
      <c r="M20" s="61"/>
      <c r="N20" s="61"/>
      <c r="O20" s="61"/>
      <c r="P20" s="61"/>
      <c r="Q20" s="61"/>
      <c r="R20" s="61"/>
      <c r="S20" s="61"/>
      <c r="T20" s="61"/>
      <c r="U20" s="61"/>
      <c r="V20" s="61"/>
      <c r="W20" s="61"/>
      <c r="X20" s="61"/>
      <c r="Y20" s="55"/>
      <c r="Z20" s="61"/>
      <c r="AA20" s="61"/>
      <c r="AB20" s="61"/>
      <c r="AC20" s="61"/>
      <c r="AD20" s="61"/>
      <c r="AE20" s="502" t="s">
        <v>65</v>
      </c>
      <c r="AF20" s="711"/>
      <c r="AG20" s="650"/>
    </row>
    <row r="21" spans="1:33" ht="15.75" customHeight="1" thickBot="1" x14ac:dyDescent="0.25">
      <c r="A21" s="222" t="s">
        <v>134</v>
      </c>
      <c r="B21" s="30"/>
      <c r="C21" s="709" t="s">
        <v>665</v>
      </c>
      <c r="D21" s="935" t="s">
        <v>685</v>
      </c>
      <c r="E21" s="936"/>
      <c r="F21" s="470">
        <f>'[1]Reg1(1-15)'!$G$18</f>
        <v>34177</v>
      </c>
      <c r="G21" s="470">
        <f>F21/2</f>
        <v>17088.5</v>
      </c>
      <c r="H21" s="486"/>
      <c r="I21" s="473"/>
      <c r="J21" s="710"/>
      <c r="K21" s="60"/>
      <c r="L21" s="60"/>
      <c r="M21" s="60"/>
      <c r="N21" s="60"/>
      <c r="O21" s="60"/>
      <c r="P21" s="60"/>
      <c r="Q21" s="60"/>
      <c r="R21" s="60"/>
      <c r="S21" s="60"/>
      <c r="T21" s="60">
        <v>854.42</v>
      </c>
      <c r="U21" s="60">
        <v>854.43</v>
      </c>
      <c r="V21" s="60"/>
      <c r="W21" s="60">
        <f>F21*0.09</f>
        <v>3075.93</v>
      </c>
      <c r="X21" s="470">
        <f>F21*0.12</f>
        <v>4101.24</v>
      </c>
      <c r="Y21" s="473">
        <v>3126.98</v>
      </c>
      <c r="Z21" s="60"/>
      <c r="AA21" s="60"/>
      <c r="AB21" s="60"/>
      <c r="AC21" s="60">
        <v>100</v>
      </c>
      <c r="AD21" s="60">
        <f>G21-SUM(I21:Q21)-T21-W21-SUM(Y21:AB21)-R21</f>
        <v>10031.17</v>
      </c>
      <c r="AE21" s="502" t="s">
        <v>134</v>
      </c>
      <c r="AF21" s="506"/>
      <c r="AG21" s="505"/>
    </row>
    <row r="22" spans="1:33" ht="15.75" customHeight="1" x14ac:dyDescent="0.2">
      <c r="A22" s="222" t="s">
        <v>135</v>
      </c>
      <c r="B22" s="30"/>
      <c r="C22" s="210"/>
      <c r="D22" s="712"/>
      <c r="E22" s="43"/>
      <c r="F22" s="57">
        <f>F21</f>
        <v>34177</v>
      </c>
      <c r="G22" s="57">
        <f>G21</f>
        <v>17088.5</v>
      </c>
      <c r="H22" s="57"/>
      <c r="I22" s="57">
        <f t="shared" ref="I22:AD22" si="7">I21</f>
        <v>0</v>
      </c>
      <c r="J22" s="57">
        <f t="shared" si="7"/>
        <v>0</v>
      </c>
      <c r="K22" s="57">
        <f t="shared" si="7"/>
        <v>0</v>
      </c>
      <c r="L22" s="57">
        <f t="shared" si="7"/>
        <v>0</v>
      </c>
      <c r="M22" s="57">
        <f t="shared" si="7"/>
        <v>0</v>
      </c>
      <c r="N22" s="57">
        <f t="shared" si="7"/>
        <v>0</v>
      </c>
      <c r="O22" s="57">
        <f t="shared" si="7"/>
        <v>0</v>
      </c>
      <c r="P22" s="57">
        <f t="shared" si="7"/>
        <v>0</v>
      </c>
      <c r="Q22" s="57">
        <f t="shared" si="7"/>
        <v>0</v>
      </c>
      <c r="R22" s="57">
        <f t="shared" si="7"/>
        <v>0</v>
      </c>
      <c r="S22" s="57">
        <f t="shared" si="7"/>
        <v>0</v>
      </c>
      <c r="T22" s="57">
        <f t="shared" si="7"/>
        <v>854.42</v>
      </c>
      <c r="U22" s="57">
        <f t="shared" si="7"/>
        <v>854.43</v>
      </c>
      <c r="V22" s="57">
        <f t="shared" si="7"/>
        <v>0</v>
      </c>
      <c r="W22" s="57">
        <f t="shared" si="7"/>
        <v>3075.93</v>
      </c>
      <c r="X22" s="57">
        <f t="shared" si="7"/>
        <v>4101.24</v>
      </c>
      <c r="Y22" s="57">
        <f t="shared" si="7"/>
        <v>3126.98</v>
      </c>
      <c r="Z22" s="57">
        <f t="shared" si="7"/>
        <v>0</v>
      </c>
      <c r="AA22" s="57">
        <f t="shared" si="7"/>
        <v>0</v>
      </c>
      <c r="AB22" s="57">
        <f t="shared" si="7"/>
        <v>0</v>
      </c>
      <c r="AC22" s="57">
        <f t="shared" si="7"/>
        <v>100</v>
      </c>
      <c r="AD22" s="57">
        <f t="shared" si="7"/>
        <v>10031.17</v>
      </c>
      <c r="AE22" s="502" t="s">
        <v>135</v>
      </c>
      <c r="AF22" s="506"/>
      <c r="AG22" s="505"/>
    </row>
    <row r="23" spans="1:33" ht="15.75" customHeight="1" x14ac:dyDescent="0.2">
      <c r="A23" s="222" t="s">
        <v>136</v>
      </c>
      <c r="B23" s="194" t="s">
        <v>682</v>
      </c>
      <c r="C23" s="210"/>
      <c r="D23" s="712"/>
      <c r="E23" s="43"/>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02" t="s">
        <v>136</v>
      </c>
      <c r="AF23" s="506"/>
      <c r="AG23" s="505"/>
    </row>
    <row r="24" spans="1:33" ht="15.75" customHeight="1" thickBot="1" x14ac:dyDescent="0.25">
      <c r="A24" s="222" t="s">
        <v>137</v>
      </c>
      <c r="B24" s="30"/>
      <c r="C24" s="210" t="s">
        <v>681</v>
      </c>
      <c r="D24" s="935" t="s">
        <v>685</v>
      </c>
      <c r="E24" s="936"/>
      <c r="F24" s="470">
        <v>83457</v>
      </c>
      <c r="G24" s="470">
        <f>F24/2</f>
        <v>41728.5</v>
      </c>
      <c r="H24" s="470"/>
      <c r="I24" s="470"/>
      <c r="J24" s="470"/>
      <c r="K24" s="470"/>
      <c r="L24" s="470"/>
      <c r="M24" s="470"/>
      <c r="N24" s="470"/>
      <c r="O24" s="470"/>
      <c r="P24" s="470"/>
      <c r="Q24" s="470"/>
      <c r="R24" s="470"/>
      <c r="S24" s="470"/>
      <c r="T24" s="470">
        <v>2086.42</v>
      </c>
      <c r="U24" s="470">
        <v>2086.4299999999998</v>
      </c>
      <c r="V24" s="470"/>
      <c r="W24" s="470"/>
      <c r="X24" s="470"/>
      <c r="Y24" s="470"/>
      <c r="Z24" s="470"/>
      <c r="AA24" s="470"/>
      <c r="AB24" s="470"/>
      <c r="AC24" s="470"/>
      <c r="AD24" s="60">
        <f>G24-SUM(I24:Q24)-T24-W24-SUM(Y24:AB24)-R24</f>
        <v>39642.080000000002</v>
      </c>
      <c r="AE24" s="502" t="s">
        <v>137</v>
      </c>
      <c r="AF24" s="506"/>
      <c r="AG24" s="505"/>
    </row>
    <row r="25" spans="1:33" ht="15.75" customHeight="1" x14ac:dyDescent="0.2">
      <c r="A25" s="222" t="s">
        <v>138</v>
      </c>
      <c r="B25" s="30"/>
      <c r="C25" s="210"/>
      <c r="D25" s="712"/>
      <c r="E25" s="43"/>
      <c r="F25" s="57">
        <f>F24</f>
        <v>83457</v>
      </c>
      <c r="G25" s="57">
        <f>G24</f>
        <v>41728.5</v>
      </c>
      <c r="H25" s="57"/>
      <c r="I25" s="57">
        <f t="shared" ref="I25:AD25" si="8">I24</f>
        <v>0</v>
      </c>
      <c r="J25" s="57">
        <f t="shared" si="8"/>
        <v>0</v>
      </c>
      <c r="K25" s="57">
        <f t="shared" si="8"/>
        <v>0</v>
      </c>
      <c r="L25" s="57">
        <f t="shared" si="8"/>
        <v>0</v>
      </c>
      <c r="M25" s="57">
        <f t="shared" si="8"/>
        <v>0</v>
      </c>
      <c r="N25" s="57">
        <f t="shared" si="8"/>
        <v>0</v>
      </c>
      <c r="O25" s="57">
        <f t="shared" si="8"/>
        <v>0</v>
      </c>
      <c r="P25" s="57">
        <f t="shared" si="8"/>
        <v>0</v>
      </c>
      <c r="Q25" s="57">
        <f t="shared" si="8"/>
        <v>0</v>
      </c>
      <c r="R25" s="57">
        <f t="shared" si="8"/>
        <v>0</v>
      </c>
      <c r="S25" s="57">
        <f t="shared" si="8"/>
        <v>0</v>
      </c>
      <c r="T25" s="57">
        <f t="shared" si="8"/>
        <v>2086.42</v>
      </c>
      <c r="U25" s="57">
        <f t="shared" si="8"/>
        <v>2086.4299999999998</v>
      </c>
      <c r="V25" s="57">
        <f t="shared" si="8"/>
        <v>0</v>
      </c>
      <c r="W25" s="57">
        <f t="shared" si="8"/>
        <v>0</v>
      </c>
      <c r="X25" s="57">
        <f t="shared" si="8"/>
        <v>0</v>
      </c>
      <c r="Y25" s="57">
        <f t="shared" si="8"/>
        <v>0</v>
      </c>
      <c r="Z25" s="57">
        <f t="shared" si="8"/>
        <v>0</v>
      </c>
      <c r="AA25" s="57">
        <f t="shared" si="8"/>
        <v>0</v>
      </c>
      <c r="AB25" s="57">
        <f t="shared" si="8"/>
        <v>0</v>
      </c>
      <c r="AC25" s="57">
        <f t="shared" si="8"/>
        <v>0</v>
      </c>
      <c r="AD25" s="57">
        <f t="shared" si="8"/>
        <v>39642.080000000002</v>
      </c>
      <c r="AE25" s="502" t="s">
        <v>138</v>
      </c>
      <c r="AF25" s="506"/>
      <c r="AG25" s="505"/>
    </row>
    <row r="26" spans="1:33" ht="17.100000000000001" customHeight="1" x14ac:dyDescent="0.2">
      <c r="A26" s="222" t="s">
        <v>139</v>
      </c>
      <c r="B26" s="194" t="s">
        <v>198</v>
      </c>
      <c r="C26" s="210"/>
      <c r="D26" s="576"/>
      <c r="E26" s="43"/>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02" t="s">
        <v>139</v>
      </c>
      <c r="AF26" s="506"/>
      <c r="AG26" s="505"/>
    </row>
    <row r="27" spans="1:33" ht="18" customHeight="1" x14ac:dyDescent="0.2">
      <c r="A27" s="222" t="s">
        <v>140</v>
      </c>
      <c r="B27" s="30"/>
      <c r="C27" s="23" t="s">
        <v>530</v>
      </c>
      <c r="D27" s="935" t="s">
        <v>685</v>
      </c>
      <c r="E27" s="936"/>
      <c r="F27" s="54">
        <f>'[1]Reg1(1-15)'!$G$24</f>
        <v>86091</v>
      </c>
      <c r="G27" s="54">
        <f>F27/2</f>
        <v>43045.5</v>
      </c>
      <c r="H27" s="54"/>
      <c r="I27" s="56">
        <v>1166.67</v>
      </c>
      <c r="J27" s="56"/>
      <c r="K27" s="56"/>
      <c r="L27" s="56">
        <v>150</v>
      </c>
      <c r="M27" s="56"/>
      <c r="N27" s="56"/>
      <c r="O27" s="56"/>
      <c r="P27" s="56">
        <v>5705.08</v>
      </c>
      <c r="Q27" s="56"/>
      <c r="R27" s="55"/>
      <c r="S27" s="55"/>
      <c r="T27" s="55">
        <v>2152.27</v>
      </c>
      <c r="U27" s="56">
        <v>2152.2800000000002</v>
      </c>
      <c r="V27" s="55"/>
      <c r="W27" s="56">
        <f>F27*0.09</f>
        <v>7748.19</v>
      </c>
      <c r="X27" s="54">
        <f>F27*0.12</f>
        <v>10330.92</v>
      </c>
      <c r="Y27" s="56">
        <v>18119.84</v>
      </c>
      <c r="Z27" s="613">
        <v>4757.9799999999996</v>
      </c>
      <c r="AA27" s="613"/>
      <c r="AB27" s="56">
        <v>885.23</v>
      </c>
      <c r="AC27" s="56">
        <v>100</v>
      </c>
      <c r="AD27" s="56">
        <f>G27-SUM(I27:Q27)-T27-W27-SUM(Y27:AB27)-R27</f>
        <v>2360.2400000000052</v>
      </c>
      <c r="AE27" s="502" t="s">
        <v>140</v>
      </c>
      <c r="AF27" s="506"/>
      <c r="AG27" s="505"/>
    </row>
    <row r="28" spans="1:33" ht="17.100000000000001" customHeight="1" x14ac:dyDescent="0.2">
      <c r="A28" s="222" t="s">
        <v>141</v>
      </c>
      <c r="B28" s="44"/>
      <c r="C28" s="209" t="s">
        <v>473</v>
      </c>
      <c r="D28" s="30" t="s">
        <v>595</v>
      </c>
      <c r="E28" s="210" t="s">
        <v>175</v>
      </c>
      <c r="F28" s="56">
        <v>21922</v>
      </c>
      <c r="G28" s="54">
        <f>F28/2</f>
        <v>10961</v>
      </c>
      <c r="H28" s="54"/>
      <c r="I28" s="56"/>
      <c r="J28" s="56"/>
      <c r="K28" s="56"/>
      <c r="L28" s="58">
        <v>100</v>
      </c>
      <c r="M28" s="58"/>
      <c r="N28" s="58"/>
      <c r="O28" s="56">
        <v>983.33</v>
      </c>
      <c r="P28" s="58"/>
      <c r="Q28" s="56"/>
      <c r="R28" s="58"/>
      <c r="S28" s="55"/>
      <c r="T28" s="56">
        <v>548.04999999999995</v>
      </c>
      <c r="U28" s="56">
        <v>548.04999999999995</v>
      </c>
      <c r="V28" s="61"/>
      <c r="W28" s="56">
        <f>F28*0.09</f>
        <v>1972.98</v>
      </c>
      <c r="X28" s="54">
        <f>F28*0.12</f>
        <v>2630.64</v>
      </c>
      <c r="Y28" s="58"/>
      <c r="Z28" s="56"/>
      <c r="AA28" s="56"/>
      <c r="AB28" s="56">
        <v>2907.74</v>
      </c>
      <c r="AC28" s="56">
        <v>100</v>
      </c>
      <c r="AD28" s="56">
        <f>G28-SUM(I28:Q28)-T28-W28-SUM(Y28:AB28)-R28</f>
        <v>4448.9000000000015</v>
      </c>
      <c r="AE28" s="502" t="s">
        <v>141</v>
      </c>
      <c r="AF28" s="506"/>
      <c r="AG28" s="505"/>
    </row>
    <row r="29" spans="1:33" ht="17.100000000000001" customHeight="1" x14ac:dyDescent="0.2">
      <c r="A29" s="222" t="s">
        <v>142</v>
      </c>
      <c r="B29" s="30"/>
      <c r="C29" s="210" t="s">
        <v>499</v>
      </c>
      <c r="D29" s="30" t="s">
        <v>595</v>
      </c>
      <c r="E29" s="210" t="s">
        <v>175</v>
      </c>
      <c r="F29" s="59">
        <v>14308</v>
      </c>
      <c r="G29" s="59">
        <f>F29/2</f>
        <v>7154</v>
      </c>
      <c r="H29" s="59"/>
      <c r="I29" s="58"/>
      <c r="J29" s="58"/>
      <c r="K29" s="58"/>
      <c r="L29" s="58"/>
      <c r="M29" s="58">
        <v>0</v>
      </c>
      <c r="N29" s="58"/>
      <c r="O29" s="58"/>
      <c r="P29" s="58"/>
      <c r="Q29" s="56"/>
      <c r="R29" s="58"/>
      <c r="S29" s="58"/>
      <c r="T29" s="58">
        <v>357.7</v>
      </c>
      <c r="U29" s="58">
        <v>357.7</v>
      </c>
      <c r="V29" s="58"/>
      <c r="W29" s="58">
        <f>F29*0.09</f>
        <v>1287.72</v>
      </c>
      <c r="X29" s="59">
        <f>F29*0.12</f>
        <v>1716.96</v>
      </c>
      <c r="Y29" s="58">
        <v>3380.76</v>
      </c>
      <c r="Z29" s="58"/>
      <c r="AA29" s="58"/>
      <c r="AB29" s="58"/>
      <c r="AC29" s="56">
        <v>100</v>
      </c>
      <c r="AD29" s="56">
        <f>G29-SUM(I29:Q29)-T29-W29-SUM(Y29:AB29)-R29</f>
        <v>2127.8199999999997</v>
      </c>
      <c r="AE29" s="502" t="s">
        <v>142</v>
      </c>
      <c r="AF29" s="506"/>
      <c r="AG29" s="505"/>
    </row>
    <row r="30" spans="1:33" ht="17.100000000000001" customHeight="1" thickBot="1" x14ac:dyDescent="0.25">
      <c r="A30" s="222" t="s">
        <v>143</v>
      </c>
      <c r="B30" s="30"/>
      <c r="C30" s="210" t="s">
        <v>446</v>
      </c>
      <c r="D30" s="30" t="s">
        <v>595</v>
      </c>
      <c r="E30" s="210" t="s">
        <v>175</v>
      </c>
      <c r="F30" s="470">
        <v>13474</v>
      </c>
      <c r="G30" s="470">
        <f>F30/2</f>
        <v>6737</v>
      </c>
      <c r="H30" s="470"/>
      <c r="I30" s="60"/>
      <c r="J30" s="60"/>
      <c r="K30" s="60"/>
      <c r="L30" s="60"/>
      <c r="M30" s="60"/>
      <c r="N30" s="60"/>
      <c r="O30" s="60"/>
      <c r="P30" s="60"/>
      <c r="Q30" s="60"/>
      <c r="R30" s="60"/>
      <c r="S30" s="60"/>
      <c r="T30" s="60">
        <v>336.85</v>
      </c>
      <c r="U30" s="60">
        <v>336.85</v>
      </c>
      <c r="V30" s="60"/>
      <c r="W30" s="60">
        <f>F30*0.09</f>
        <v>1212.6599999999999</v>
      </c>
      <c r="X30" s="470">
        <f>F30*0.12</f>
        <v>1616.8799999999999</v>
      </c>
      <c r="Y30" s="60">
        <v>3500</v>
      </c>
      <c r="Z30" s="60"/>
      <c r="AA30" s="60"/>
      <c r="AB30" s="60">
        <v>239.97</v>
      </c>
      <c r="AC30" s="473">
        <v>100</v>
      </c>
      <c r="AD30" s="60">
        <f>G30-SUM(I30:Q30)-T30-W30-SUM(Y30:AB30)-R30</f>
        <v>1447.52</v>
      </c>
      <c r="AE30" s="502" t="s">
        <v>143</v>
      </c>
      <c r="AF30" s="506"/>
      <c r="AG30" s="505"/>
    </row>
    <row r="31" spans="1:33" ht="17.100000000000001" customHeight="1" thickBot="1" x14ac:dyDescent="0.25">
      <c r="A31" s="222" t="s">
        <v>144</v>
      </c>
      <c r="B31" s="30"/>
      <c r="C31" s="210"/>
      <c r="D31" s="576"/>
      <c r="E31" s="43"/>
      <c r="F31" s="64">
        <f>SUM(F27:F30)</f>
        <v>135795</v>
      </c>
      <c r="G31" s="64">
        <f t="shared" ref="G31:AC31" si="9">SUM(G27:G30)</f>
        <v>67897.5</v>
      </c>
      <c r="H31" s="64">
        <f t="shared" si="9"/>
        <v>0</v>
      </c>
      <c r="I31" s="64">
        <f t="shared" si="9"/>
        <v>1166.67</v>
      </c>
      <c r="J31" s="64">
        <f t="shared" si="9"/>
        <v>0</v>
      </c>
      <c r="K31" s="64">
        <f t="shared" si="9"/>
        <v>0</v>
      </c>
      <c r="L31" s="64">
        <f t="shared" si="9"/>
        <v>250</v>
      </c>
      <c r="M31" s="64">
        <f t="shared" si="9"/>
        <v>0</v>
      </c>
      <c r="N31" s="64">
        <f t="shared" si="9"/>
        <v>0</v>
      </c>
      <c r="O31" s="64">
        <f t="shared" si="9"/>
        <v>983.33</v>
      </c>
      <c r="P31" s="64">
        <f t="shared" si="9"/>
        <v>5705.08</v>
      </c>
      <c r="Q31" s="64">
        <f t="shared" si="9"/>
        <v>0</v>
      </c>
      <c r="R31" s="64">
        <f t="shared" si="9"/>
        <v>0</v>
      </c>
      <c r="S31" s="64">
        <f t="shared" si="9"/>
        <v>0</v>
      </c>
      <c r="T31" s="64">
        <f t="shared" si="9"/>
        <v>3394.8699999999994</v>
      </c>
      <c r="U31" s="64">
        <f>SUM(U27:U30)</f>
        <v>3394.8799999999997</v>
      </c>
      <c r="V31" s="64">
        <f t="shared" si="9"/>
        <v>0</v>
      </c>
      <c r="W31" s="64">
        <f t="shared" si="9"/>
        <v>12221.55</v>
      </c>
      <c r="X31" s="64">
        <f t="shared" si="9"/>
        <v>16295.4</v>
      </c>
      <c r="Y31" s="64">
        <f t="shared" si="9"/>
        <v>25000.6</v>
      </c>
      <c r="Z31" s="64">
        <f t="shared" si="9"/>
        <v>4757.9799999999996</v>
      </c>
      <c r="AA31" s="64">
        <f t="shared" si="9"/>
        <v>0</v>
      </c>
      <c r="AB31" s="64">
        <f t="shared" si="9"/>
        <v>4032.9399999999996</v>
      </c>
      <c r="AC31" s="64">
        <f t="shared" si="9"/>
        <v>400</v>
      </c>
      <c r="AD31" s="64">
        <f>SUM(AD27:AD30)</f>
        <v>10384.480000000007</v>
      </c>
      <c r="AE31" s="502" t="s">
        <v>144</v>
      </c>
      <c r="AF31" s="204"/>
      <c r="AG31" s="505"/>
    </row>
    <row r="32" spans="1:33" ht="17.100000000000001" customHeight="1" thickTop="1" x14ac:dyDescent="0.2">
      <c r="A32" s="222" t="s">
        <v>145</v>
      </c>
      <c r="B32" s="194" t="s">
        <v>478</v>
      </c>
      <c r="C32" s="210"/>
      <c r="D32" s="576"/>
      <c r="E32" s="43"/>
      <c r="F32" s="55" t="s">
        <v>37</v>
      </c>
      <c r="G32" s="55" t="s">
        <v>37</v>
      </c>
      <c r="H32" s="61"/>
      <c r="I32" s="61"/>
      <c r="J32" s="61"/>
      <c r="K32" s="61"/>
      <c r="L32" s="61"/>
      <c r="M32" s="61"/>
      <c r="N32" s="61"/>
      <c r="O32" s="61"/>
      <c r="P32" s="61"/>
      <c r="Q32" s="61"/>
      <c r="R32" s="61"/>
      <c r="S32" s="61"/>
      <c r="T32" s="61"/>
      <c r="U32" s="61"/>
      <c r="V32" s="61"/>
      <c r="W32" s="61"/>
      <c r="X32" s="61"/>
      <c r="Y32" s="61"/>
      <c r="Z32" s="61"/>
      <c r="AA32" s="61"/>
      <c r="AB32" s="61"/>
      <c r="AC32" s="61"/>
      <c r="AD32" s="491"/>
      <c r="AE32" s="502" t="s">
        <v>145</v>
      </c>
      <c r="AF32" s="506"/>
      <c r="AG32" s="505"/>
    </row>
    <row r="33" spans="1:33" ht="16.5" customHeight="1" x14ac:dyDescent="0.2">
      <c r="A33" s="222" t="s">
        <v>146</v>
      </c>
      <c r="B33" s="30"/>
      <c r="C33" s="30" t="s">
        <v>642</v>
      </c>
      <c r="D33" s="935" t="s">
        <v>685</v>
      </c>
      <c r="E33" s="936"/>
      <c r="F33" s="54">
        <f>'[1]Reg1(1-15)'!$G$30</f>
        <v>43608</v>
      </c>
      <c r="G33" s="54">
        <f>F33/2</f>
        <v>21804</v>
      </c>
      <c r="H33" s="54"/>
      <c r="I33" s="56">
        <v>1166.67</v>
      </c>
      <c r="J33" s="56">
        <v>655.56</v>
      </c>
      <c r="K33" s="56"/>
      <c r="L33" s="56"/>
      <c r="M33" s="56"/>
      <c r="N33" s="56"/>
      <c r="O33" s="56"/>
      <c r="P33" s="56"/>
      <c r="Q33" s="56"/>
      <c r="R33" s="56"/>
      <c r="S33" s="56"/>
      <c r="T33" s="56">
        <v>1090.2</v>
      </c>
      <c r="U33" s="56">
        <v>1090.2</v>
      </c>
      <c r="V33" s="56"/>
      <c r="W33" s="56">
        <f>F33*0.09</f>
        <v>3924.72</v>
      </c>
      <c r="X33" s="54">
        <f>F33*0.12</f>
        <v>5232.96</v>
      </c>
      <c r="Y33" s="56">
        <v>3204.28</v>
      </c>
      <c r="Z33" s="56">
        <v>1773.53</v>
      </c>
      <c r="AA33" s="56"/>
      <c r="AB33" s="56">
        <v>2430.5100000000002</v>
      </c>
      <c r="AC33" s="56">
        <v>100</v>
      </c>
      <c r="AD33" s="56">
        <f>G33-SUM(I33:Q33)-T33-W33-SUM(Y33:AB33)-R33</f>
        <v>7558.53</v>
      </c>
      <c r="AE33" s="502" t="s">
        <v>146</v>
      </c>
      <c r="AF33" s="506"/>
      <c r="AG33" s="505"/>
    </row>
    <row r="34" spans="1:33" ht="16.5" customHeight="1" x14ac:dyDescent="0.2">
      <c r="A34" s="222" t="s">
        <v>147</v>
      </c>
      <c r="B34" s="30"/>
      <c r="C34" s="244" t="s">
        <v>658</v>
      </c>
      <c r="D34" s="30" t="s">
        <v>595</v>
      </c>
      <c r="E34" s="210" t="s">
        <v>175</v>
      </c>
      <c r="F34" s="59">
        <f>'[1]Reg1(1-15)'!$G$31</f>
        <v>25520</v>
      </c>
      <c r="G34" s="54">
        <f>F34/2</f>
        <v>12760</v>
      </c>
      <c r="H34" s="54"/>
      <c r="I34" s="56"/>
      <c r="J34" s="56">
        <v>522.82000000000005</v>
      </c>
      <c r="K34" s="56"/>
      <c r="L34" s="56"/>
      <c r="M34" s="56"/>
      <c r="N34" s="56"/>
      <c r="O34" s="56"/>
      <c r="P34" s="56"/>
      <c r="Q34" s="56"/>
      <c r="R34" s="56"/>
      <c r="S34" s="56"/>
      <c r="T34" s="56">
        <v>638</v>
      </c>
      <c r="U34" s="56">
        <v>638</v>
      </c>
      <c r="V34" s="56"/>
      <c r="W34" s="56">
        <f>F34*0.09</f>
        <v>2296.7999999999997</v>
      </c>
      <c r="X34" s="54">
        <f>F34*0.12</f>
        <v>3062.4</v>
      </c>
      <c r="Y34" s="56">
        <v>3377.73</v>
      </c>
      <c r="Z34" s="56"/>
      <c r="AA34" s="56"/>
      <c r="AB34" s="56"/>
      <c r="AC34" s="56">
        <v>100</v>
      </c>
      <c r="AD34" s="56">
        <f>G34-SUM(I34:Q34)-T34-W34-SUM(Y34:AB34)-R34</f>
        <v>5924.6500000000015</v>
      </c>
      <c r="AE34" s="502" t="s">
        <v>147</v>
      </c>
      <c r="AF34" s="506"/>
      <c r="AG34" s="505"/>
    </row>
    <row r="35" spans="1:33" ht="16.5" customHeight="1" x14ac:dyDescent="0.2">
      <c r="A35" s="222" t="s">
        <v>148</v>
      </c>
      <c r="B35" s="30"/>
      <c r="C35" s="209" t="s">
        <v>473</v>
      </c>
      <c r="D35" s="30" t="s">
        <v>595</v>
      </c>
      <c r="E35" s="210" t="s">
        <v>175</v>
      </c>
      <c r="F35" s="59">
        <v>21748</v>
      </c>
      <c r="G35" s="54">
        <f>F35/2</f>
        <v>10874</v>
      </c>
      <c r="H35" s="54"/>
      <c r="I35" s="56"/>
      <c r="J35" s="56"/>
      <c r="K35" s="56"/>
      <c r="L35" s="56"/>
      <c r="M35" s="56"/>
      <c r="N35" s="56"/>
      <c r="O35" s="56"/>
      <c r="P35" s="56"/>
      <c r="Q35" s="56"/>
      <c r="R35" s="56"/>
      <c r="S35" s="56"/>
      <c r="T35" s="56">
        <v>543.70000000000005</v>
      </c>
      <c r="U35" s="56">
        <v>543.70000000000005</v>
      </c>
      <c r="V35" s="56"/>
      <c r="W35" s="56">
        <f>F35*0.09</f>
        <v>1957.32</v>
      </c>
      <c r="X35" s="54">
        <f>F35*0.12</f>
        <v>2609.7599999999998</v>
      </c>
      <c r="Y35" s="55">
        <v>3000</v>
      </c>
      <c r="Z35" s="56">
        <v>2973.74</v>
      </c>
      <c r="AA35" s="56"/>
      <c r="AB35" s="56"/>
      <c r="AC35" s="56">
        <v>100</v>
      </c>
      <c r="AD35" s="56">
        <f>G35-SUM(I35:Q35)-T35-W35-SUM(Y35:AB35)-R35</f>
        <v>2399.2399999999998</v>
      </c>
      <c r="AE35" s="502" t="s">
        <v>148</v>
      </c>
      <c r="AF35" s="506"/>
      <c r="AG35" s="505"/>
    </row>
    <row r="36" spans="1:33" ht="16.5" customHeight="1" thickBot="1" x14ac:dyDescent="0.25">
      <c r="A36" s="222" t="s">
        <v>149</v>
      </c>
      <c r="B36" s="44"/>
      <c r="C36" s="209" t="s">
        <v>499</v>
      </c>
      <c r="D36" s="30" t="s">
        <v>595</v>
      </c>
      <c r="E36" s="210" t="s">
        <v>175</v>
      </c>
      <c r="F36" s="470">
        <v>14308</v>
      </c>
      <c r="G36" s="54">
        <f>F36/2</f>
        <v>7154</v>
      </c>
      <c r="H36" s="54"/>
      <c r="I36" s="56"/>
      <c r="J36" s="56"/>
      <c r="K36" s="56"/>
      <c r="L36" s="56"/>
      <c r="M36" s="56"/>
      <c r="N36" s="56"/>
      <c r="O36" s="56"/>
      <c r="P36" s="56"/>
      <c r="Q36" s="56"/>
      <c r="R36" s="56"/>
      <c r="S36" s="56"/>
      <c r="T36" s="60">
        <v>357.7</v>
      </c>
      <c r="U36" s="60">
        <v>357.7</v>
      </c>
      <c r="V36" s="56"/>
      <c r="W36" s="56">
        <f>F36*0.09</f>
        <v>1287.72</v>
      </c>
      <c r="X36" s="54">
        <f>F36*0.12</f>
        <v>1716.96</v>
      </c>
      <c r="Y36" s="55"/>
      <c r="Z36" s="56"/>
      <c r="AA36" s="56"/>
      <c r="AB36" s="56">
        <v>594.1</v>
      </c>
      <c r="AC36" s="56">
        <v>100</v>
      </c>
      <c r="AD36" s="56">
        <f>G36-SUM(I36:Q36)-T36-W36-SUM(Y36:AB36)-R36</f>
        <v>4914.4799999999996</v>
      </c>
      <c r="AE36" s="502" t="s">
        <v>149</v>
      </c>
      <c r="AF36" s="506"/>
      <c r="AG36" s="505"/>
    </row>
    <row r="37" spans="1:33" ht="17.100000000000001" customHeight="1" thickBot="1" x14ac:dyDescent="0.25">
      <c r="A37" s="222" t="s">
        <v>150</v>
      </c>
      <c r="B37" s="30"/>
      <c r="C37" s="43"/>
      <c r="D37" s="576"/>
      <c r="E37" s="43"/>
      <c r="F37" s="472">
        <f>SUM(F33:F36)</f>
        <v>105184</v>
      </c>
      <c r="G37" s="472">
        <f>SUM(G33:G36)</f>
        <v>52592</v>
      </c>
      <c r="H37" s="472"/>
      <c r="I37" s="472">
        <f t="shared" ref="I37:AA37" si="10">SUM(I33:I36)</f>
        <v>1166.67</v>
      </c>
      <c r="J37" s="472">
        <f t="shared" si="10"/>
        <v>1178.3800000000001</v>
      </c>
      <c r="K37" s="472">
        <f t="shared" si="10"/>
        <v>0</v>
      </c>
      <c r="L37" s="472">
        <f t="shared" si="10"/>
        <v>0</v>
      </c>
      <c r="M37" s="472">
        <f t="shared" si="10"/>
        <v>0</v>
      </c>
      <c r="N37" s="472">
        <f t="shared" si="10"/>
        <v>0</v>
      </c>
      <c r="O37" s="472">
        <f t="shared" si="10"/>
        <v>0</v>
      </c>
      <c r="P37" s="472">
        <f t="shared" si="10"/>
        <v>0</v>
      </c>
      <c r="Q37" s="472">
        <f t="shared" si="10"/>
        <v>0</v>
      </c>
      <c r="R37" s="472">
        <f t="shared" si="10"/>
        <v>0</v>
      </c>
      <c r="S37" s="472">
        <f t="shared" si="10"/>
        <v>0</v>
      </c>
      <c r="T37" s="472">
        <f>SUM(T33:T36)</f>
        <v>2629.6</v>
      </c>
      <c r="U37" s="472">
        <f t="shared" si="10"/>
        <v>2629.6</v>
      </c>
      <c r="V37" s="472">
        <f t="shared" si="10"/>
        <v>0</v>
      </c>
      <c r="W37" s="472">
        <f t="shared" si="10"/>
        <v>9466.56</v>
      </c>
      <c r="X37" s="472">
        <f t="shared" si="10"/>
        <v>12622.080000000002</v>
      </c>
      <c r="Y37" s="472">
        <f t="shared" si="10"/>
        <v>9582.01</v>
      </c>
      <c r="Z37" s="472">
        <f t="shared" si="10"/>
        <v>4747.2699999999995</v>
      </c>
      <c r="AA37" s="472">
        <f t="shared" si="10"/>
        <v>0</v>
      </c>
      <c r="AB37" s="472">
        <f>SUM(AB33:AB36)</f>
        <v>3024.61</v>
      </c>
      <c r="AC37" s="472">
        <f>SUM(AC33:AC36)</f>
        <v>400</v>
      </c>
      <c r="AD37" s="472">
        <f>SUM(AD33:AD36)</f>
        <v>20796.900000000001</v>
      </c>
      <c r="AE37" s="502" t="s">
        <v>150</v>
      </c>
      <c r="AF37" s="204"/>
      <c r="AG37" s="505"/>
    </row>
    <row r="38" spans="1:33" ht="17.100000000000001" customHeight="1" thickTop="1" x14ac:dyDescent="0.2">
      <c r="A38" s="222" t="s">
        <v>151</v>
      </c>
      <c r="B38" s="631" t="s">
        <v>66</v>
      </c>
      <c r="C38" s="510"/>
      <c r="D38" s="651"/>
      <c r="E38" s="43"/>
      <c r="F38" s="443"/>
      <c r="G38" s="443"/>
      <c r="H38" s="443"/>
      <c r="I38" s="55"/>
      <c r="J38" s="55"/>
      <c r="K38" s="55"/>
      <c r="L38" s="55"/>
      <c r="M38" s="55"/>
      <c r="N38" s="55"/>
      <c r="O38" s="55"/>
      <c r="P38" s="55"/>
      <c r="Q38" s="55"/>
      <c r="R38" s="55"/>
      <c r="S38" s="55"/>
      <c r="T38" s="55"/>
      <c r="U38" s="55"/>
      <c r="V38" s="55"/>
      <c r="W38" s="55"/>
      <c r="X38" s="55"/>
      <c r="Y38" s="55"/>
      <c r="Z38" s="55"/>
      <c r="AA38" s="55"/>
      <c r="AB38" s="55"/>
      <c r="AC38" s="55"/>
      <c r="AD38" s="55" t="s">
        <v>37</v>
      </c>
      <c r="AE38" s="502" t="s">
        <v>151</v>
      </c>
      <c r="AF38" s="25"/>
      <c r="AG38" s="505"/>
    </row>
    <row r="39" spans="1:33" ht="17.100000000000001" customHeight="1" x14ac:dyDescent="0.2">
      <c r="A39" s="222" t="s">
        <v>152</v>
      </c>
      <c r="B39" s="44"/>
      <c r="C39" s="210" t="s">
        <v>547</v>
      </c>
      <c r="D39" s="935" t="s">
        <v>685</v>
      </c>
      <c r="E39" s="936"/>
      <c r="F39" s="54">
        <f>'[1]Reg1(1-15)'!$G$36</f>
        <v>21922</v>
      </c>
      <c r="G39" s="54">
        <f>F39/2</f>
        <v>10961</v>
      </c>
      <c r="H39" s="54"/>
      <c r="I39" s="56">
        <v>1166.6600000000001</v>
      </c>
      <c r="J39" s="56"/>
      <c r="K39" s="56"/>
      <c r="L39" s="56"/>
      <c r="M39" s="56"/>
      <c r="N39" s="56"/>
      <c r="O39" s="56"/>
      <c r="P39" s="56">
        <v>3397.29</v>
      </c>
      <c r="Q39" s="56"/>
      <c r="R39" s="56"/>
      <c r="S39" s="56"/>
      <c r="T39" s="56">
        <v>548.04999999999995</v>
      </c>
      <c r="U39" s="56">
        <v>548.04999999999995</v>
      </c>
      <c r="V39" s="56"/>
      <c r="W39" s="56">
        <f>F39*0.09</f>
        <v>1972.98</v>
      </c>
      <c r="X39" s="54">
        <f>F39*0.12</f>
        <v>2630.64</v>
      </c>
      <c r="Y39" s="56"/>
      <c r="Z39" s="56"/>
      <c r="AA39" s="56"/>
      <c r="AB39" s="56">
        <v>2994.82</v>
      </c>
      <c r="AC39" s="56">
        <v>100</v>
      </c>
      <c r="AD39" s="56">
        <f>G39-SUM(I39:Q39)-T39-W39-SUM(Y39:AB39)-R39</f>
        <v>881.19999999999982</v>
      </c>
      <c r="AE39" s="502" t="s">
        <v>152</v>
      </c>
      <c r="AF39" s="508"/>
      <c r="AG39" s="505"/>
    </row>
    <row r="40" spans="1:33" ht="16.5" customHeight="1" thickBot="1" x14ac:dyDescent="0.25">
      <c r="A40" s="222" t="s">
        <v>153</v>
      </c>
      <c r="B40" s="30"/>
      <c r="C40" s="210" t="s">
        <v>42</v>
      </c>
      <c r="D40" s="210" t="s">
        <v>595</v>
      </c>
      <c r="E40" s="210" t="s">
        <v>175</v>
      </c>
      <c r="F40" s="486">
        <f>'[1]Reg1(1-15)'!$G$37</f>
        <v>18563</v>
      </c>
      <c r="G40" s="486">
        <f>F40/2</f>
        <v>9281.5</v>
      </c>
      <c r="H40" s="486"/>
      <c r="I40" s="473"/>
      <c r="J40" s="473"/>
      <c r="K40" s="473"/>
      <c r="L40" s="473"/>
      <c r="M40" s="473"/>
      <c r="N40" s="473"/>
      <c r="O40" s="473"/>
      <c r="P40" s="473"/>
      <c r="Q40" s="60"/>
      <c r="R40" s="473"/>
      <c r="S40" s="473"/>
      <c r="T40" s="60">
        <v>464.07</v>
      </c>
      <c r="U40" s="60">
        <v>464.08</v>
      </c>
      <c r="V40" s="473"/>
      <c r="W40" s="473">
        <f>F40*0.09</f>
        <v>1670.6699999999998</v>
      </c>
      <c r="X40" s="486">
        <f>F40*0.12</f>
        <v>2227.56</v>
      </c>
      <c r="Y40" s="473"/>
      <c r="Z40" s="473"/>
      <c r="AA40" s="473"/>
      <c r="AB40" s="473"/>
      <c r="AC40" s="60">
        <v>100</v>
      </c>
      <c r="AD40" s="60">
        <f>G40-SUM(I40:Q40)-T40-W40-SUM(Y40:AB40)-R40</f>
        <v>7146.76</v>
      </c>
      <c r="AE40" s="502" t="s">
        <v>153</v>
      </c>
      <c r="AF40" s="508"/>
      <c r="AG40" s="505"/>
    </row>
    <row r="41" spans="1:33" ht="13.5" thickBot="1" x14ac:dyDescent="0.25">
      <c r="A41" s="222" t="s">
        <v>154</v>
      </c>
      <c r="B41" s="30"/>
      <c r="C41" s="210"/>
      <c r="D41" s="445"/>
      <c r="E41" s="422"/>
      <c r="F41" s="64">
        <f>SUM(F39:F40)</f>
        <v>40485</v>
      </c>
      <c r="G41" s="64">
        <f t="shared" ref="G41:AD41" si="11">SUM(G39:G40)</f>
        <v>20242.5</v>
      </c>
      <c r="H41" s="64">
        <f t="shared" si="11"/>
        <v>0</v>
      </c>
      <c r="I41" s="64">
        <f t="shared" si="11"/>
        <v>1166.6600000000001</v>
      </c>
      <c r="J41" s="64">
        <f t="shared" si="11"/>
        <v>0</v>
      </c>
      <c r="K41" s="64">
        <f t="shared" si="11"/>
        <v>0</v>
      </c>
      <c r="L41" s="64">
        <f t="shared" si="11"/>
        <v>0</v>
      </c>
      <c r="M41" s="64">
        <f t="shared" si="11"/>
        <v>0</v>
      </c>
      <c r="N41" s="64">
        <f t="shared" si="11"/>
        <v>0</v>
      </c>
      <c r="O41" s="64">
        <f t="shared" si="11"/>
        <v>0</v>
      </c>
      <c r="P41" s="64">
        <f t="shared" si="11"/>
        <v>3397.29</v>
      </c>
      <c r="Q41" s="64">
        <f t="shared" si="11"/>
        <v>0</v>
      </c>
      <c r="R41" s="64">
        <f t="shared" si="11"/>
        <v>0</v>
      </c>
      <c r="S41" s="64">
        <f t="shared" si="11"/>
        <v>0</v>
      </c>
      <c r="T41" s="64">
        <f t="shared" si="11"/>
        <v>1012.1199999999999</v>
      </c>
      <c r="U41" s="64">
        <f t="shared" si="11"/>
        <v>1012.1299999999999</v>
      </c>
      <c r="V41" s="64">
        <f t="shared" si="11"/>
        <v>0</v>
      </c>
      <c r="W41" s="64">
        <f t="shared" si="11"/>
        <v>3643.6499999999996</v>
      </c>
      <c r="X41" s="64">
        <f t="shared" si="11"/>
        <v>4858.2</v>
      </c>
      <c r="Y41" s="64">
        <f t="shared" si="11"/>
        <v>0</v>
      </c>
      <c r="Z41" s="64">
        <f t="shared" si="11"/>
        <v>0</v>
      </c>
      <c r="AA41" s="64">
        <f t="shared" si="11"/>
        <v>0</v>
      </c>
      <c r="AB41" s="64">
        <f t="shared" si="11"/>
        <v>2994.82</v>
      </c>
      <c r="AC41" s="64">
        <f t="shared" si="11"/>
        <v>200</v>
      </c>
      <c r="AD41" s="64">
        <f t="shared" si="11"/>
        <v>8027.96</v>
      </c>
      <c r="AE41" s="502" t="s">
        <v>154</v>
      </c>
      <c r="AF41" s="204"/>
      <c r="AG41" s="505"/>
    </row>
    <row r="42" spans="1:33" ht="15" customHeight="1" thickTop="1" x14ac:dyDescent="0.2">
      <c r="A42" s="222" t="s">
        <v>155</v>
      </c>
      <c r="B42" s="194" t="s">
        <v>500</v>
      </c>
      <c r="C42" s="404"/>
      <c r="D42" s="511"/>
      <c r="E42" s="429"/>
      <c r="F42" s="61"/>
      <c r="G42" s="61"/>
      <c r="H42" s="61"/>
      <c r="I42" s="61"/>
      <c r="J42" s="61"/>
      <c r="K42" s="61"/>
      <c r="L42" s="61"/>
      <c r="M42" s="61"/>
      <c r="N42" s="61"/>
      <c r="O42" s="61"/>
      <c r="P42" s="61"/>
      <c r="Q42" s="61"/>
      <c r="R42" s="61"/>
      <c r="S42" s="61"/>
      <c r="T42" s="620"/>
      <c r="U42" s="620"/>
      <c r="V42" s="620"/>
      <c r="W42" s="61"/>
      <c r="X42" s="61"/>
      <c r="Y42" s="61"/>
      <c r="Z42" s="61"/>
      <c r="AA42" s="61"/>
      <c r="AB42" s="61"/>
      <c r="AC42" s="61"/>
      <c r="AD42" s="620"/>
      <c r="AE42" s="502" t="s">
        <v>155</v>
      </c>
      <c r="AF42" s="506"/>
      <c r="AG42" s="505"/>
    </row>
    <row r="43" spans="1:33" ht="15" customHeight="1" x14ac:dyDescent="0.2">
      <c r="A43" s="222" t="s">
        <v>156</v>
      </c>
      <c r="B43" s="30"/>
      <c r="C43" s="404" t="s">
        <v>182</v>
      </c>
      <c r="D43" s="935" t="s">
        <v>685</v>
      </c>
      <c r="E43" s="936"/>
      <c r="F43" s="56">
        <f>'[1]Reg1(1-15)'!$G$40</f>
        <v>21748</v>
      </c>
      <c r="G43" s="54">
        <f t="shared" ref="G43:G48" si="12">F43/2</f>
        <v>10874</v>
      </c>
      <c r="H43" s="54"/>
      <c r="I43" s="56"/>
      <c r="J43" s="56">
        <v>400.02</v>
      </c>
      <c r="K43" s="56"/>
      <c r="L43" s="56"/>
      <c r="M43" s="56"/>
      <c r="N43" s="56"/>
      <c r="O43" s="56"/>
      <c r="P43" s="56"/>
      <c r="Q43" s="56"/>
      <c r="R43" s="56"/>
      <c r="S43" s="56"/>
      <c r="T43" s="56">
        <v>543.70000000000005</v>
      </c>
      <c r="U43" s="56">
        <v>543.70000000000005</v>
      </c>
      <c r="V43" s="56"/>
      <c r="W43" s="56">
        <f t="shared" ref="W43:W48" si="13">F43*0.09</f>
        <v>1957.32</v>
      </c>
      <c r="X43" s="54">
        <f t="shared" ref="X43:X48" si="14">F43*0.12</f>
        <v>2609.7599999999998</v>
      </c>
      <c r="Y43" s="56">
        <v>4378.04</v>
      </c>
      <c r="Z43" s="56"/>
      <c r="AA43" s="56"/>
      <c r="AB43" s="56"/>
      <c r="AC43" s="56">
        <v>100</v>
      </c>
      <c r="AD43" s="56">
        <f t="shared" ref="AD43:AD48" si="15">G43-SUM(I43:Q43)-T43-W43-SUM(Y43:AB43)-R43</f>
        <v>3594.9199999999992</v>
      </c>
      <c r="AE43" s="502" t="s">
        <v>156</v>
      </c>
      <c r="AF43" s="506"/>
      <c r="AG43" s="505"/>
    </row>
    <row r="44" spans="1:33" ht="15" customHeight="1" x14ac:dyDescent="0.2">
      <c r="A44" s="222" t="s">
        <v>157</v>
      </c>
      <c r="B44" s="30"/>
      <c r="C44" s="404" t="s">
        <v>547</v>
      </c>
      <c r="D44" s="30" t="s">
        <v>595</v>
      </c>
      <c r="E44" s="210" t="s">
        <v>175</v>
      </c>
      <c r="F44" s="56">
        <f>'[1]Reg1(1-15)'!$G$41</f>
        <v>21748</v>
      </c>
      <c r="G44" s="54">
        <f t="shared" si="12"/>
        <v>10874</v>
      </c>
      <c r="H44" s="54"/>
      <c r="I44" s="56"/>
      <c r="J44" s="56"/>
      <c r="K44" s="56"/>
      <c r="L44" s="56"/>
      <c r="M44" s="56"/>
      <c r="N44" s="56"/>
      <c r="O44" s="56"/>
      <c r="P44" s="56"/>
      <c r="Q44" s="56"/>
      <c r="R44" s="56"/>
      <c r="S44" s="56"/>
      <c r="T44" s="56">
        <v>543.70000000000005</v>
      </c>
      <c r="U44" s="56">
        <v>543.70000000000005</v>
      </c>
      <c r="V44" s="56"/>
      <c r="W44" s="56">
        <f t="shared" si="13"/>
        <v>1957.32</v>
      </c>
      <c r="X44" s="54">
        <f t="shared" si="14"/>
        <v>2609.7599999999998</v>
      </c>
      <c r="Y44" s="56"/>
      <c r="Z44" s="56">
        <v>2521.73</v>
      </c>
      <c r="AA44" s="56"/>
      <c r="AB44" s="56"/>
      <c r="AC44" s="56">
        <v>100</v>
      </c>
      <c r="AD44" s="56">
        <f t="shared" si="15"/>
        <v>5851.25</v>
      </c>
      <c r="AE44" s="502" t="s">
        <v>157</v>
      </c>
      <c r="AF44" s="506"/>
      <c r="AG44" s="505"/>
    </row>
    <row r="45" spans="1:33" ht="12.75" customHeight="1" x14ac:dyDescent="0.2">
      <c r="A45" s="222" t="s">
        <v>97</v>
      </c>
      <c r="B45" s="30"/>
      <c r="C45" s="210" t="s">
        <v>83</v>
      </c>
      <c r="D45" s="30" t="s">
        <v>595</v>
      </c>
      <c r="E45" s="210" t="s">
        <v>175</v>
      </c>
      <c r="F45" s="54">
        <f>'[1]Reg1(1-15)'!$G$42</f>
        <v>14189</v>
      </c>
      <c r="G45" s="54">
        <f t="shared" si="12"/>
        <v>7094.5</v>
      </c>
      <c r="H45" s="54"/>
      <c r="I45" s="56"/>
      <c r="J45" s="56"/>
      <c r="K45" s="56"/>
      <c r="L45" s="56"/>
      <c r="M45" s="56"/>
      <c r="N45" s="56"/>
      <c r="O45" s="56"/>
      <c r="P45" s="56">
        <v>928.7</v>
      </c>
      <c r="Q45" s="56"/>
      <c r="R45" s="56"/>
      <c r="S45" s="56"/>
      <c r="T45" s="56">
        <v>354.72</v>
      </c>
      <c r="U45" s="56">
        <v>354.73</v>
      </c>
      <c r="V45" s="56"/>
      <c r="W45" s="56">
        <f t="shared" si="13"/>
        <v>1277.01</v>
      </c>
      <c r="X45" s="54">
        <f t="shared" si="14"/>
        <v>1702.6799999999998</v>
      </c>
      <c r="Y45" s="56"/>
      <c r="Z45" s="56"/>
      <c r="AA45" s="56"/>
      <c r="AB45" s="56"/>
      <c r="AC45" s="56">
        <v>100</v>
      </c>
      <c r="AD45" s="56">
        <f t="shared" si="15"/>
        <v>4534.07</v>
      </c>
      <c r="AE45" s="502" t="s">
        <v>97</v>
      </c>
      <c r="AF45" s="506"/>
      <c r="AG45" s="505"/>
    </row>
    <row r="46" spans="1:33" ht="12.75" x14ac:dyDescent="0.2">
      <c r="A46" s="222" t="s">
        <v>99</v>
      </c>
      <c r="B46" s="30"/>
      <c r="C46" s="210" t="s">
        <v>446</v>
      </c>
      <c r="D46" s="30" t="s">
        <v>595</v>
      </c>
      <c r="E46" s="210" t="s">
        <v>175</v>
      </c>
      <c r="F46" s="54">
        <f>'[1]Reg1(1-15)'!$G$43</f>
        <v>13675</v>
      </c>
      <c r="G46" s="54">
        <f t="shared" si="12"/>
        <v>6837.5</v>
      </c>
      <c r="H46" s="54"/>
      <c r="I46" s="56">
        <f>583.33+583.34</f>
        <v>1166.67</v>
      </c>
      <c r="J46" s="56">
        <v>655.56</v>
      </c>
      <c r="K46" s="56"/>
      <c r="L46" s="56"/>
      <c r="M46" s="56"/>
      <c r="N46" s="56"/>
      <c r="O46" s="56"/>
      <c r="P46" s="56">
        <v>887.02</v>
      </c>
      <c r="Q46" s="56"/>
      <c r="R46" s="56"/>
      <c r="S46" s="56"/>
      <c r="T46" s="56">
        <v>341.87</v>
      </c>
      <c r="U46" s="56">
        <v>341.88</v>
      </c>
      <c r="V46" s="56"/>
      <c r="W46" s="56">
        <f t="shared" si="13"/>
        <v>1230.75</v>
      </c>
      <c r="X46" s="54">
        <f t="shared" si="14"/>
        <v>1641</v>
      </c>
      <c r="Y46" s="56"/>
      <c r="Z46" s="56"/>
      <c r="AA46" s="56"/>
      <c r="AB46" s="56"/>
      <c r="AC46" s="56">
        <v>100</v>
      </c>
      <c r="AD46" s="56">
        <f t="shared" si="15"/>
        <v>2555.63</v>
      </c>
      <c r="AE46" s="502" t="s">
        <v>99</v>
      </c>
      <c r="AF46" s="506"/>
      <c r="AG46" s="505"/>
    </row>
    <row r="47" spans="1:33" ht="12.75" x14ac:dyDescent="0.2">
      <c r="A47" s="222" t="s">
        <v>46</v>
      </c>
      <c r="B47" s="30"/>
      <c r="C47" s="210" t="s">
        <v>446</v>
      </c>
      <c r="D47" s="30" t="s">
        <v>595</v>
      </c>
      <c r="E47" s="210" t="s">
        <v>175</v>
      </c>
      <c r="F47" s="54">
        <f>'[1]Reg1(1-15)'!$G$44</f>
        <v>13675</v>
      </c>
      <c r="G47" s="54">
        <f t="shared" si="12"/>
        <v>6837.5</v>
      </c>
      <c r="H47" s="54"/>
      <c r="I47" s="56"/>
      <c r="J47" s="56"/>
      <c r="K47" s="56"/>
      <c r="L47" s="56"/>
      <c r="M47" s="56"/>
      <c r="N47" s="56"/>
      <c r="O47" s="56"/>
      <c r="P47" s="56"/>
      <c r="Q47" s="56"/>
      <c r="R47" s="56"/>
      <c r="S47" s="56"/>
      <c r="T47" s="56">
        <v>341.87</v>
      </c>
      <c r="U47" s="56">
        <v>341.88</v>
      </c>
      <c r="V47" s="56"/>
      <c r="W47" s="56">
        <f t="shared" si="13"/>
        <v>1230.75</v>
      </c>
      <c r="X47" s="54">
        <f t="shared" si="14"/>
        <v>1641</v>
      </c>
      <c r="Y47" s="56">
        <v>3156.75</v>
      </c>
      <c r="Z47" s="56"/>
      <c r="AA47" s="56"/>
      <c r="AB47" s="56"/>
      <c r="AC47" s="56">
        <v>100</v>
      </c>
      <c r="AD47" s="56">
        <f t="shared" si="15"/>
        <v>2108.13</v>
      </c>
      <c r="AE47" s="502" t="s">
        <v>46</v>
      </c>
      <c r="AF47" s="506"/>
      <c r="AG47" s="505"/>
    </row>
    <row r="48" spans="1:33" ht="13.5" thickBot="1" x14ac:dyDescent="0.25">
      <c r="A48" s="222" t="s">
        <v>47</v>
      </c>
      <c r="B48" s="30"/>
      <c r="C48" s="210" t="s">
        <v>446</v>
      </c>
      <c r="D48" s="30" t="s">
        <v>595</v>
      </c>
      <c r="E48" s="210" t="s">
        <v>175</v>
      </c>
      <c r="F48" s="54">
        <f>'[1]Reg1(1-15)'!$G$45</f>
        <v>13575</v>
      </c>
      <c r="G48" s="486">
        <f t="shared" si="12"/>
        <v>6787.5</v>
      </c>
      <c r="H48" s="486"/>
      <c r="I48" s="473"/>
      <c r="J48" s="473"/>
      <c r="K48" s="473"/>
      <c r="L48" s="473"/>
      <c r="M48" s="473"/>
      <c r="N48" s="473"/>
      <c r="O48" s="473"/>
      <c r="P48" s="473">
        <v>591.34</v>
      </c>
      <c r="Q48" s="56"/>
      <c r="R48" s="61"/>
      <c r="S48" s="61"/>
      <c r="T48" s="56">
        <v>339.37</v>
      </c>
      <c r="U48" s="56">
        <v>339.38</v>
      </c>
      <c r="V48" s="473"/>
      <c r="W48" s="56">
        <f t="shared" si="13"/>
        <v>1221.75</v>
      </c>
      <c r="X48" s="54">
        <f t="shared" si="14"/>
        <v>1629</v>
      </c>
      <c r="Y48" s="473">
        <v>1139.73</v>
      </c>
      <c r="Z48" s="473"/>
      <c r="AA48" s="473"/>
      <c r="AB48" s="473"/>
      <c r="AC48" s="56">
        <v>100</v>
      </c>
      <c r="AD48" s="56">
        <f t="shared" si="15"/>
        <v>3495.31</v>
      </c>
      <c r="AE48" s="502" t="s">
        <v>47</v>
      </c>
      <c r="AF48" s="506"/>
      <c r="AG48" s="505"/>
    </row>
    <row r="49" spans="1:35" ht="13.5" thickBot="1" x14ac:dyDescent="0.25">
      <c r="A49" s="222" t="s">
        <v>100</v>
      </c>
      <c r="B49" s="30"/>
      <c r="C49" s="210"/>
      <c r="D49" s="445"/>
      <c r="E49" s="422"/>
      <c r="F49" s="472">
        <f>SUM(F43:F48)</f>
        <v>98610</v>
      </c>
      <c r="G49" s="472">
        <f>SUM(G43:G48)</f>
        <v>49305</v>
      </c>
      <c r="H49" s="472"/>
      <c r="I49" s="472">
        <f t="shared" ref="I49:AD49" si="16">SUM(I43:I48)</f>
        <v>1166.67</v>
      </c>
      <c r="J49" s="472">
        <f t="shared" si="16"/>
        <v>1055.58</v>
      </c>
      <c r="K49" s="472">
        <f t="shared" si="16"/>
        <v>0</v>
      </c>
      <c r="L49" s="472">
        <f t="shared" si="16"/>
        <v>0</v>
      </c>
      <c r="M49" s="472">
        <f t="shared" si="16"/>
        <v>0</v>
      </c>
      <c r="N49" s="472">
        <f t="shared" si="16"/>
        <v>0</v>
      </c>
      <c r="O49" s="472">
        <f t="shared" si="16"/>
        <v>0</v>
      </c>
      <c r="P49" s="472">
        <f t="shared" si="16"/>
        <v>2407.06</v>
      </c>
      <c r="Q49" s="472">
        <f t="shared" si="16"/>
        <v>0</v>
      </c>
      <c r="R49" s="472">
        <f t="shared" si="16"/>
        <v>0</v>
      </c>
      <c r="S49" s="472">
        <f t="shared" si="16"/>
        <v>0</v>
      </c>
      <c r="T49" s="472">
        <f t="shared" si="16"/>
        <v>2465.23</v>
      </c>
      <c r="U49" s="472">
        <f t="shared" si="16"/>
        <v>2465.2700000000004</v>
      </c>
      <c r="V49" s="472">
        <f t="shared" si="16"/>
        <v>0</v>
      </c>
      <c r="W49" s="472">
        <f t="shared" si="16"/>
        <v>8874.9</v>
      </c>
      <c r="X49" s="472">
        <f t="shared" si="16"/>
        <v>11833.199999999999</v>
      </c>
      <c r="Y49" s="472">
        <f t="shared" si="16"/>
        <v>8674.52</v>
      </c>
      <c r="Z49" s="472">
        <f t="shared" si="16"/>
        <v>2521.73</v>
      </c>
      <c r="AA49" s="472">
        <f t="shared" si="16"/>
        <v>0</v>
      </c>
      <c r="AB49" s="472">
        <f t="shared" si="16"/>
        <v>0</v>
      </c>
      <c r="AC49" s="472">
        <f t="shared" si="16"/>
        <v>600</v>
      </c>
      <c r="AD49" s="472">
        <f t="shared" si="16"/>
        <v>22139.31</v>
      </c>
      <c r="AE49" s="502" t="s">
        <v>100</v>
      </c>
      <c r="AF49" s="506"/>
      <c r="AG49" s="505"/>
    </row>
    <row r="50" spans="1:35" ht="13.5" customHeight="1" thickTop="1" x14ac:dyDescent="0.2">
      <c r="A50" s="222" t="s">
        <v>101</v>
      </c>
      <c r="B50" s="194" t="s">
        <v>68</v>
      </c>
      <c r="C50" s="210"/>
      <c r="D50" s="445"/>
      <c r="E50" s="422"/>
      <c r="F50" s="25"/>
      <c r="G50" s="25"/>
      <c r="H50" s="25"/>
      <c r="I50" s="25"/>
      <c r="J50" s="25"/>
      <c r="K50" s="25"/>
      <c r="L50" s="25"/>
      <c r="M50" s="25"/>
      <c r="N50" s="25"/>
      <c r="O50" s="25"/>
      <c r="P50" s="25"/>
      <c r="Q50" s="25"/>
      <c r="R50" s="25"/>
      <c r="S50" s="25"/>
      <c r="T50" s="25"/>
      <c r="U50" s="25"/>
      <c r="V50" s="25"/>
      <c r="W50" s="25"/>
      <c r="X50" s="25"/>
      <c r="Y50" s="25"/>
      <c r="Z50" s="25"/>
      <c r="AA50" s="25"/>
      <c r="AB50" s="25"/>
      <c r="AC50" s="25"/>
      <c r="AD50" s="26" t="s">
        <v>37</v>
      </c>
      <c r="AE50" s="502" t="s">
        <v>101</v>
      </c>
      <c r="AF50" s="513"/>
      <c r="AG50" s="505"/>
    </row>
    <row r="51" spans="1:35" ht="13.5" customHeight="1" x14ac:dyDescent="0.2">
      <c r="A51" s="222" t="s">
        <v>162</v>
      </c>
      <c r="B51" s="30"/>
      <c r="C51" s="684" t="s">
        <v>671</v>
      </c>
      <c r="D51" s="935" t="s">
        <v>685</v>
      </c>
      <c r="E51" s="936"/>
      <c r="F51" s="25">
        <f>'[1]Reg1(1-15)'!$G$48</f>
        <v>83457</v>
      </c>
      <c r="G51" s="54">
        <f>F51/2</f>
        <v>41728.5</v>
      </c>
      <c r="H51" s="25"/>
      <c r="I51" s="55"/>
      <c r="J51" s="55">
        <f>1311.12</f>
        <v>1311.12</v>
      </c>
      <c r="K51" s="25"/>
      <c r="L51" s="55">
        <v>300</v>
      </c>
      <c r="M51" s="25"/>
      <c r="N51" s="25"/>
      <c r="O51" s="55">
        <v>1966.67</v>
      </c>
      <c r="P51" s="25"/>
      <c r="Q51" s="56"/>
      <c r="R51" s="39"/>
      <c r="S51" s="39"/>
      <c r="T51" s="25">
        <v>2086.42</v>
      </c>
      <c r="U51" s="25">
        <v>2086.4299999999998</v>
      </c>
      <c r="V51" s="25"/>
      <c r="W51" s="56">
        <f t="shared" ref="W51" si="17">F51*0.09</f>
        <v>7511.13</v>
      </c>
      <c r="X51" s="54">
        <f t="shared" ref="X51" si="18">F51*0.12</f>
        <v>10014.84</v>
      </c>
      <c r="Y51" s="55">
        <v>11999.84</v>
      </c>
      <c r="Z51" s="25"/>
      <c r="AA51" s="25">
        <v>2244.5100000000002</v>
      </c>
      <c r="AB51" s="56"/>
      <c r="AC51" s="56">
        <v>100</v>
      </c>
      <c r="AD51" s="56">
        <f t="shared" ref="AD51:AD57" si="19">G51-SUM(I51:Q51)-T51-W51-SUM(Y51:AB51)-R51</f>
        <v>14308.81</v>
      </c>
      <c r="AE51" s="502" t="s">
        <v>162</v>
      </c>
      <c r="AF51" s="513"/>
      <c r="AG51" s="505"/>
    </row>
    <row r="52" spans="1:35" ht="12.75" customHeight="1" x14ac:dyDescent="0.2">
      <c r="A52" s="222" t="s">
        <v>177</v>
      </c>
      <c r="B52" s="44"/>
      <c r="C52" s="210" t="s">
        <v>661</v>
      </c>
      <c r="D52" s="30" t="s">
        <v>595</v>
      </c>
      <c r="E52" s="210" t="s">
        <v>175</v>
      </c>
      <c r="F52" s="54">
        <f>'[1]Reg1(1-15)'!$G$49</f>
        <v>25520</v>
      </c>
      <c r="G52" s="54">
        <f>F52/2</f>
        <v>12760</v>
      </c>
      <c r="H52" s="54"/>
      <c r="I52" s="56"/>
      <c r="J52" s="56"/>
      <c r="K52" s="56"/>
      <c r="L52" s="56"/>
      <c r="M52" s="56"/>
      <c r="N52" s="56"/>
      <c r="O52" s="56"/>
      <c r="P52" s="56">
        <v>1757.71</v>
      </c>
      <c r="Q52" s="56"/>
      <c r="R52" s="58"/>
      <c r="S52" s="58"/>
      <c r="T52" s="56">
        <v>638</v>
      </c>
      <c r="U52" s="56">
        <v>638</v>
      </c>
      <c r="V52" s="55"/>
      <c r="W52" s="56">
        <f t="shared" ref="W52:W57" si="20">F52*0.09</f>
        <v>2296.7999999999997</v>
      </c>
      <c r="X52" s="54">
        <f t="shared" ref="X52:X57" si="21">F52*0.12</f>
        <v>3062.4</v>
      </c>
      <c r="Y52" s="56"/>
      <c r="Z52" s="56"/>
      <c r="AA52" s="56"/>
      <c r="AB52" s="56">
        <v>947.09</v>
      </c>
      <c r="AC52" s="56">
        <v>100</v>
      </c>
      <c r="AD52" s="56">
        <f t="shared" si="19"/>
        <v>7120.4000000000015</v>
      </c>
      <c r="AE52" s="502" t="s">
        <v>177</v>
      </c>
      <c r="AF52" s="508"/>
      <c r="AG52" s="505"/>
      <c r="AI52" s="735" t="e">
        <f>F59+'Reg.2(1-15)'!F55+'Reg.3(1-15)'!F69+#REF!+'SB(1-15)'!F44</f>
        <v>#REF!</v>
      </c>
    </row>
    <row r="53" spans="1:35" ht="12.75" customHeight="1" x14ac:dyDescent="0.2">
      <c r="A53" s="222" t="s">
        <v>178</v>
      </c>
      <c r="B53" s="30"/>
      <c r="C53" s="404" t="s">
        <v>653</v>
      </c>
      <c r="D53" s="30" t="s">
        <v>595</v>
      </c>
      <c r="E53" s="210" t="s">
        <v>175</v>
      </c>
      <c r="F53" s="54">
        <f>'[1]Reg1(1-15)'!$G$50</f>
        <v>25762</v>
      </c>
      <c r="G53" s="54">
        <f>F53/2</f>
        <v>12881</v>
      </c>
      <c r="H53" s="54"/>
      <c r="I53" s="56">
        <v>700</v>
      </c>
      <c r="J53" s="56">
        <v>512.49</v>
      </c>
      <c r="K53" s="56"/>
      <c r="L53" s="56"/>
      <c r="M53" s="56"/>
      <c r="N53" s="56"/>
      <c r="O53" s="56"/>
      <c r="P53" s="56">
        <v>1568.86</v>
      </c>
      <c r="Q53" s="56"/>
      <c r="R53" s="58"/>
      <c r="S53" s="58"/>
      <c r="T53" s="56">
        <v>644.04999999999995</v>
      </c>
      <c r="U53" s="56">
        <v>644.04999999999995</v>
      </c>
      <c r="V53" s="55"/>
      <c r="W53" s="56">
        <f t="shared" si="20"/>
        <v>2318.58</v>
      </c>
      <c r="X53" s="54">
        <f t="shared" si="21"/>
        <v>3091.44</v>
      </c>
      <c r="Y53" s="56">
        <v>3077.48</v>
      </c>
      <c r="Z53" s="56"/>
      <c r="AA53" s="56"/>
      <c r="AB53" s="56"/>
      <c r="AC53" s="56">
        <v>100</v>
      </c>
      <c r="AD53" s="56">
        <f t="shared" si="19"/>
        <v>4059.5400000000004</v>
      </c>
      <c r="AE53" s="502" t="s">
        <v>178</v>
      </c>
      <c r="AF53" s="508"/>
      <c r="AG53" s="505"/>
    </row>
    <row r="54" spans="1:35" ht="12.75" customHeight="1" x14ac:dyDescent="0.2">
      <c r="A54" s="222" t="s">
        <v>179</v>
      </c>
      <c r="B54" s="44"/>
      <c r="C54" s="209" t="s">
        <v>473</v>
      </c>
      <c r="D54" s="30" t="s">
        <v>595</v>
      </c>
      <c r="E54" s="210" t="s">
        <v>175</v>
      </c>
      <c r="F54" s="56">
        <v>21922</v>
      </c>
      <c r="G54" s="54">
        <f>F54/2</f>
        <v>10961</v>
      </c>
      <c r="H54" s="54"/>
      <c r="I54" s="56"/>
      <c r="J54" s="56"/>
      <c r="K54" s="56"/>
      <c r="L54" s="56"/>
      <c r="M54" s="56"/>
      <c r="N54" s="56"/>
      <c r="O54" s="56"/>
      <c r="P54" s="56">
        <v>1211.4100000000001</v>
      </c>
      <c r="Q54" s="56"/>
      <c r="R54" s="56"/>
      <c r="S54" s="56"/>
      <c r="T54" s="56">
        <v>548.04999999999995</v>
      </c>
      <c r="U54" s="56">
        <v>548.04999999999995</v>
      </c>
      <c r="V54" s="56"/>
      <c r="W54" s="56">
        <f t="shared" si="20"/>
        <v>1972.98</v>
      </c>
      <c r="X54" s="54">
        <f t="shared" si="21"/>
        <v>2630.64</v>
      </c>
      <c r="Y54" s="56"/>
      <c r="Z54" s="56"/>
      <c r="AA54" s="56"/>
      <c r="AB54" s="56"/>
      <c r="AC54" s="56">
        <v>100</v>
      </c>
      <c r="AD54" s="56">
        <f t="shared" si="19"/>
        <v>7228.5600000000013</v>
      </c>
      <c r="AE54" s="502" t="s">
        <v>179</v>
      </c>
      <c r="AF54" s="508"/>
      <c r="AG54" s="505"/>
    </row>
    <row r="55" spans="1:35" ht="12.75" x14ac:dyDescent="0.2">
      <c r="A55" s="222" t="s">
        <v>180</v>
      </c>
      <c r="B55" s="44"/>
      <c r="C55" s="209" t="s">
        <v>499</v>
      </c>
      <c r="D55" s="30" t="s">
        <v>595</v>
      </c>
      <c r="E55" s="210" t="s">
        <v>175</v>
      </c>
      <c r="F55" s="56">
        <f>'[1]Reg1(1-15)'!$G$52</f>
        <v>14414</v>
      </c>
      <c r="G55" s="54">
        <f t="shared" ref="G55:G57" si="22">F55/2</f>
        <v>7207</v>
      </c>
      <c r="H55" s="54"/>
      <c r="I55" s="56"/>
      <c r="J55" s="56"/>
      <c r="K55" s="56"/>
      <c r="L55" s="56"/>
      <c r="M55" s="56"/>
      <c r="N55" s="56"/>
      <c r="O55" s="56"/>
      <c r="P55" s="56"/>
      <c r="Q55" s="56"/>
      <c r="R55" s="56"/>
      <c r="S55" s="56"/>
      <c r="T55" s="56">
        <v>360.35</v>
      </c>
      <c r="U55" s="56">
        <v>360.35</v>
      </c>
      <c r="V55" s="56"/>
      <c r="W55" s="56">
        <f t="shared" si="20"/>
        <v>1297.26</v>
      </c>
      <c r="X55" s="54">
        <f t="shared" si="21"/>
        <v>1729.6799999999998</v>
      </c>
      <c r="Y55" s="56">
        <v>4600</v>
      </c>
      <c r="Z55" s="56"/>
      <c r="AA55" s="56"/>
      <c r="AB55" s="56"/>
      <c r="AC55" s="56">
        <v>100</v>
      </c>
      <c r="AD55" s="56">
        <f t="shared" si="19"/>
        <v>949.38999999999942</v>
      </c>
      <c r="AE55" s="502" t="s">
        <v>180</v>
      </c>
      <c r="AF55" s="508"/>
      <c r="AG55" s="505"/>
      <c r="AI55" s="735" t="e">
        <f>AI52*0.02</f>
        <v>#REF!</v>
      </c>
    </row>
    <row r="56" spans="1:35" ht="12.75" x14ac:dyDescent="0.2">
      <c r="A56" s="222" t="s">
        <v>181</v>
      </c>
      <c r="B56" s="44"/>
      <c r="C56" s="209" t="s">
        <v>499</v>
      </c>
      <c r="D56" s="30" t="s">
        <v>595</v>
      </c>
      <c r="E56" s="210" t="s">
        <v>175</v>
      </c>
      <c r="F56" s="56">
        <v>14308</v>
      </c>
      <c r="G56" s="54">
        <f t="shared" si="22"/>
        <v>7154</v>
      </c>
      <c r="H56" s="54"/>
      <c r="I56" s="56"/>
      <c r="J56" s="56"/>
      <c r="K56" s="56"/>
      <c r="L56" s="56"/>
      <c r="M56" s="56"/>
      <c r="N56" s="56"/>
      <c r="O56" s="56"/>
      <c r="P56" s="56"/>
      <c r="Q56" s="56"/>
      <c r="R56" s="56"/>
      <c r="S56" s="56"/>
      <c r="T56" s="56">
        <v>357.7</v>
      </c>
      <c r="U56" s="56">
        <v>357.7</v>
      </c>
      <c r="V56" s="56"/>
      <c r="W56" s="56">
        <f t="shared" si="20"/>
        <v>1287.72</v>
      </c>
      <c r="X56" s="54">
        <f t="shared" si="21"/>
        <v>1716.96</v>
      </c>
      <c r="Y56" s="56"/>
      <c r="Z56" s="56"/>
      <c r="AA56" s="56"/>
      <c r="AB56" s="56"/>
      <c r="AC56" s="56">
        <v>100</v>
      </c>
      <c r="AD56" s="56">
        <f t="shared" si="19"/>
        <v>5508.58</v>
      </c>
      <c r="AE56" s="502" t="s">
        <v>181</v>
      </c>
      <c r="AF56" s="508"/>
      <c r="AG56" s="505"/>
    </row>
    <row r="57" spans="1:35" ht="13.5" thickBot="1" x14ac:dyDescent="0.25">
      <c r="A57" s="222" t="s">
        <v>186</v>
      </c>
      <c r="B57" s="44"/>
      <c r="C57" s="209" t="s">
        <v>499</v>
      </c>
      <c r="D57" s="30" t="s">
        <v>595</v>
      </c>
      <c r="E57" s="210" t="s">
        <v>175</v>
      </c>
      <c r="F57" s="60">
        <f>'[1]Reg1(1-15)'!$G$54</f>
        <v>14308</v>
      </c>
      <c r="G57" s="470">
        <f t="shared" si="22"/>
        <v>7154</v>
      </c>
      <c r="H57" s="470"/>
      <c r="I57" s="60">
        <v>475</v>
      </c>
      <c r="J57" s="60"/>
      <c r="K57" s="60"/>
      <c r="L57" s="60"/>
      <c r="M57" s="60"/>
      <c r="N57" s="60"/>
      <c r="O57" s="60">
        <v>983.33</v>
      </c>
      <c r="P57" s="60"/>
      <c r="Q57" s="60"/>
      <c r="R57" s="60"/>
      <c r="S57" s="60"/>
      <c r="T57" s="60">
        <v>357.7</v>
      </c>
      <c r="U57" s="60">
        <v>357.7</v>
      </c>
      <c r="V57" s="60"/>
      <c r="W57" s="60">
        <f t="shared" si="20"/>
        <v>1287.72</v>
      </c>
      <c r="X57" s="470">
        <f t="shared" si="21"/>
        <v>1716.96</v>
      </c>
      <c r="Y57" s="60">
        <v>2842.16</v>
      </c>
      <c r="Z57" s="60"/>
      <c r="AA57" s="60"/>
      <c r="AB57" s="60"/>
      <c r="AC57" s="60">
        <v>100</v>
      </c>
      <c r="AD57" s="60">
        <f t="shared" si="19"/>
        <v>1208.0900000000001</v>
      </c>
      <c r="AE57" s="502" t="s">
        <v>186</v>
      </c>
      <c r="AF57" s="508"/>
      <c r="AG57" s="505"/>
    </row>
    <row r="58" spans="1:35" s="201" customFormat="1" ht="13.5" thickBot="1" x14ac:dyDescent="0.25">
      <c r="A58" s="222" t="s">
        <v>189</v>
      </c>
      <c r="B58" s="44"/>
      <c r="C58" s="32"/>
      <c r="D58" s="445"/>
      <c r="E58" s="422"/>
      <c r="F58" s="64">
        <f>SUM(F51:F57)</f>
        <v>199691</v>
      </c>
      <c r="G58" s="64">
        <f t="shared" ref="G58:AC58" si="23">SUM(G51:G57)</f>
        <v>99845.5</v>
      </c>
      <c r="H58" s="64">
        <f t="shared" si="23"/>
        <v>0</v>
      </c>
      <c r="I58" s="64">
        <f t="shared" si="23"/>
        <v>1175</v>
      </c>
      <c r="J58" s="64">
        <f t="shared" si="23"/>
        <v>1823.61</v>
      </c>
      <c r="K58" s="64">
        <f t="shared" si="23"/>
        <v>0</v>
      </c>
      <c r="L58" s="64">
        <f t="shared" si="23"/>
        <v>300</v>
      </c>
      <c r="M58" s="64">
        <f t="shared" si="23"/>
        <v>0</v>
      </c>
      <c r="N58" s="64">
        <f t="shared" si="23"/>
        <v>0</v>
      </c>
      <c r="O58" s="64">
        <f t="shared" si="23"/>
        <v>2950</v>
      </c>
      <c r="P58" s="64">
        <f t="shared" si="23"/>
        <v>4537.9799999999996</v>
      </c>
      <c r="Q58" s="64">
        <f t="shared" si="23"/>
        <v>0</v>
      </c>
      <c r="R58" s="64">
        <f t="shared" si="23"/>
        <v>0</v>
      </c>
      <c r="S58" s="64">
        <f t="shared" si="23"/>
        <v>0</v>
      </c>
      <c r="T58" s="64">
        <f t="shared" si="23"/>
        <v>4992.2700000000004</v>
      </c>
      <c r="U58" s="64">
        <f t="shared" si="23"/>
        <v>4992.28</v>
      </c>
      <c r="V58" s="64">
        <f t="shared" si="23"/>
        <v>0</v>
      </c>
      <c r="W58" s="64">
        <f t="shared" si="23"/>
        <v>17972.190000000002</v>
      </c>
      <c r="X58" s="64">
        <f t="shared" si="23"/>
        <v>23962.92</v>
      </c>
      <c r="Y58" s="64">
        <f t="shared" si="23"/>
        <v>22519.48</v>
      </c>
      <c r="Z58" s="64">
        <f t="shared" si="23"/>
        <v>0</v>
      </c>
      <c r="AA58" s="64">
        <f>SUM(AA51:AA57)</f>
        <v>2244.5100000000002</v>
      </c>
      <c r="AB58" s="64">
        <f t="shared" si="23"/>
        <v>947.09</v>
      </c>
      <c r="AC58" s="64">
        <f t="shared" si="23"/>
        <v>700</v>
      </c>
      <c r="AD58" s="64">
        <f>SUM(AD51:AD57)</f>
        <v>40383.369999999995</v>
      </c>
      <c r="AE58" s="502" t="s">
        <v>189</v>
      </c>
      <c r="AF58" s="204"/>
      <c r="AG58" s="505"/>
      <c r="AI58" s="739"/>
    </row>
    <row r="59" spans="1:35" s="201" customFormat="1" ht="14.25" thickTop="1" thickBot="1" x14ac:dyDescent="0.25">
      <c r="A59" s="48" t="s">
        <v>190</v>
      </c>
      <c r="B59" s="31" t="s">
        <v>373</v>
      </c>
      <c r="C59" s="34"/>
      <c r="D59" s="580"/>
      <c r="E59" s="652"/>
      <c r="F59" s="478">
        <f>F58+F49+F41+F19+F37+F31+F22+F25</f>
        <v>956178</v>
      </c>
      <c r="G59" s="478">
        <f t="shared" ref="G59:AD59" si="24">G58+G49+G41+G19+G37+G31+G22+G25</f>
        <v>478089</v>
      </c>
      <c r="H59" s="478">
        <f t="shared" si="24"/>
        <v>0</v>
      </c>
      <c r="I59" s="478">
        <f t="shared" si="24"/>
        <v>5841.67</v>
      </c>
      <c r="J59" s="478">
        <f t="shared" si="24"/>
        <v>5563.29</v>
      </c>
      <c r="K59" s="478">
        <f t="shared" si="24"/>
        <v>0</v>
      </c>
      <c r="L59" s="478">
        <f t="shared" si="24"/>
        <v>550</v>
      </c>
      <c r="M59" s="478">
        <f t="shared" si="24"/>
        <v>0</v>
      </c>
      <c r="N59" s="478">
        <f t="shared" si="24"/>
        <v>0</v>
      </c>
      <c r="O59" s="478">
        <f t="shared" si="24"/>
        <v>3933.33</v>
      </c>
      <c r="P59" s="478">
        <f t="shared" si="24"/>
        <v>16971.689999999999</v>
      </c>
      <c r="Q59" s="478">
        <f t="shared" si="24"/>
        <v>0</v>
      </c>
      <c r="R59" s="478">
        <f t="shared" si="24"/>
        <v>0</v>
      </c>
      <c r="S59" s="478">
        <f t="shared" si="24"/>
        <v>0</v>
      </c>
      <c r="T59" s="478">
        <f t="shared" si="24"/>
        <v>23372.799999999996</v>
      </c>
      <c r="U59" s="478">
        <f t="shared" si="24"/>
        <v>23372.9</v>
      </c>
      <c r="V59" s="478">
        <f t="shared" si="24"/>
        <v>0</v>
      </c>
      <c r="W59" s="478">
        <f t="shared" si="24"/>
        <v>78544.89</v>
      </c>
      <c r="X59" s="478">
        <f t="shared" si="24"/>
        <v>104726.51999999999</v>
      </c>
      <c r="Y59" s="478">
        <f t="shared" si="24"/>
        <v>68903.59</v>
      </c>
      <c r="Z59" s="478">
        <f t="shared" si="24"/>
        <v>14302.66</v>
      </c>
      <c r="AA59" s="478">
        <f t="shared" si="24"/>
        <v>2244.5100000000002</v>
      </c>
      <c r="AB59" s="478">
        <f t="shared" si="24"/>
        <v>11199.46</v>
      </c>
      <c r="AC59" s="478">
        <f t="shared" si="24"/>
        <v>3100</v>
      </c>
      <c r="AD59" s="478">
        <f t="shared" si="24"/>
        <v>246661.11000000004</v>
      </c>
      <c r="AE59" s="563" t="s">
        <v>190</v>
      </c>
      <c r="AF59" s="515"/>
      <c r="AG59" s="516"/>
      <c r="AI59" s="739"/>
    </row>
    <row r="60" spans="1:35" ht="12" thickTop="1" x14ac:dyDescent="0.2">
      <c r="A60" s="889" t="s">
        <v>49</v>
      </c>
      <c r="B60" s="889"/>
      <c r="C60" s="889"/>
      <c r="D60" s="889"/>
      <c r="E60" s="889"/>
      <c r="F60" s="889"/>
      <c r="AC60" s="889" t="s">
        <v>48</v>
      </c>
      <c r="AD60" s="889"/>
      <c r="AE60" s="889"/>
      <c r="AF60" s="889"/>
    </row>
    <row r="61" spans="1:35" x14ac:dyDescent="0.2">
      <c r="A61" s="889"/>
      <c r="B61" s="889"/>
      <c r="C61" s="889"/>
      <c r="D61" s="889"/>
      <c r="E61" s="889"/>
      <c r="F61" s="889"/>
      <c r="T61" s="1" t="s">
        <v>50</v>
      </c>
      <c r="Y61" s="35"/>
      <c r="AC61" s="889"/>
      <c r="AD61" s="889"/>
      <c r="AE61" s="889"/>
      <c r="AF61" s="889"/>
    </row>
    <row r="62" spans="1:35" ht="12.75" x14ac:dyDescent="0.2">
      <c r="A62" s="889"/>
      <c r="B62" s="889"/>
      <c r="C62" s="889"/>
      <c r="D62" s="889"/>
      <c r="E62" s="889"/>
      <c r="F62" s="889"/>
      <c r="I62" s="35"/>
      <c r="J62" s="488"/>
      <c r="T62" s="921"/>
      <c r="U62" s="921"/>
      <c r="V62" s="625"/>
      <c r="Y62" s="35"/>
      <c r="AC62" s="889"/>
      <c r="AD62" s="889"/>
      <c r="AE62" s="889"/>
      <c r="AF62" s="889"/>
    </row>
    <row r="63" spans="1:35" ht="12.75" x14ac:dyDescent="0.2">
      <c r="J63" s="88"/>
      <c r="Q63" s="35"/>
      <c r="R63" s="35"/>
      <c r="S63" s="35"/>
      <c r="T63" s="824"/>
      <c r="U63" s="824"/>
      <c r="V63" s="306"/>
      <c r="Y63" s="35"/>
      <c r="AC63" s="966"/>
      <c r="AD63" s="966"/>
      <c r="AE63" s="966"/>
      <c r="AF63" s="966"/>
    </row>
    <row r="64" spans="1:35" ht="15" x14ac:dyDescent="0.25">
      <c r="F64" s="615" t="s">
        <v>673</v>
      </c>
      <c r="G64" s="522"/>
      <c r="H64" s="522"/>
      <c r="J64" s="88"/>
      <c r="Q64" s="35"/>
      <c r="R64" s="35"/>
      <c r="S64" s="35"/>
      <c r="T64" s="968" t="s">
        <v>673</v>
      </c>
      <c r="U64" s="968"/>
      <c r="V64" s="968"/>
      <c r="W64" s="968"/>
      <c r="X64" s="969"/>
      <c r="Y64" s="35"/>
      <c r="AC64" s="967"/>
      <c r="AD64" s="967"/>
      <c r="AE64" s="967"/>
      <c r="AF64" s="967"/>
    </row>
    <row r="65" spans="1:32" ht="12.75" x14ac:dyDescent="0.2">
      <c r="E65" s="201"/>
      <c r="F65" s="201" t="s">
        <v>649</v>
      </c>
      <c r="P65" s="88"/>
      <c r="T65" s="829" t="s">
        <v>79</v>
      </c>
      <c r="U65" s="829"/>
      <c r="V65" s="829"/>
      <c r="W65" s="829"/>
      <c r="X65" s="967"/>
      <c r="AC65" s="967"/>
      <c r="AD65" s="967"/>
      <c r="AE65" s="967"/>
      <c r="AF65" s="967"/>
    </row>
    <row r="66" spans="1:32" ht="12.75" x14ac:dyDescent="0.2">
      <c r="T66" s="824" t="s">
        <v>51</v>
      </c>
      <c r="U66" s="824"/>
      <c r="V66" s="824"/>
      <c r="W66" s="824"/>
      <c r="X66" s="824"/>
      <c r="AC66" s="967"/>
      <c r="AD66" s="967"/>
      <c r="AE66" s="967"/>
      <c r="AF66" s="967"/>
    </row>
    <row r="67" spans="1:32" ht="12.75" x14ac:dyDescent="0.2">
      <c r="P67" s="88"/>
      <c r="AC67" s="967"/>
      <c r="AD67" s="967"/>
      <c r="AE67" s="967"/>
      <c r="AF67" s="967"/>
    </row>
    <row r="68" spans="1:32" ht="12.75" x14ac:dyDescent="0.2">
      <c r="A68" s="17" t="s">
        <v>52</v>
      </c>
      <c r="K68" s="201"/>
      <c r="P68" s="88"/>
      <c r="AC68" s="523"/>
      <c r="AD68" s="523" t="s">
        <v>111</v>
      </c>
      <c r="AE68" s="523"/>
    </row>
    <row r="69" spans="1:32" ht="12.75" x14ac:dyDescent="0.2">
      <c r="P69" s="201"/>
      <c r="Y69" s="35"/>
      <c r="AC69" s="524"/>
      <c r="AD69" s="524" t="s">
        <v>105</v>
      </c>
      <c r="AE69" s="524"/>
    </row>
    <row r="70" spans="1:32" x14ac:dyDescent="0.2">
      <c r="E70" s="1" t="s">
        <v>53</v>
      </c>
      <c r="AC70" s="524"/>
      <c r="AD70" s="524"/>
      <c r="AE70" s="524"/>
      <c r="AF70" s="524"/>
    </row>
    <row r="71" spans="1:32" x14ac:dyDescent="0.2">
      <c r="AC71" s="888" t="s">
        <v>55</v>
      </c>
      <c r="AD71" s="888"/>
      <c r="AE71" s="888"/>
      <c r="AF71" s="888"/>
    </row>
    <row r="72" spans="1:32" x14ac:dyDescent="0.2">
      <c r="A72" s="17" t="s">
        <v>54</v>
      </c>
      <c r="AC72" s="888"/>
      <c r="AD72" s="888"/>
      <c r="AE72" s="888"/>
      <c r="AF72" s="888"/>
    </row>
    <row r="73" spans="1:32" x14ac:dyDescent="0.2">
      <c r="AC73" s="888"/>
      <c r="AD73" s="888"/>
      <c r="AE73" s="888"/>
      <c r="AF73" s="888"/>
    </row>
    <row r="74" spans="1:32" x14ac:dyDescent="0.2">
      <c r="C74" s="1" t="s">
        <v>56</v>
      </c>
      <c r="E74" s="1" t="s">
        <v>57</v>
      </c>
      <c r="AC74" s="965"/>
      <c r="AD74" s="965"/>
      <c r="AE74" s="965"/>
      <c r="AF74" s="965"/>
    </row>
    <row r="75" spans="1:32" x14ac:dyDescent="0.2">
      <c r="C75" s="105" t="s">
        <v>58</v>
      </c>
      <c r="AC75" s="965"/>
      <c r="AD75" s="965"/>
      <c r="AE75" s="965"/>
      <c r="AF75" s="965"/>
    </row>
    <row r="76" spans="1:32" x14ac:dyDescent="0.2">
      <c r="AC76" s="965"/>
      <c r="AD76" s="965"/>
      <c r="AE76" s="965"/>
      <c r="AF76" s="965"/>
    </row>
    <row r="77" spans="1:32" x14ac:dyDescent="0.2">
      <c r="AC77" s="525"/>
      <c r="AD77" s="525" t="s">
        <v>184</v>
      </c>
      <c r="AE77" s="653"/>
      <c r="AF77" s="525"/>
    </row>
    <row r="78" spans="1:32" x14ac:dyDescent="0.2">
      <c r="D78" s="105"/>
      <c r="E78" s="105"/>
      <c r="AD78" s="1" t="s">
        <v>620</v>
      </c>
    </row>
    <row r="89" spans="26:27" x14ac:dyDescent="0.2">
      <c r="Z89" s="35"/>
      <c r="AA89" s="35"/>
    </row>
  </sheetData>
  <mergeCells count="59">
    <mergeCell ref="D51:E51"/>
    <mergeCell ref="D43:E43"/>
    <mergeCell ref="AF6:AF8"/>
    <mergeCell ref="D27:E27"/>
    <mergeCell ref="D33:E33"/>
    <mergeCell ref="S8:S9"/>
    <mergeCell ref="L6:L9"/>
    <mergeCell ref="M6:M9"/>
    <mergeCell ref="N6:N9"/>
    <mergeCell ref="P6:P9"/>
    <mergeCell ref="J6:J9"/>
    <mergeCell ref="Q6:Q9"/>
    <mergeCell ref="F6:F7"/>
    <mergeCell ref="K6:K9"/>
    <mergeCell ref="O6:O9"/>
    <mergeCell ref="Z5:Z9"/>
    <mergeCell ref="AC71:AF76"/>
    <mergeCell ref="A60:F62"/>
    <mergeCell ref="AC60:AF67"/>
    <mergeCell ref="T62:U62"/>
    <mergeCell ref="T63:U63"/>
    <mergeCell ref="T64:X64"/>
    <mergeCell ref="T65:X65"/>
    <mergeCell ref="T66:X66"/>
    <mergeCell ref="AD5:AD9"/>
    <mergeCell ref="AE5:AE9"/>
    <mergeCell ref="W8:W9"/>
    <mergeCell ref="X8:X9"/>
    <mergeCell ref="AC6:AC9"/>
    <mergeCell ref="AA5:AB6"/>
    <mergeCell ref="AB7:AB9"/>
    <mergeCell ref="AA7:AA9"/>
    <mergeCell ref="A1:AG1"/>
    <mergeCell ref="A2:AG3"/>
    <mergeCell ref="B4:B9"/>
    <mergeCell ref="C4:C9"/>
    <mergeCell ref="D4:E4"/>
    <mergeCell ref="F4:F5"/>
    <mergeCell ref="G4:G7"/>
    <mergeCell ref="I4:Z4"/>
    <mergeCell ref="D5:D7"/>
    <mergeCell ref="E5:E7"/>
    <mergeCell ref="I5:Q5"/>
    <mergeCell ref="T5:U6"/>
    <mergeCell ref="W5:X5"/>
    <mergeCell ref="Y5:Y9"/>
    <mergeCell ref="AG6:AG8"/>
    <mergeCell ref="V7:V9"/>
    <mergeCell ref="D39:E39"/>
    <mergeCell ref="D21:E21"/>
    <mergeCell ref="W6:X7"/>
    <mergeCell ref="R8:R9"/>
    <mergeCell ref="T7:T9"/>
    <mergeCell ref="I6:I9"/>
    <mergeCell ref="H4:H7"/>
    <mergeCell ref="U7:U9"/>
    <mergeCell ref="R7:S7"/>
    <mergeCell ref="D12:E12"/>
    <mergeCell ref="D24:E24"/>
  </mergeCells>
  <phoneticPr fontId="4" type="noConversion"/>
  <pageMargins left="0.41929133899999999" right="0" top="0.55118110236220497" bottom="0.43307086614173201" header="0.31496062992126" footer="0.31496062992126"/>
  <pageSetup paperSize="8" scale="60" orientation="landscape"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Q79"/>
  <sheetViews>
    <sheetView zoomScaleNormal="100" workbookViewId="0">
      <pane xSplit="8" ySplit="11" topLeftCell="Z54" activePane="bottomRight" state="frozen"/>
      <selection pane="topRight" activeCell="I1" sqref="I1"/>
      <selection pane="bottomLeft" activeCell="A12" sqref="A12"/>
      <selection pane="bottomRight" activeCell="B47" sqref="B47:B52"/>
    </sheetView>
  </sheetViews>
  <sheetFormatPr defaultColWidth="9.140625" defaultRowHeight="15" x14ac:dyDescent="0.2"/>
  <cols>
    <col min="1" max="1" width="3" style="105" customWidth="1"/>
    <col min="2" max="2" width="26.5703125" style="17" customWidth="1"/>
    <col min="3" max="3" width="15.85546875" style="1" customWidth="1"/>
    <col min="4" max="4" width="9.42578125" style="1" customWidth="1"/>
    <col min="5" max="5" width="6.42578125" style="1" customWidth="1"/>
    <col min="6" max="6" width="13.28515625" style="176" customWidth="1"/>
    <col min="7" max="7" width="13.7109375" style="1" customWidth="1"/>
    <col min="8" max="8" width="0.28515625" style="1" customWidth="1"/>
    <col min="9" max="9" width="12.28515625" style="1" hidden="1" customWidth="1"/>
    <col min="10" max="10" width="11.5703125" style="1" customWidth="1"/>
    <col min="11" max="12" width="11.42578125" style="1" customWidth="1"/>
    <col min="13" max="13" width="11" style="1" customWidth="1"/>
    <col min="14" max="15" width="10.42578125" style="1" hidden="1" customWidth="1"/>
    <col min="16" max="16" width="10.42578125" style="1" customWidth="1"/>
    <col min="17" max="17" width="12.28515625" style="1" customWidth="1"/>
    <col min="18" max="19" width="10.42578125" style="1" customWidth="1"/>
    <col min="20" max="21" width="10.42578125" style="1" hidden="1" customWidth="1"/>
    <col min="22" max="22" width="11.7109375" style="1" customWidth="1"/>
    <col min="23" max="23" width="11.85546875" style="1" customWidth="1"/>
    <col min="24" max="25" width="12" style="1" customWidth="1"/>
    <col min="26" max="26" width="12.5703125" style="1" customWidth="1"/>
    <col min="27" max="27" width="11.5703125" style="1" customWidth="1"/>
    <col min="28" max="28" width="11.28515625" style="1" customWidth="1"/>
    <col min="29" max="29" width="10.7109375" style="1" customWidth="1"/>
    <col min="30" max="30" width="11.140625" style="1" customWidth="1"/>
    <col min="31" max="31" width="13.85546875" style="1" customWidth="1"/>
    <col min="32" max="32" width="2.85546875" style="1" customWidth="1"/>
    <col min="33" max="33" width="15" style="1" customWidth="1"/>
    <col min="34" max="34" width="6.42578125" style="1" customWidth="1"/>
    <col min="35" max="35" width="8.140625" style="1" customWidth="1"/>
    <col min="36" max="36" width="9" style="657" bestFit="1" customWidth="1"/>
    <col min="37" max="37" width="11.7109375" style="657" customWidth="1"/>
    <col min="38" max="38" width="17.140625" style="201" customWidth="1"/>
    <col min="39" max="16384" width="9.140625" style="1"/>
  </cols>
  <sheetData>
    <row r="1" spans="1:38" ht="26.25" x14ac:dyDescent="0.4">
      <c r="A1" s="978" t="s">
        <v>103</v>
      </c>
      <c r="B1" s="979"/>
      <c r="C1" s="979"/>
      <c r="D1" s="979"/>
      <c r="E1" s="979"/>
      <c r="F1" s="979"/>
      <c r="G1" s="979"/>
      <c r="H1" s="979"/>
      <c r="I1" s="979"/>
      <c r="J1" s="979"/>
      <c r="K1" s="979"/>
      <c r="L1" s="979"/>
      <c r="M1" s="979"/>
      <c r="N1" s="979"/>
      <c r="O1" s="979"/>
      <c r="P1" s="979"/>
      <c r="Q1" s="979"/>
      <c r="R1" s="979"/>
      <c r="S1" s="979"/>
      <c r="T1" s="979"/>
      <c r="U1" s="979"/>
      <c r="V1" s="979"/>
      <c r="W1" s="979"/>
      <c r="X1" s="979"/>
      <c r="Y1" s="979"/>
      <c r="Z1" s="979"/>
      <c r="AA1" s="979"/>
      <c r="AB1" s="979"/>
      <c r="AC1" s="979"/>
      <c r="AD1" s="979"/>
      <c r="AE1" s="979"/>
      <c r="AF1" s="979"/>
      <c r="AG1" s="979"/>
      <c r="AH1" s="979"/>
      <c r="AI1" s="623"/>
      <c r="AJ1" s="654"/>
      <c r="AK1" s="654"/>
    </row>
    <row r="2" spans="1:38" x14ac:dyDescent="0.2">
      <c r="A2" s="945" t="s">
        <v>165</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c r="AH2" s="945"/>
      <c r="AI2" s="622"/>
      <c r="AJ2" s="655"/>
      <c r="AK2" s="655"/>
    </row>
    <row r="3" spans="1:38"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c r="AH3" s="946"/>
      <c r="AI3" s="622"/>
      <c r="AJ3" s="655"/>
      <c r="AK3" s="655"/>
    </row>
    <row r="4" spans="1:38" s="4" customFormat="1" ht="24" customHeight="1" thickTop="1" x14ac:dyDescent="0.2">
      <c r="A4" s="494" t="s">
        <v>1</v>
      </c>
      <c r="B4" s="980" t="s">
        <v>2</v>
      </c>
      <c r="C4" s="982" t="s">
        <v>3</v>
      </c>
      <c r="D4" s="871" t="s">
        <v>4</v>
      </c>
      <c r="E4" s="871"/>
      <c r="F4" s="872"/>
      <c r="G4" s="866" t="s">
        <v>5</v>
      </c>
      <c r="H4" s="985" t="s">
        <v>588</v>
      </c>
      <c r="I4" s="656"/>
      <c r="J4" s="987" t="s">
        <v>6</v>
      </c>
      <c r="K4" s="988"/>
      <c r="L4" s="988"/>
      <c r="M4" s="988"/>
      <c r="N4" s="988"/>
      <c r="O4" s="988"/>
      <c r="P4" s="988"/>
      <c r="Q4" s="988"/>
      <c r="R4" s="988"/>
      <c r="S4" s="988"/>
      <c r="T4" s="988"/>
      <c r="U4" s="988"/>
      <c r="V4" s="988"/>
      <c r="W4" s="988"/>
      <c r="X4" s="988"/>
      <c r="Y4" s="988"/>
      <c r="Z4" s="988"/>
      <c r="AA4" s="988"/>
      <c r="AB4" s="989"/>
      <c r="AC4" s="989"/>
      <c r="AD4" s="990"/>
      <c r="AE4" s="3"/>
      <c r="AF4" s="3"/>
      <c r="AG4" s="3"/>
      <c r="AH4" s="3"/>
      <c r="AJ4" s="657"/>
      <c r="AK4" s="657"/>
      <c r="AL4" s="201"/>
    </row>
    <row r="5" spans="1:38" s="8" customFormat="1" ht="13.5" customHeight="1" x14ac:dyDescent="0.2">
      <c r="A5" s="10"/>
      <c r="B5" s="981"/>
      <c r="C5" s="983"/>
      <c r="D5" s="851" t="s">
        <v>7</v>
      </c>
      <c r="E5" s="852" t="s">
        <v>8</v>
      </c>
      <c r="F5" s="873"/>
      <c r="G5" s="874"/>
      <c r="H5" s="916"/>
      <c r="I5" s="658"/>
      <c r="J5" s="991" t="s">
        <v>13</v>
      </c>
      <c r="K5" s="992"/>
      <c r="L5" s="992"/>
      <c r="M5" s="992"/>
      <c r="N5" s="992"/>
      <c r="O5" s="992"/>
      <c r="P5" s="992"/>
      <c r="Q5" s="992"/>
      <c r="R5" s="992"/>
      <c r="S5" s="993"/>
      <c r="U5" s="642"/>
      <c r="V5" s="955" t="s">
        <v>230</v>
      </c>
      <c r="W5" s="955"/>
      <c r="X5" s="956" t="s">
        <v>238</v>
      </c>
      <c r="Y5" s="998"/>
      <c r="Z5" s="972" t="s">
        <v>12</v>
      </c>
      <c r="AA5" s="972" t="s">
        <v>183</v>
      </c>
      <c r="AB5" s="971" t="s">
        <v>584</v>
      </c>
      <c r="AC5" s="995"/>
      <c r="AD5" s="659" t="s">
        <v>238</v>
      </c>
      <c r="AE5" s="838" t="s">
        <v>14</v>
      </c>
      <c r="AF5" s="842" t="s">
        <v>15</v>
      </c>
      <c r="AG5" s="7"/>
      <c r="AH5" s="7"/>
      <c r="AJ5" s="660"/>
      <c r="AK5" s="660"/>
      <c r="AL5" s="541"/>
    </row>
    <row r="6" spans="1:38" s="8" customFormat="1" ht="13.5" customHeight="1" x14ac:dyDescent="0.2">
      <c r="A6" s="10"/>
      <c r="B6" s="981"/>
      <c r="C6" s="983"/>
      <c r="D6" s="867"/>
      <c r="E6" s="867"/>
      <c r="F6" s="840" t="s">
        <v>610</v>
      </c>
      <c r="G6" s="839"/>
      <c r="H6" s="916"/>
      <c r="I6" s="859" t="s">
        <v>617</v>
      </c>
      <c r="J6" s="859" t="s">
        <v>9</v>
      </c>
      <c r="K6" s="859" t="s">
        <v>233</v>
      </c>
      <c r="L6" s="900" t="s">
        <v>235</v>
      </c>
      <c r="M6" s="915" t="s">
        <v>664</v>
      </c>
      <c r="N6" s="851" t="s">
        <v>34</v>
      </c>
      <c r="O6" s="851" t="s">
        <v>31</v>
      </c>
      <c r="P6" s="994" t="s">
        <v>589</v>
      </c>
      <c r="Q6" s="960" t="s">
        <v>549</v>
      </c>
      <c r="R6" s="971" t="s">
        <v>23</v>
      </c>
      <c r="S6" s="972" t="s">
        <v>514</v>
      </c>
      <c r="T6" s="645"/>
      <c r="U6" s="645"/>
      <c r="V6" s="955"/>
      <c r="W6" s="955"/>
      <c r="X6" s="904" t="s">
        <v>232</v>
      </c>
      <c r="Y6" s="905"/>
      <c r="Z6" s="857"/>
      <c r="AA6" s="857"/>
      <c r="AB6" s="996"/>
      <c r="AC6" s="997"/>
      <c r="AD6" s="859" t="s">
        <v>32</v>
      </c>
      <c r="AE6" s="838"/>
      <c r="AF6" s="842"/>
      <c r="AG6" s="838" t="s">
        <v>25</v>
      </c>
      <c r="AH6" s="878" t="s">
        <v>26</v>
      </c>
      <c r="AI6" s="315"/>
      <c r="AJ6" s="661"/>
      <c r="AK6" s="661"/>
      <c r="AL6" s="541"/>
    </row>
    <row r="7" spans="1:38" s="8" customFormat="1" ht="13.5" customHeight="1" x14ac:dyDescent="0.2">
      <c r="A7" s="10"/>
      <c r="B7" s="981"/>
      <c r="C7" s="983"/>
      <c r="D7" s="867"/>
      <c r="E7" s="867"/>
      <c r="F7" s="841"/>
      <c r="G7" s="839"/>
      <c r="H7" s="916"/>
      <c r="I7" s="859"/>
      <c r="J7" s="859"/>
      <c r="K7" s="859"/>
      <c r="L7" s="900"/>
      <c r="M7" s="900"/>
      <c r="N7" s="838"/>
      <c r="O7" s="838"/>
      <c r="P7" s="859"/>
      <c r="Q7" s="949"/>
      <c r="R7" s="857"/>
      <c r="S7" s="857"/>
      <c r="T7" s="884" t="s">
        <v>615</v>
      </c>
      <c r="U7" s="976"/>
      <c r="V7" s="905" t="s">
        <v>27</v>
      </c>
      <c r="W7" s="903" t="s">
        <v>440</v>
      </c>
      <c r="X7" s="909"/>
      <c r="Y7" s="911"/>
      <c r="Z7" s="857"/>
      <c r="AA7" s="857"/>
      <c r="AB7" s="915" t="s">
        <v>23</v>
      </c>
      <c r="AC7" s="957" t="s">
        <v>30</v>
      </c>
      <c r="AD7" s="859"/>
      <c r="AE7" s="838"/>
      <c r="AF7" s="842"/>
      <c r="AG7" s="970"/>
      <c r="AH7" s="878"/>
      <c r="AI7" s="315"/>
      <c r="AJ7" s="661"/>
      <c r="AK7" s="661"/>
      <c r="AL7" s="541"/>
    </row>
    <row r="8" spans="1:38" s="8" customFormat="1" ht="13.5" customHeight="1" x14ac:dyDescent="0.2">
      <c r="A8" s="10"/>
      <c r="B8" s="981"/>
      <c r="C8" s="984"/>
      <c r="D8" s="11"/>
      <c r="E8" s="107"/>
      <c r="F8" s="238"/>
      <c r="G8" s="495"/>
      <c r="H8" s="916"/>
      <c r="I8" s="859"/>
      <c r="J8" s="859"/>
      <c r="K8" s="859"/>
      <c r="L8" s="900"/>
      <c r="M8" s="900"/>
      <c r="N8" s="838"/>
      <c r="O8" s="838"/>
      <c r="P8" s="859"/>
      <c r="Q8" s="949"/>
      <c r="R8" s="857"/>
      <c r="S8" s="857"/>
      <c r="T8" s="977" t="s">
        <v>378</v>
      </c>
      <c r="U8" s="857" t="s">
        <v>379</v>
      </c>
      <c r="V8" s="900"/>
      <c r="W8" s="900"/>
      <c r="X8" s="851" t="s">
        <v>27</v>
      </c>
      <c r="Y8" s="851" t="s">
        <v>33</v>
      </c>
      <c r="Z8" s="857"/>
      <c r="AA8" s="857"/>
      <c r="AB8" s="900"/>
      <c r="AC8" s="949"/>
      <c r="AD8" s="859"/>
      <c r="AE8" s="838"/>
      <c r="AF8" s="959"/>
      <c r="AG8" s="970"/>
      <c r="AH8" s="878"/>
      <c r="AI8" s="315"/>
      <c r="AJ8" s="661"/>
      <c r="AK8" s="661"/>
      <c r="AL8" s="541"/>
    </row>
    <row r="9" spans="1:38" s="8" customFormat="1" ht="13.5" customHeight="1" x14ac:dyDescent="0.2">
      <c r="A9" s="10"/>
      <c r="B9" s="981"/>
      <c r="C9" s="984"/>
      <c r="D9" s="11"/>
      <c r="E9" s="107"/>
      <c r="F9" s="238"/>
      <c r="G9" s="495"/>
      <c r="H9" s="916"/>
      <c r="I9" s="859"/>
      <c r="J9" s="859"/>
      <c r="K9" s="859"/>
      <c r="L9" s="900"/>
      <c r="M9" s="900"/>
      <c r="N9" s="838"/>
      <c r="O9" s="838"/>
      <c r="P9" s="859"/>
      <c r="Q9" s="949"/>
      <c r="R9" s="857"/>
      <c r="S9" s="857"/>
      <c r="T9" s="977"/>
      <c r="U9" s="857"/>
      <c r="V9" s="900"/>
      <c r="W9" s="900"/>
      <c r="X9" s="838"/>
      <c r="Y9" s="838"/>
      <c r="Z9" s="857"/>
      <c r="AA9" s="857"/>
      <c r="AB9" s="900"/>
      <c r="AC9" s="949"/>
      <c r="AD9" s="859"/>
      <c r="AE9" s="838"/>
      <c r="AF9" s="959"/>
      <c r="AG9" s="7"/>
      <c r="AH9" s="7"/>
      <c r="AJ9" s="660"/>
      <c r="AK9" s="660"/>
      <c r="AL9" s="541"/>
    </row>
    <row r="10" spans="1:38" s="15" customFormat="1" ht="19.5" thickBot="1" x14ac:dyDescent="0.4">
      <c r="A10" s="13">
        <v>1</v>
      </c>
      <c r="B10" s="13">
        <v>2</v>
      </c>
      <c r="C10" s="13">
        <v>3</v>
      </c>
      <c r="D10" s="13">
        <v>4</v>
      </c>
      <c r="E10" s="13">
        <v>5</v>
      </c>
      <c r="F10" s="13">
        <v>6</v>
      </c>
      <c r="G10" s="13">
        <v>7</v>
      </c>
      <c r="H10" s="986"/>
      <c r="I10" s="662"/>
      <c r="J10" s="13">
        <v>8</v>
      </c>
      <c r="K10" s="13">
        <v>10</v>
      </c>
      <c r="L10" s="13">
        <v>13</v>
      </c>
      <c r="M10" s="13">
        <v>12</v>
      </c>
      <c r="N10" s="13">
        <v>14</v>
      </c>
      <c r="O10" s="13">
        <v>15</v>
      </c>
      <c r="P10" s="13">
        <v>16</v>
      </c>
      <c r="Q10" s="13"/>
      <c r="R10" s="13"/>
      <c r="S10" s="13">
        <v>17</v>
      </c>
      <c r="T10" s="13"/>
      <c r="U10" s="13"/>
      <c r="V10" s="13">
        <v>18</v>
      </c>
      <c r="W10" s="13">
        <v>19</v>
      </c>
      <c r="X10" s="13">
        <v>21</v>
      </c>
      <c r="Y10" s="13">
        <v>22</v>
      </c>
      <c r="Z10" s="13">
        <v>23</v>
      </c>
      <c r="AA10" s="13">
        <v>24</v>
      </c>
      <c r="AB10" s="13">
        <v>27</v>
      </c>
      <c r="AC10" s="13">
        <v>28</v>
      </c>
      <c r="AD10" s="13">
        <v>29</v>
      </c>
      <c r="AE10" s="13">
        <v>30</v>
      </c>
      <c r="AF10" s="13">
        <v>31</v>
      </c>
      <c r="AG10" s="13">
        <v>32</v>
      </c>
      <c r="AH10" s="13">
        <v>33</v>
      </c>
      <c r="AI10" s="100"/>
      <c r="AJ10" s="663"/>
      <c r="AK10" s="663"/>
      <c r="AL10" s="542"/>
    </row>
    <row r="11" spans="1:38" s="15" customFormat="1" ht="20.100000000000001" customHeight="1" thickTop="1" x14ac:dyDescent="0.35">
      <c r="A11" s="543"/>
      <c r="B11" s="245" t="s">
        <v>71</v>
      </c>
      <c r="C11" s="404"/>
      <c r="D11" s="404"/>
      <c r="E11" s="404"/>
      <c r="F11" s="25"/>
      <c r="G11" s="25"/>
      <c r="H11" s="25"/>
      <c r="I11" s="25"/>
      <c r="J11" s="208"/>
      <c r="K11" s="208"/>
      <c r="L11" s="208"/>
      <c r="M11" s="208"/>
      <c r="N11" s="208"/>
      <c r="O11" s="208"/>
      <c r="P11" s="208"/>
      <c r="Q11" s="208"/>
      <c r="R11" s="208"/>
      <c r="S11" s="208"/>
      <c r="T11" s="208"/>
      <c r="U11" s="208"/>
      <c r="V11" s="208"/>
      <c r="W11" s="208"/>
      <c r="X11" s="493"/>
      <c r="Y11" s="493"/>
      <c r="Z11" s="208"/>
      <c r="AA11" s="208"/>
      <c r="AB11" s="208"/>
      <c r="AC11" s="208"/>
      <c r="AD11" s="208"/>
      <c r="AE11" s="208"/>
      <c r="AF11" s="208"/>
      <c r="AG11" s="208"/>
      <c r="AH11" s="544"/>
      <c r="AI11" s="100"/>
      <c r="AJ11" s="663"/>
      <c r="AK11" s="663"/>
      <c r="AL11" s="542"/>
    </row>
    <row r="12" spans="1:38" s="15" customFormat="1" ht="20.100000000000001" customHeight="1" x14ac:dyDescent="0.35">
      <c r="A12" s="555" t="s">
        <v>38</v>
      </c>
      <c r="B12" s="44"/>
      <c r="C12" s="210" t="s">
        <v>73</v>
      </c>
      <c r="D12" s="935" t="s">
        <v>685</v>
      </c>
      <c r="E12" s="936"/>
      <c r="F12" s="54">
        <f>'[1]Reg.2(1-15)'!$G$12</f>
        <v>93016</v>
      </c>
      <c r="G12" s="54">
        <f t="shared" ref="G12:G25" si="0">F12/2</f>
        <v>46508</v>
      </c>
      <c r="H12" s="54"/>
      <c r="I12" s="54"/>
      <c r="J12" s="56"/>
      <c r="K12" s="56"/>
      <c r="L12" s="56"/>
      <c r="M12" s="56"/>
      <c r="N12" s="56"/>
      <c r="O12" s="56"/>
      <c r="P12" s="56"/>
      <c r="Q12" s="56"/>
      <c r="R12" s="56"/>
      <c r="S12" s="56"/>
      <c r="T12" s="56"/>
      <c r="U12" s="56"/>
      <c r="V12" s="56">
        <v>2325.4</v>
      </c>
      <c r="W12" s="56">
        <v>2325.4</v>
      </c>
      <c r="X12" s="56">
        <f t="shared" ref="X12:X25" si="1">F12*0.09</f>
        <v>8371.44</v>
      </c>
      <c r="Y12" s="54">
        <f t="shared" ref="Y12:Y25" si="2">F12*0.12</f>
        <v>11161.92</v>
      </c>
      <c r="Z12" s="56">
        <v>29897.61</v>
      </c>
      <c r="AA12" s="56"/>
      <c r="AB12" s="56"/>
      <c r="AC12" s="56"/>
      <c r="AD12" s="56">
        <v>100</v>
      </c>
      <c r="AE12" s="56">
        <f>G12-SUM(J12:S12)-V12-X12-SUM(Z12:AB12)-T12</f>
        <v>5913.5499999999956</v>
      </c>
      <c r="AF12" s="413" t="s">
        <v>38</v>
      </c>
      <c r="AG12" s="664"/>
      <c r="AH12" s="22"/>
      <c r="AI12" s="100"/>
      <c r="AJ12" s="663"/>
      <c r="AK12" s="663"/>
      <c r="AL12" s="542"/>
    </row>
    <row r="13" spans="1:38" s="15" customFormat="1" ht="20.100000000000001" customHeight="1" x14ac:dyDescent="0.35">
      <c r="A13" s="414" t="s">
        <v>127</v>
      </c>
      <c r="B13" s="44"/>
      <c r="C13" s="526" t="s">
        <v>636</v>
      </c>
      <c r="D13" s="32" t="s">
        <v>208</v>
      </c>
      <c r="E13" s="210" t="s">
        <v>175</v>
      </c>
      <c r="F13" s="54">
        <v>31776</v>
      </c>
      <c r="G13" s="54">
        <f t="shared" si="0"/>
        <v>15888</v>
      </c>
      <c r="H13" s="54"/>
      <c r="I13" s="54"/>
      <c r="J13" s="56"/>
      <c r="K13" s="56"/>
      <c r="M13" s="56">
        <v>1200</v>
      </c>
      <c r="N13" s="56"/>
      <c r="O13" s="56"/>
      <c r="P13" s="56"/>
      <c r="Q13" s="56">
        <v>983.33</v>
      </c>
      <c r="R13" s="56">
        <v>2647.41</v>
      </c>
      <c r="S13" s="56"/>
      <c r="T13" s="56"/>
      <c r="U13" s="56"/>
      <c r="V13" s="56">
        <v>794.4</v>
      </c>
      <c r="W13" s="56">
        <v>794.4</v>
      </c>
      <c r="X13" s="56">
        <f t="shared" si="1"/>
        <v>2859.8399999999997</v>
      </c>
      <c r="Y13" s="54">
        <f t="shared" si="2"/>
        <v>3813.12</v>
      </c>
      <c r="Z13" s="56">
        <v>4334.3</v>
      </c>
      <c r="AA13" s="56">
        <v>1300</v>
      </c>
      <c r="AB13" s="56">
        <v>1220.3</v>
      </c>
      <c r="AC13" s="56"/>
      <c r="AD13" s="56">
        <v>100</v>
      </c>
      <c r="AE13" s="56">
        <f>G13-SUM(J13:S13)-V13-X13-SUM(Z13:AB13)-T13</f>
        <v>548.42000000000007</v>
      </c>
      <c r="AF13" s="398" t="s">
        <v>127</v>
      </c>
      <c r="AG13" s="664"/>
      <c r="AH13" s="546"/>
      <c r="AI13" s="100"/>
      <c r="AJ13" s="663"/>
      <c r="AK13" s="663"/>
      <c r="AL13" s="542"/>
    </row>
    <row r="14" spans="1:38" s="15" customFormat="1" ht="21.75" customHeight="1" x14ac:dyDescent="0.35">
      <c r="A14" s="555" t="s">
        <v>128</v>
      </c>
      <c r="B14" s="44"/>
      <c r="C14" s="616" t="s">
        <v>640</v>
      </c>
      <c r="D14" s="32" t="s">
        <v>208</v>
      </c>
      <c r="E14" s="210" t="s">
        <v>175</v>
      </c>
      <c r="F14" s="56">
        <f>'[1]Reg.2(1-15)'!$G$14</f>
        <v>25520</v>
      </c>
      <c r="G14" s="54">
        <f>F14/2</f>
        <v>12760</v>
      </c>
      <c r="H14" s="54"/>
      <c r="I14" s="54"/>
      <c r="J14" s="56"/>
      <c r="K14" s="56"/>
      <c r="L14" s="56"/>
      <c r="M14" s="56"/>
      <c r="N14" s="56"/>
      <c r="O14" s="56"/>
      <c r="P14" s="56"/>
      <c r="Q14" s="56"/>
      <c r="R14" s="56"/>
      <c r="S14" s="56"/>
      <c r="T14" s="56"/>
      <c r="U14" s="56"/>
      <c r="V14" s="56">
        <v>638</v>
      </c>
      <c r="W14" s="56">
        <v>638</v>
      </c>
      <c r="X14" s="56">
        <f t="shared" si="1"/>
        <v>2296.7999999999997</v>
      </c>
      <c r="Y14" s="54">
        <f t="shared" si="2"/>
        <v>3062.4</v>
      </c>
      <c r="Z14" s="56"/>
      <c r="AA14" s="56"/>
      <c r="AB14" s="56"/>
      <c r="AC14" s="56"/>
      <c r="AD14" s="56">
        <v>100</v>
      </c>
      <c r="AE14" s="56">
        <f>G14-SUM(J14:S14)-V14-X14-SUM(Z14:AB14)-T14</f>
        <v>9825.2000000000007</v>
      </c>
      <c r="AF14" s="413" t="s">
        <v>128</v>
      </c>
      <c r="AG14" s="664"/>
      <c r="AH14" s="546"/>
      <c r="AI14" s="100"/>
      <c r="AJ14" s="663"/>
      <c r="AK14" s="663">
        <f>582.67*2</f>
        <v>1165.3399999999999</v>
      </c>
      <c r="AL14" s="542"/>
    </row>
    <row r="15" spans="1:38" s="15" customFormat="1" ht="20.100000000000001" customHeight="1" x14ac:dyDescent="0.35">
      <c r="A15" s="555" t="s">
        <v>129</v>
      </c>
      <c r="B15" s="44"/>
      <c r="C15" s="32" t="s">
        <v>161</v>
      </c>
      <c r="D15" s="32" t="s">
        <v>208</v>
      </c>
      <c r="E15" s="210" t="s">
        <v>175</v>
      </c>
      <c r="F15" s="54">
        <f>'[1]Reg.2(1-15)'!$G$15</f>
        <v>22810</v>
      </c>
      <c r="G15" s="54">
        <f>F15/2</f>
        <v>11405</v>
      </c>
      <c r="H15" s="54"/>
      <c r="I15" s="54"/>
      <c r="J15" s="56"/>
      <c r="K15" s="56"/>
      <c r="L15" s="56"/>
      <c r="M15" s="56"/>
      <c r="N15" s="56"/>
      <c r="O15" s="56"/>
      <c r="P15" s="56"/>
      <c r="Q15" s="56"/>
      <c r="R15" s="56"/>
      <c r="S15" s="56"/>
      <c r="T15" s="56"/>
      <c r="U15" s="56"/>
      <c r="V15" s="56">
        <v>570.25</v>
      </c>
      <c r="W15" s="56">
        <v>570.25</v>
      </c>
      <c r="X15" s="56">
        <f t="shared" si="1"/>
        <v>2052.9</v>
      </c>
      <c r="Y15" s="54">
        <f t="shared" si="2"/>
        <v>2737.2</v>
      </c>
      <c r="Z15" s="56"/>
      <c r="AA15" s="56"/>
      <c r="AB15" s="56">
        <v>835</v>
      </c>
      <c r="AC15" s="56"/>
      <c r="AD15" s="56">
        <v>100</v>
      </c>
      <c r="AE15" s="56">
        <f>G15-SUM(J15:S15)-V15-X15-SUM(Z15:AB15)-T15+I15</f>
        <v>7946.85</v>
      </c>
      <c r="AF15" s="413" t="s">
        <v>129</v>
      </c>
      <c r="AG15" s="664"/>
      <c r="AH15" s="546"/>
      <c r="AI15" s="100"/>
      <c r="AJ15" s="663"/>
      <c r="AK15" s="663"/>
      <c r="AL15" s="542"/>
    </row>
    <row r="16" spans="1:38" s="15" customFormat="1" ht="20.100000000000001" customHeight="1" x14ac:dyDescent="0.35">
      <c r="A16" s="414" t="s">
        <v>130</v>
      </c>
      <c r="B16" s="44"/>
      <c r="C16" s="32" t="s">
        <v>161</v>
      </c>
      <c r="D16" s="32" t="s">
        <v>208</v>
      </c>
      <c r="E16" s="210" t="s">
        <v>175</v>
      </c>
      <c r="F16" s="54">
        <v>21748</v>
      </c>
      <c r="G16" s="54">
        <f>F16/2</f>
        <v>10874</v>
      </c>
      <c r="H16" s="54"/>
      <c r="I16" s="54"/>
      <c r="J16" s="56"/>
      <c r="K16" s="56"/>
      <c r="L16" s="56"/>
      <c r="M16" s="56"/>
      <c r="N16" s="56"/>
      <c r="O16" s="56"/>
      <c r="P16" s="56"/>
      <c r="Q16" s="56"/>
      <c r="R16" s="56"/>
      <c r="S16" s="56"/>
      <c r="T16" s="56"/>
      <c r="U16" s="56"/>
      <c r="V16" s="56">
        <v>543.70000000000005</v>
      </c>
      <c r="W16" s="56">
        <f>V16</f>
        <v>543.70000000000005</v>
      </c>
      <c r="X16" s="56">
        <f t="shared" si="1"/>
        <v>1957.32</v>
      </c>
      <c r="Y16" s="54">
        <f t="shared" si="2"/>
        <v>2609.7599999999998</v>
      </c>
      <c r="Z16" s="56"/>
      <c r="AA16" s="56">
        <v>6673</v>
      </c>
      <c r="AB16" s="56"/>
      <c r="AC16" s="56"/>
      <c r="AD16" s="56">
        <v>100</v>
      </c>
      <c r="AE16" s="56">
        <f t="shared" ref="AE16:AE22" si="3">G16-SUM(J16:S16)-V16-X16-SUM(Z16:AB16)-T16</f>
        <v>1699.9799999999996</v>
      </c>
      <c r="AF16" s="398" t="s">
        <v>130</v>
      </c>
      <c r="AG16" s="664"/>
      <c r="AH16" s="546"/>
      <c r="AI16" s="100"/>
      <c r="AJ16" s="665"/>
      <c r="AK16" s="663"/>
      <c r="AL16" s="542"/>
    </row>
    <row r="17" spans="1:38" s="15" customFormat="1" ht="20.100000000000001" customHeight="1" x14ac:dyDescent="0.35">
      <c r="A17" s="555" t="s">
        <v>131</v>
      </c>
      <c r="B17" s="30"/>
      <c r="C17" s="209" t="s">
        <v>473</v>
      </c>
      <c r="D17" s="32" t="s">
        <v>208</v>
      </c>
      <c r="E17" s="210" t="s">
        <v>175</v>
      </c>
      <c r="F17" s="54">
        <f>'[1]Reg.2(1-15)'!$G$17</f>
        <v>21748</v>
      </c>
      <c r="G17" s="54">
        <f t="shared" si="0"/>
        <v>10874</v>
      </c>
      <c r="H17" s="54"/>
      <c r="I17" s="54"/>
      <c r="J17" s="56"/>
      <c r="K17" s="56"/>
      <c r="L17" s="56">
        <v>655.56</v>
      </c>
      <c r="M17" s="56"/>
      <c r="N17" s="56"/>
      <c r="O17" s="56"/>
      <c r="P17" s="56"/>
      <c r="Q17" s="56"/>
      <c r="R17" s="56">
        <v>2342.7399999999998</v>
      </c>
      <c r="S17" s="56"/>
      <c r="T17" s="56"/>
      <c r="U17" s="56"/>
      <c r="V17" s="56">
        <v>543.70000000000005</v>
      </c>
      <c r="W17" s="56">
        <f>V17</f>
        <v>543.70000000000005</v>
      </c>
      <c r="X17" s="56">
        <f t="shared" si="1"/>
        <v>1957.32</v>
      </c>
      <c r="Y17" s="54">
        <f t="shared" si="2"/>
        <v>2609.7599999999998</v>
      </c>
      <c r="Z17" s="56"/>
      <c r="AA17" s="56">
        <v>2379.9899999999998</v>
      </c>
      <c r="AB17" s="56"/>
      <c r="AC17" s="56"/>
      <c r="AD17" s="56">
        <v>100</v>
      </c>
      <c r="AE17" s="56">
        <f t="shared" si="3"/>
        <v>2994.6900000000014</v>
      </c>
      <c r="AF17" s="413" t="s">
        <v>131</v>
      </c>
      <c r="AG17" s="664"/>
      <c r="AH17" s="546"/>
      <c r="AI17" s="100"/>
      <c r="AJ17" s="663"/>
      <c r="AK17" s="663"/>
      <c r="AL17" s="542"/>
    </row>
    <row r="18" spans="1:38" s="15" customFormat="1" ht="20.100000000000001" customHeight="1" x14ac:dyDescent="0.35">
      <c r="A18" s="555" t="s">
        <v>132</v>
      </c>
      <c r="B18" s="44"/>
      <c r="C18" s="209" t="s">
        <v>473</v>
      </c>
      <c r="D18" s="32" t="s">
        <v>208</v>
      </c>
      <c r="E18" s="210" t="s">
        <v>175</v>
      </c>
      <c r="F18" s="54">
        <v>21748</v>
      </c>
      <c r="G18" s="54">
        <f t="shared" ref="G18" si="4">F18/2</f>
        <v>10874</v>
      </c>
      <c r="H18" s="54"/>
      <c r="I18" s="54"/>
      <c r="J18" s="56"/>
      <c r="K18" s="56"/>
      <c r="L18" s="56"/>
      <c r="M18" s="56"/>
      <c r="N18" s="56"/>
      <c r="O18" s="56"/>
      <c r="P18" s="56"/>
      <c r="Q18" s="56"/>
      <c r="R18" s="56">
        <v>1010</v>
      </c>
      <c r="S18" s="56"/>
      <c r="T18" s="56"/>
      <c r="U18" s="56"/>
      <c r="V18" s="56">
        <v>543.70000000000005</v>
      </c>
      <c r="W18" s="56">
        <f>V18</f>
        <v>543.70000000000005</v>
      </c>
      <c r="X18" s="56">
        <f t="shared" si="1"/>
        <v>1957.32</v>
      </c>
      <c r="Y18" s="54">
        <f t="shared" si="2"/>
        <v>2609.7599999999998</v>
      </c>
      <c r="Z18" s="56"/>
      <c r="AA18" s="56"/>
      <c r="AB18" s="56"/>
      <c r="AC18" s="56"/>
      <c r="AD18" s="56">
        <v>100</v>
      </c>
      <c r="AE18" s="56">
        <f t="shared" si="3"/>
        <v>7362.98</v>
      </c>
      <c r="AF18" s="413" t="s">
        <v>132</v>
      </c>
      <c r="AG18" s="664"/>
      <c r="AH18" s="546"/>
      <c r="AI18" s="100"/>
      <c r="AJ18" s="663"/>
      <c r="AK18" s="663"/>
      <c r="AL18" s="542"/>
    </row>
    <row r="19" spans="1:38" s="15" customFormat="1" ht="20.100000000000001" customHeight="1" x14ac:dyDescent="0.35">
      <c r="A19" s="414" t="s">
        <v>133</v>
      </c>
      <c r="B19" s="44"/>
      <c r="C19" s="210" t="s">
        <v>655</v>
      </c>
      <c r="D19" s="32" t="s">
        <v>208</v>
      </c>
      <c r="E19" s="210" t="s">
        <v>175</v>
      </c>
      <c r="F19" s="56">
        <f>'[1]Reg.2(1-15)'!$G$19</f>
        <v>16113</v>
      </c>
      <c r="G19" s="54">
        <f t="shared" si="0"/>
        <v>8056.5</v>
      </c>
      <c r="H19" s="54"/>
      <c r="I19" s="54"/>
      <c r="J19" s="56"/>
      <c r="K19" s="56"/>
      <c r="L19" s="56"/>
      <c r="M19" s="56"/>
      <c r="N19" s="56"/>
      <c r="O19" s="56"/>
      <c r="P19" s="56"/>
      <c r="Q19" s="56"/>
      <c r="R19" s="56"/>
      <c r="S19" s="56"/>
      <c r="T19" s="56"/>
      <c r="U19" s="56"/>
      <c r="V19" s="56">
        <v>402.82</v>
      </c>
      <c r="W19" s="56">
        <v>402.83</v>
      </c>
      <c r="X19" s="56">
        <f t="shared" si="1"/>
        <v>1450.1699999999998</v>
      </c>
      <c r="Y19" s="54">
        <f t="shared" si="2"/>
        <v>1933.56</v>
      </c>
      <c r="Z19" s="56">
        <v>2300</v>
      </c>
      <c r="AA19" s="56"/>
      <c r="AB19" s="56"/>
      <c r="AC19" s="56"/>
      <c r="AD19" s="56">
        <v>100</v>
      </c>
      <c r="AE19" s="56">
        <f t="shared" si="3"/>
        <v>3903.51</v>
      </c>
      <c r="AF19" s="398" t="s">
        <v>133</v>
      </c>
      <c r="AG19" s="664"/>
      <c r="AH19" s="546"/>
      <c r="AI19" s="100"/>
      <c r="AJ19" s="663"/>
      <c r="AK19" s="663"/>
      <c r="AL19" s="542"/>
    </row>
    <row r="20" spans="1:38" s="15" customFormat="1" ht="20.100000000000001" customHeight="1" x14ac:dyDescent="0.35">
      <c r="A20" s="555" t="s">
        <v>65</v>
      </c>
      <c r="B20" s="44"/>
      <c r="C20" s="23" t="s">
        <v>499</v>
      </c>
      <c r="D20" s="32" t="s">
        <v>208</v>
      </c>
      <c r="E20" s="210" t="s">
        <v>175</v>
      </c>
      <c r="F20" s="56">
        <f>'[1]Reg.2(1-15)'!$G$20</f>
        <v>14521</v>
      </c>
      <c r="G20" s="54">
        <f t="shared" si="0"/>
        <v>7260.5</v>
      </c>
      <c r="H20" s="54"/>
      <c r="I20" s="54"/>
      <c r="J20" s="56"/>
      <c r="K20" s="56"/>
      <c r="L20" s="56"/>
      <c r="M20" s="56"/>
      <c r="N20" s="56"/>
      <c r="O20" s="56"/>
      <c r="P20" s="56"/>
      <c r="Q20" s="56"/>
      <c r="R20" s="56"/>
      <c r="S20" s="56"/>
      <c r="T20" s="56"/>
      <c r="U20" s="56"/>
      <c r="V20" s="56">
        <f>363.02</f>
        <v>363.02</v>
      </c>
      <c r="W20" s="56">
        <f>363.03</f>
        <v>363.03</v>
      </c>
      <c r="X20" s="56">
        <f t="shared" si="1"/>
        <v>1306.8899999999999</v>
      </c>
      <c r="Y20" s="54">
        <f t="shared" si="2"/>
        <v>1742.52</v>
      </c>
      <c r="Z20" s="56"/>
      <c r="AA20" s="56"/>
      <c r="AB20" s="56"/>
      <c r="AC20" s="56"/>
      <c r="AD20" s="56">
        <v>100</v>
      </c>
      <c r="AE20" s="56">
        <f t="shared" si="3"/>
        <v>5590.59</v>
      </c>
      <c r="AF20" s="413" t="s">
        <v>65</v>
      </c>
      <c r="AG20" s="664"/>
      <c r="AH20" s="546"/>
      <c r="AI20" s="100"/>
      <c r="AJ20" s="663"/>
      <c r="AK20" s="663"/>
      <c r="AL20" s="542"/>
    </row>
    <row r="21" spans="1:38" s="15" customFormat="1" ht="20.100000000000001" customHeight="1" x14ac:dyDescent="0.35">
      <c r="A21" s="555" t="s">
        <v>134</v>
      </c>
      <c r="B21" s="44"/>
      <c r="C21" s="23" t="s">
        <v>499</v>
      </c>
      <c r="D21" s="32" t="s">
        <v>208</v>
      </c>
      <c r="E21" s="210" t="s">
        <v>175</v>
      </c>
      <c r="F21" s="54">
        <f>'[1]Reg.2(1-15)'!$G$21</f>
        <v>14308</v>
      </c>
      <c r="G21" s="54">
        <f t="shared" si="0"/>
        <v>7154</v>
      </c>
      <c r="H21" s="54"/>
      <c r="I21" s="54"/>
      <c r="J21" s="56"/>
      <c r="K21" s="56"/>
      <c r="L21" s="56"/>
      <c r="M21" s="56"/>
      <c r="N21" s="56"/>
      <c r="O21" s="56"/>
      <c r="P21" s="56"/>
      <c r="Q21" s="56"/>
      <c r="R21" s="56"/>
      <c r="S21" s="56"/>
      <c r="T21" s="56"/>
      <c r="U21" s="56"/>
      <c r="V21" s="56">
        <v>357.7</v>
      </c>
      <c r="W21" s="56">
        <v>357.7</v>
      </c>
      <c r="X21" s="56">
        <f t="shared" si="1"/>
        <v>1287.72</v>
      </c>
      <c r="Y21" s="54">
        <f t="shared" si="2"/>
        <v>1716.96</v>
      </c>
      <c r="Z21" s="56"/>
      <c r="AA21" s="56"/>
      <c r="AB21" s="56"/>
      <c r="AC21" s="56"/>
      <c r="AD21" s="56">
        <v>100</v>
      </c>
      <c r="AE21" s="56">
        <f t="shared" si="3"/>
        <v>5508.58</v>
      </c>
      <c r="AF21" s="413" t="s">
        <v>134</v>
      </c>
      <c r="AG21" s="664"/>
      <c r="AH21" s="546"/>
      <c r="AI21" s="100"/>
      <c r="AJ21" s="663"/>
      <c r="AK21" s="663"/>
      <c r="AL21" s="542"/>
    </row>
    <row r="22" spans="1:38" s="15" customFormat="1" ht="20.100000000000001" customHeight="1" x14ac:dyDescent="0.35">
      <c r="A22" s="414" t="s">
        <v>135</v>
      </c>
      <c r="B22" s="44"/>
      <c r="C22" s="23" t="s">
        <v>499</v>
      </c>
      <c r="D22" s="32" t="s">
        <v>208</v>
      </c>
      <c r="E22" s="210" t="s">
        <v>175</v>
      </c>
      <c r="F22" s="54">
        <f>'[1]Reg.2(1-15)'!$G$22</f>
        <v>14308</v>
      </c>
      <c r="G22" s="54">
        <f t="shared" si="0"/>
        <v>7154</v>
      </c>
      <c r="H22" s="54"/>
      <c r="I22" s="54"/>
      <c r="J22" s="56"/>
      <c r="K22" s="56"/>
      <c r="L22" s="56"/>
      <c r="M22" s="56"/>
      <c r="N22" s="56">
        <v>0</v>
      </c>
      <c r="O22" s="56">
        <v>0</v>
      </c>
      <c r="P22" s="56"/>
      <c r="Q22" s="56"/>
      <c r="R22" s="56"/>
      <c r="S22" s="56"/>
      <c r="T22" s="56"/>
      <c r="U22" s="56"/>
      <c r="V22" s="56">
        <v>357.7</v>
      </c>
      <c r="W22" s="56">
        <v>357.7</v>
      </c>
      <c r="X22" s="56">
        <f t="shared" si="1"/>
        <v>1287.72</v>
      </c>
      <c r="Y22" s="54">
        <f t="shared" si="2"/>
        <v>1716.96</v>
      </c>
      <c r="Z22" s="56">
        <v>1573.17</v>
      </c>
      <c r="AA22" s="56">
        <v>2081.62</v>
      </c>
      <c r="AB22" s="56"/>
      <c r="AC22" s="56"/>
      <c r="AD22" s="56">
        <v>100</v>
      </c>
      <c r="AE22" s="56">
        <f t="shared" si="3"/>
        <v>1853.79</v>
      </c>
      <c r="AF22" s="398" t="s">
        <v>135</v>
      </c>
      <c r="AG22" s="664"/>
      <c r="AH22" s="546"/>
      <c r="AI22" s="100"/>
      <c r="AJ22" s="663"/>
      <c r="AK22" s="663"/>
      <c r="AL22" s="542"/>
    </row>
    <row r="23" spans="1:38" s="15" customFormat="1" ht="20.100000000000001" customHeight="1" x14ac:dyDescent="0.35">
      <c r="A23" s="555" t="s">
        <v>136</v>
      </c>
      <c r="B23" s="44"/>
      <c r="C23" s="23" t="s">
        <v>446</v>
      </c>
      <c r="D23" s="32" t="s">
        <v>208</v>
      </c>
      <c r="E23" s="210" t="s">
        <v>175</v>
      </c>
      <c r="F23" s="54">
        <f>'[1]Reg.2(1-15)'!$G$23</f>
        <v>13474</v>
      </c>
      <c r="G23" s="54">
        <f t="shared" si="0"/>
        <v>6737</v>
      </c>
      <c r="H23" s="54"/>
      <c r="I23" s="54"/>
      <c r="J23" s="56"/>
      <c r="K23" s="56"/>
      <c r="L23" s="56"/>
      <c r="M23" s="56">
        <v>475</v>
      </c>
      <c r="N23" s="56"/>
      <c r="O23" s="56"/>
      <c r="P23" s="56"/>
      <c r="Q23" s="56"/>
      <c r="R23" s="56"/>
      <c r="S23" s="56"/>
      <c r="T23" s="56"/>
      <c r="U23" s="56"/>
      <c r="V23" s="56">
        <v>336.85</v>
      </c>
      <c r="W23" s="56">
        <v>336.85</v>
      </c>
      <c r="X23" s="56">
        <f t="shared" si="1"/>
        <v>1212.6599999999999</v>
      </c>
      <c r="Y23" s="54">
        <f t="shared" si="2"/>
        <v>1616.8799999999999</v>
      </c>
      <c r="Z23" s="56"/>
      <c r="AA23" s="56"/>
      <c r="AB23" s="56">
        <f>582.67</f>
        <v>582.66999999999996</v>
      </c>
      <c r="AC23" s="56"/>
      <c r="AD23" s="56">
        <v>100</v>
      </c>
      <c r="AE23" s="56">
        <f>G23-SUM(J23:S23)-V23-X23-SUM(Z23:AC23)-T23</f>
        <v>4129.82</v>
      </c>
      <c r="AF23" s="413" t="s">
        <v>136</v>
      </c>
      <c r="AG23" s="664"/>
      <c r="AH23" s="546"/>
      <c r="AI23" s="100"/>
      <c r="AJ23" s="663"/>
      <c r="AK23" s="663"/>
      <c r="AL23" s="542"/>
    </row>
    <row r="24" spans="1:38" s="15" customFormat="1" ht="20.100000000000001" customHeight="1" x14ac:dyDescent="0.35">
      <c r="A24" s="555" t="s">
        <v>137</v>
      </c>
      <c r="B24" s="44"/>
      <c r="C24" s="23" t="s">
        <v>446</v>
      </c>
      <c r="D24" s="32" t="s">
        <v>208</v>
      </c>
      <c r="E24" s="210" t="s">
        <v>175</v>
      </c>
      <c r="F24" s="54">
        <f>'[1]Reg.2(1-15)'!$G$24</f>
        <v>13474</v>
      </c>
      <c r="G24" s="54">
        <f t="shared" si="0"/>
        <v>6737</v>
      </c>
      <c r="H24" s="54"/>
      <c r="I24" s="54"/>
      <c r="J24" s="56"/>
      <c r="K24" s="56"/>
      <c r="L24" s="56"/>
      <c r="M24" s="56"/>
      <c r="N24" s="56"/>
      <c r="O24" s="56"/>
      <c r="P24" s="56"/>
      <c r="Q24" s="56"/>
      <c r="R24" s="56"/>
      <c r="S24" s="56"/>
      <c r="T24" s="56"/>
      <c r="U24" s="56"/>
      <c r="V24" s="56">
        <v>336.85</v>
      </c>
      <c r="W24" s="56">
        <v>336.85</v>
      </c>
      <c r="X24" s="56">
        <f t="shared" si="1"/>
        <v>1212.6599999999999</v>
      </c>
      <c r="Y24" s="54">
        <f t="shared" si="2"/>
        <v>1616.8799999999999</v>
      </c>
      <c r="Z24" s="56"/>
      <c r="AA24" s="56"/>
      <c r="AB24" s="56"/>
      <c r="AC24" s="56"/>
      <c r="AD24" s="56">
        <v>100</v>
      </c>
      <c r="AE24" s="55">
        <f>G24-SUM(J24:S24)-V24-X24-SUM(Z24:AB24)-T24</f>
        <v>5187.49</v>
      </c>
      <c r="AF24" s="413" t="s">
        <v>137</v>
      </c>
      <c r="AG24" s="664"/>
      <c r="AH24" s="546"/>
      <c r="AI24" s="100"/>
      <c r="AJ24" s="663"/>
      <c r="AK24" s="663"/>
      <c r="AL24" s="542"/>
    </row>
    <row r="25" spans="1:38" s="15" customFormat="1" ht="20.100000000000001" customHeight="1" thickBot="1" x14ac:dyDescent="0.4">
      <c r="A25" s="414" t="s">
        <v>138</v>
      </c>
      <c r="B25" s="44"/>
      <c r="C25" s="23" t="s">
        <v>446</v>
      </c>
      <c r="D25" s="32" t="s">
        <v>208</v>
      </c>
      <c r="E25" s="210" t="s">
        <v>175</v>
      </c>
      <c r="F25" s="62">
        <f>'[1]Reg.2(1-15)'!$G$25</f>
        <v>13474</v>
      </c>
      <c r="G25" s="62">
        <f t="shared" si="0"/>
        <v>6737</v>
      </c>
      <c r="H25" s="62"/>
      <c r="I25" s="62"/>
      <c r="J25" s="61"/>
      <c r="K25" s="61"/>
      <c r="L25" s="61"/>
      <c r="M25" s="61"/>
      <c r="N25" s="61"/>
      <c r="O25" s="61"/>
      <c r="P25" s="61"/>
      <c r="Q25" s="61"/>
      <c r="R25" s="61"/>
      <c r="S25" s="61"/>
      <c r="T25" s="61"/>
      <c r="U25" s="61"/>
      <c r="V25" s="56">
        <v>336.85</v>
      </c>
      <c r="W25" s="56">
        <v>336.85</v>
      </c>
      <c r="X25" s="61">
        <f t="shared" si="1"/>
        <v>1212.6599999999999</v>
      </c>
      <c r="Y25" s="62">
        <f t="shared" si="2"/>
        <v>1616.8799999999999</v>
      </c>
      <c r="Z25" s="61"/>
      <c r="AA25" s="61"/>
      <c r="AB25" s="61"/>
      <c r="AC25" s="61"/>
      <c r="AD25" s="61">
        <v>100</v>
      </c>
      <c r="AE25" s="60">
        <f>G25-SUM(J25:S25)-V25-X25-SUM(Z25:AB25)-T25</f>
        <v>5187.49</v>
      </c>
      <c r="AF25" s="398" t="s">
        <v>138</v>
      </c>
      <c r="AG25" s="664"/>
      <c r="AH25" s="546"/>
      <c r="AI25" s="100"/>
      <c r="AJ25" s="663"/>
      <c r="AK25" s="663"/>
      <c r="AL25" s="542"/>
    </row>
    <row r="26" spans="1:38" s="15" customFormat="1" ht="20.100000000000001" customHeight="1" thickBot="1" x14ac:dyDescent="0.4">
      <c r="A26" s="555" t="s">
        <v>139</v>
      </c>
      <c r="B26" s="44"/>
      <c r="C26" s="32"/>
      <c r="D26" s="32"/>
      <c r="E26" s="32"/>
      <c r="F26" s="472">
        <f t="shared" ref="F26:AE26" si="5">SUM(F12:F25)</f>
        <v>338038</v>
      </c>
      <c r="G26" s="472">
        <f t="shared" si="5"/>
        <v>169019</v>
      </c>
      <c r="H26" s="472">
        <f t="shared" si="5"/>
        <v>0</v>
      </c>
      <c r="I26" s="472">
        <f t="shared" si="5"/>
        <v>0</v>
      </c>
      <c r="J26" s="472">
        <f t="shared" si="5"/>
        <v>0</v>
      </c>
      <c r="K26" s="472">
        <f t="shared" si="5"/>
        <v>0</v>
      </c>
      <c r="L26" s="472">
        <f t="shared" si="5"/>
        <v>655.56</v>
      </c>
      <c r="M26" s="472">
        <f t="shared" si="5"/>
        <v>1675</v>
      </c>
      <c r="N26" s="472">
        <f t="shared" si="5"/>
        <v>0</v>
      </c>
      <c r="O26" s="472">
        <f t="shared" si="5"/>
        <v>0</v>
      </c>
      <c r="P26" s="472">
        <f t="shared" si="5"/>
        <v>0</v>
      </c>
      <c r="Q26" s="472">
        <f t="shared" si="5"/>
        <v>983.33</v>
      </c>
      <c r="R26" s="472">
        <f t="shared" si="5"/>
        <v>6000.15</v>
      </c>
      <c r="S26" s="472">
        <f t="shared" si="5"/>
        <v>0</v>
      </c>
      <c r="T26" s="472">
        <f t="shared" si="5"/>
        <v>0</v>
      </c>
      <c r="U26" s="472">
        <f t="shared" si="5"/>
        <v>0</v>
      </c>
      <c r="V26" s="472">
        <f t="shared" si="5"/>
        <v>8450.94</v>
      </c>
      <c r="W26" s="472">
        <f t="shared" si="5"/>
        <v>8450.9599999999991</v>
      </c>
      <c r="X26" s="472">
        <f t="shared" si="5"/>
        <v>30423.42</v>
      </c>
      <c r="Y26" s="472">
        <f t="shared" si="5"/>
        <v>40564.55999999999</v>
      </c>
      <c r="Z26" s="472">
        <f t="shared" si="5"/>
        <v>38105.08</v>
      </c>
      <c r="AA26" s="472">
        <f t="shared" si="5"/>
        <v>12434.61</v>
      </c>
      <c r="AB26" s="472">
        <f t="shared" si="5"/>
        <v>2637.9700000000003</v>
      </c>
      <c r="AC26" s="472">
        <f t="shared" si="5"/>
        <v>0</v>
      </c>
      <c r="AD26" s="472">
        <f t="shared" si="5"/>
        <v>1400</v>
      </c>
      <c r="AE26" s="472">
        <f t="shared" si="5"/>
        <v>67652.94</v>
      </c>
      <c r="AF26" s="413" t="s">
        <v>139</v>
      </c>
      <c r="AG26" s="666"/>
      <c r="AH26" s="546"/>
      <c r="AI26" s="100"/>
      <c r="AJ26" s="663"/>
      <c r="AK26" s="663"/>
      <c r="AL26" s="542"/>
    </row>
    <row r="27" spans="1:38" s="15" customFormat="1" ht="20.100000000000001" customHeight="1" thickTop="1" x14ac:dyDescent="0.35">
      <c r="A27" s="555" t="s">
        <v>140</v>
      </c>
      <c r="B27" s="492" t="s">
        <v>433</v>
      </c>
      <c r="C27" s="98"/>
      <c r="D27" s="667"/>
      <c r="E27" s="667"/>
      <c r="F27" s="476"/>
      <c r="G27" s="98"/>
      <c r="H27" s="98"/>
      <c r="I27" s="98"/>
      <c r="J27" s="479"/>
      <c r="K27" s="479"/>
      <c r="L27" s="479"/>
      <c r="M27" s="479"/>
      <c r="N27" s="475"/>
      <c r="O27" s="480"/>
      <c r="P27" s="481"/>
      <c r="Q27" s="481"/>
      <c r="R27" s="481"/>
      <c r="S27" s="481"/>
      <c r="T27" s="481"/>
      <c r="U27" s="481"/>
      <c r="V27" s="475"/>
      <c r="W27" s="480"/>
      <c r="X27" s="482"/>
      <c r="Y27" s="483"/>
      <c r="Z27" s="475"/>
      <c r="AA27" s="480"/>
      <c r="AB27" s="480"/>
      <c r="AC27" s="480"/>
      <c r="AD27" s="609"/>
      <c r="AE27" s="479"/>
      <c r="AF27" s="413" t="s">
        <v>140</v>
      </c>
      <c r="AG27" s="475"/>
      <c r="AH27" s="546"/>
      <c r="AI27" s="100"/>
      <c r="AJ27" s="663"/>
      <c r="AK27" s="663"/>
      <c r="AL27" s="542"/>
    </row>
    <row r="28" spans="1:38" s="15" customFormat="1" ht="20.100000000000001" customHeight="1" x14ac:dyDescent="0.35">
      <c r="A28" s="414" t="s">
        <v>141</v>
      </c>
      <c r="B28" s="44"/>
      <c r="C28" s="32" t="s">
        <v>185</v>
      </c>
      <c r="D28" s="935" t="s">
        <v>685</v>
      </c>
      <c r="E28" s="936"/>
      <c r="F28" s="54">
        <v>90205</v>
      </c>
      <c r="G28" s="54">
        <f t="shared" ref="G28:G39" si="6">F28/2</f>
        <v>45102.5</v>
      </c>
      <c r="H28" s="54"/>
      <c r="I28" s="54"/>
      <c r="J28" s="56"/>
      <c r="K28" s="56"/>
      <c r="L28" s="56">
        <v>655.56</v>
      </c>
      <c r="M28" s="471"/>
      <c r="N28" s="56"/>
      <c r="O28" s="56"/>
      <c r="P28" s="56"/>
      <c r="Q28" s="56"/>
      <c r="R28" s="56">
        <v>7580.3</v>
      </c>
      <c r="S28" s="56">
        <v>4817.22</v>
      </c>
      <c r="T28" s="56"/>
      <c r="U28" s="56"/>
      <c r="V28" s="56">
        <v>2255.12</v>
      </c>
      <c r="W28" s="56">
        <v>2255.13</v>
      </c>
      <c r="X28" s="56">
        <f t="shared" ref="X28:X44" si="7">F28*0.09</f>
        <v>8118.45</v>
      </c>
      <c r="Y28" s="54">
        <f t="shared" ref="Y28:Y44" si="8">F28*0.12</f>
        <v>10824.6</v>
      </c>
      <c r="Z28" s="56"/>
      <c r="AA28" s="56"/>
      <c r="AB28" s="56">
        <v>2968.1</v>
      </c>
      <c r="AC28" s="56">
        <v>2119.8200000000002</v>
      </c>
      <c r="AD28" s="56">
        <v>100</v>
      </c>
      <c r="AE28" s="56">
        <f>G28-SUM(J28:S28)-V28-X28-SUM(Z28:AC28)-T28</f>
        <v>16587.93</v>
      </c>
      <c r="AF28" s="398" t="s">
        <v>141</v>
      </c>
      <c r="AG28" s="421"/>
      <c r="AH28" s="22"/>
      <c r="AI28" s="100"/>
      <c r="AJ28" s="665"/>
      <c r="AK28" s="611"/>
      <c r="AL28" s="474"/>
    </row>
    <row r="29" spans="1:38" s="15" customFormat="1" ht="20.100000000000001" customHeight="1" x14ac:dyDescent="0.35">
      <c r="A29" s="555" t="s">
        <v>142</v>
      </c>
      <c r="B29" s="44"/>
      <c r="C29" s="621" t="s">
        <v>619</v>
      </c>
      <c r="D29" s="32" t="s">
        <v>208</v>
      </c>
      <c r="E29" s="210" t="s">
        <v>175</v>
      </c>
      <c r="F29" s="54">
        <f>'[1]Reg.2(1-15)'!$G$29</f>
        <v>67385</v>
      </c>
      <c r="G29" s="54">
        <f t="shared" si="6"/>
        <v>33692.5</v>
      </c>
      <c r="H29" s="54"/>
      <c r="I29" s="54"/>
      <c r="J29" s="56"/>
      <c r="K29" s="56"/>
      <c r="L29" s="56">
        <v>1175.1099999999999</v>
      </c>
      <c r="M29" s="471"/>
      <c r="N29" s="56"/>
      <c r="O29" s="56"/>
      <c r="P29" s="56"/>
      <c r="Q29" s="56"/>
      <c r="R29" s="56"/>
      <c r="S29" s="56"/>
      <c r="T29" s="56"/>
      <c r="U29" s="56"/>
      <c r="V29" s="56">
        <v>1684.62</v>
      </c>
      <c r="W29" s="56">
        <v>1684.63</v>
      </c>
      <c r="X29" s="56">
        <f t="shared" si="7"/>
        <v>6064.65</v>
      </c>
      <c r="Y29" s="54">
        <f t="shared" si="8"/>
        <v>8086.2</v>
      </c>
      <c r="Z29" s="56">
        <v>11048.64</v>
      </c>
      <c r="AA29" s="56"/>
      <c r="AB29" s="56"/>
      <c r="AC29" s="56"/>
      <c r="AD29" s="56">
        <v>100</v>
      </c>
      <c r="AE29" s="56">
        <f>G29-SUM(J29:S29)-V29-X29-SUM(Z29:AB29)-T29</f>
        <v>13719.480000000003</v>
      </c>
      <c r="AF29" s="413" t="s">
        <v>142</v>
      </c>
      <c r="AG29" s="421"/>
      <c r="AH29" s="22"/>
      <c r="AI29" s="100"/>
      <c r="AJ29" s="665"/>
      <c r="AK29" s="611"/>
      <c r="AL29" s="474"/>
    </row>
    <row r="30" spans="1:38" ht="20.100000000000001" customHeight="1" x14ac:dyDescent="0.2">
      <c r="A30" s="555" t="s">
        <v>143</v>
      </c>
      <c r="B30" s="44"/>
      <c r="C30" s="32" t="s">
        <v>105</v>
      </c>
      <c r="D30" s="32" t="s">
        <v>208</v>
      </c>
      <c r="E30" s="210" t="s">
        <v>175</v>
      </c>
      <c r="F30" s="54">
        <v>44057</v>
      </c>
      <c r="G30" s="54">
        <f>F30/2</f>
        <v>22028.5</v>
      </c>
      <c r="H30" s="54"/>
      <c r="I30" s="54"/>
      <c r="J30" s="56"/>
      <c r="K30" s="56"/>
      <c r="L30" s="56"/>
      <c r="M30" s="56"/>
      <c r="N30" s="56"/>
      <c r="O30" s="56"/>
      <c r="P30" s="56"/>
      <c r="Q30" s="56"/>
      <c r="R30" s="56"/>
      <c r="S30" s="56"/>
      <c r="T30" s="56"/>
      <c r="U30" s="56"/>
      <c r="V30" s="56">
        <v>1101.42</v>
      </c>
      <c r="W30" s="56">
        <v>1101.43</v>
      </c>
      <c r="X30" s="56">
        <f t="shared" si="7"/>
        <v>3965.1299999999997</v>
      </c>
      <c r="Y30" s="54">
        <f t="shared" si="8"/>
        <v>5286.84</v>
      </c>
      <c r="Z30" s="56">
        <v>0</v>
      </c>
      <c r="AA30" s="56">
        <v>0</v>
      </c>
      <c r="AB30" s="56">
        <v>0</v>
      </c>
      <c r="AC30" s="56"/>
      <c r="AD30" s="56">
        <v>100</v>
      </c>
      <c r="AE30" s="56">
        <f>G30-SUM(J30:S30)-V30-X30-SUM(Z30:AB30)-T30</f>
        <v>16961.95</v>
      </c>
      <c r="AF30" s="413" t="s">
        <v>143</v>
      </c>
      <c r="AG30" s="203"/>
      <c r="AH30" s="546"/>
      <c r="AI30" s="522"/>
    </row>
    <row r="31" spans="1:38" ht="20.100000000000001" customHeight="1" x14ac:dyDescent="0.2">
      <c r="A31" s="414" t="s">
        <v>144</v>
      </c>
      <c r="B31" s="44"/>
      <c r="C31" s="443" t="s">
        <v>109</v>
      </c>
      <c r="D31" s="32" t="s">
        <v>208</v>
      </c>
      <c r="E31" s="210" t="s">
        <v>175</v>
      </c>
      <c r="F31" s="59">
        <f>'[1]Reg.2(1-15)'!$G$31</f>
        <v>31470</v>
      </c>
      <c r="G31" s="59">
        <f>F31/2</f>
        <v>15735</v>
      </c>
      <c r="H31" s="59"/>
      <c r="I31" s="59"/>
      <c r="J31" s="56"/>
      <c r="K31" s="56"/>
      <c r="L31" s="56"/>
      <c r="M31" s="56"/>
      <c r="N31" s="56"/>
      <c r="O31" s="56"/>
      <c r="P31" s="56"/>
      <c r="Q31" s="56"/>
      <c r="R31" s="56"/>
      <c r="S31" s="56"/>
      <c r="T31" s="56"/>
      <c r="U31" s="56"/>
      <c r="V31" s="56">
        <v>786.75</v>
      </c>
      <c r="W31" s="56">
        <v>786.75</v>
      </c>
      <c r="X31" s="56">
        <f t="shared" si="7"/>
        <v>2832.2999999999997</v>
      </c>
      <c r="Y31" s="54">
        <f t="shared" si="8"/>
        <v>3776.3999999999996</v>
      </c>
      <c r="Z31" s="56">
        <v>7891.88</v>
      </c>
      <c r="AA31" s="56"/>
      <c r="AB31" s="56"/>
      <c r="AC31" s="56"/>
      <c r="AD31" s="56">
        <v>100</v>
      </c>
      <c r="AE31" s="56">
        <f>G31-SUM(J31:S31)-V31-X31-SUM(Z31:AB31)-T31</f>
        <v>4224.0700000000006</v>
      </c>
      <c r="AF31" s="398" t="s">
        <v>144</v>
      </c>
      <c r="AG31" s="203"/>
      <c r="AH31" s="546"/>
      <c r="AI31" s="522"/>
      <c r="AL31" s="88"/>
    </row>
    <row r="32" spans="1:38" ht="20.100000000000001" customHeight="1" x14ac:dyDescent="0.2">
      <c r="A32" s="555" t="s">
        <v>145</v>
      </c>
      <c r="B32" s="44"/>
      <c r="C32" s="23" t="s">
        <v>473</v>
      </c>
      <c r="D32" s="32" t="s">
        <v>208</v>
      </c>
      <c r="E32" s="210" t="s">
        <v>175</v>
      </c>
      <c r="F32" s="56">
        <v>21922</v>
      </c>
      <c r="G32" s="59">
        <f>F32/2</f>
        <v>10961</v>
      </c>
      <c r="H32" s="59"/>
      <c r="I32" s="59"/>
      <c r="J32" s="56"/>
      <c r="K32" s="56"/>
      <c r="L32" s="56">
        <v>589.44000000000005</v>
      </c>
      <c r="M32" s="56"/>
      <c r="N32" s="56"/>
      <c r="O32" s="56"/>
      <c r="P32" s="56"/>
      <c r="Q32" s="56"/>
      <c r="R32" s="56"/>
      <c r="S32" s="56"/>
      <c r="T32" s="56"/>
      <c r="U32" s="56"/>
      <c r="V32" s="56">
        <v>548.04999999999995</v>
      </c>
      <c r="W32" s="56">
        <v>548.04999999999995</v>
      </c>
      <c r="X32" s="56">
        <f t="shared" si="7"/>
        <v>1972.98</v>
      </c>
      <c r="Y32" s="54">
        <f t="shared" si="8"/>
        <v>2630.64</v>
      </c>
      <c r="Z32" s="56">
        <v>4735.13</v>
      </c>
      <c r="AA32" s="56"/>
      <c r="AB32" s="56"/>
      <c r="AC32" s="56"/>
      <c r="AD32" s="56">
        <v>100</v>
      </c>
      <c r="AE32" s="56">
        <f>G32-SUM(J32:S32)-V32-X32-SUM(Z32:AB32)-T32</f>
        <v>3115.4000000000005</v>
      </c>
      <c r="AF32" s="413" t="s">
        <v>145</v>
      </c>
      <c r="AG32" s="203"/>
      <c r="AH32" s="546"/>
      <c r="AI32" s="522"/>
      <c r="AL32" s="88"/>
    </row>
    <row r="33" spans="1:38" ht="20.100000000000001" customHeight="1" x14ac:dyDescent="0.2">
      <c r="A33" s="555" t="s">
        <v>146</v>
      </c>
      <c r="B33" s="30"/>
      <c r="C33" s="32" t="s">
        <v>167</v>
      </c>
      <c r="D33" s="32" t="s">
        <v>208</v>
      </c>
      <c r="E33" s="210" t="s">
        <v>175</v>
      </c>
      <c r="F33" s="54">
        <f>'[1]Reg.2(1-15)'!$G$33</f>
        <v>17735</v>
      </c>
      <c r="G33" s="54">
        <f t="shared" si="6"/>
        <v>8867.5</v>
      </c>
      <c r="H33" s="54"/>
      <c r="I33" s="54"/>
      <c r="J33" s="56"/>
      <c r="K33" s="56"/>
      <c r="L33" s="56"/>
      <c r="M33" s="56">
        <v>1166.6600000000001</v>
      </c>
      <c r="N33" s="56"/>
      <c r="O33" s="56"/>
      <c r="P33" s="56">
        <v>100</v>
      </c>
      <c r="Q33" s="56">
        <v>983.34</v>
      </c>
      <c r="R33" s="56">
        <v>1150.08</v>
      </c>
      <c r="S33" s="56"/>
      <c r="T33" s="56"/>
      <c r="U33" s="56"/>
      <c r="V33" s="56">
        <v>443.37</v>
      </c>
      <c r="W33" s="56">
        <v>443.38</v>
      </c>
      <c r="X33" s="56">
        <f t="shared" si="7"/>
        <v>1596.1499999999999</v>
      </c>
      <c r="Y33" s="54">
        <f t="shared" si="8"/>
        <v>2128.1999999999998</v>
      </c>
      <c r="Z33" s="56">
        <v>2000</v>
      </c>
      <c r="AA33" s="56">
        <v>0</v>
      </c>
      <c r="AB33" s="56"/>
      <c r="AC33" s="56"/>
      <c r="AD33" s="56">
        <v>100</v>
      </c>
      <c r="AE33" s="56">
        <f>G33-SUM(J33:S33)-V33-X33-SUM(Z33:AC33)-T33</f>
        <v>1427.9000000000005</v>
      </c>
      <c r="AF33" s="413" t="s">
        <v>146</v>
      </c>
      <c r="AG33" s="203"/>
      <c r="AH33" s="546"/>
      <c r="AI33" s="522"/>
      <c r="AL33" s="88"/>
    </row>
    <row r="34" spans="1:38" ht="20.100000000000001" customHeight="1" x14ac:dyDescent="0.2">
      <c r="A34" s="414" t="s">
        <v>147</v>
      </c>
      <c r="B34" s="44"/>
      <c r="C34" s="32" t="s">
        <v>167</v>
      </c>
      <c r="D34" s="32" t="s">
        <v>208</v>
      </c>
      <c r="E34" s="32" t="s">
        <v>175</v>
      </c>
      <c r="F34" s="56">
        <v>17219</v>
      </c>
      <c r="G34" s="54">
        <f>F34/2</f>
        <v>8609.5</v>
      </c>
      <c r="H34" s="54"/>
      <c r="I34" s="54"/>
      <c r="J34" s="56"/>
      <c r="K34" s="56"/>
      <c r="L34" s="56"/>
      <c r="M34" s="56"/>
      <c r="N34" s="56"/>
      <c r="O34" s="56"/>
      <c r="P34" s="56"/>
      <c r="Q34" s="56"/>
      <c r="R34" s="56"/>
      <c r="S34" s="56"/>
      <c r="T34" s="56"/>
      <c r="U34" s="56"/>
      <c r="V34" s="56">
        <v>430.47</v>
      </c>
      <c r="W34" s="56">
        <v>430.48</v>
      </c>
      <c r="X34" s="56">
        <f t="shared" si="7"/>
        <v>1549.71</v>
      </c>
      <c r="Y34" s="54">
        <f t="shared" si="8"/>
        <v>2066.2799999999997</v>
      </c>
      <c r="Z34" s="56">
        <v>2525.4</v>
      </c>
      <c r="AA34" s="56"/>
      <c r="AB34" s="56">
        <v>738.01</v>
      </c>
      <c r="AC34" s="56"/>
      <c r="AD34" s="56">
        <v>100</v>
      </c>
      <c r="AE34" s="56">
        <f t="shared" ref="AE34:AE44" si="9">G34-SUM(J34:S34)-V34-X34-SUM(Z34:AB34)-T34</f>
        <v>3365.91</v>
      </c>
      <c r="AF34" s="398" t="s">
        <v>147</v>
      </c>
      <c r="AG34" s="203"/>
      <c r="AH34" s="546"/>
      <c r="AI34" s="522"/>
      <c r="AK34" s="668">
        <v>2</v>
      </c>
      <c r="AL34" s="88" t="e">
        <f>#REF!</f>
        <v>#REF!</v>
      </c>
    </row>
    <row r="35" spans="1:38" ht="20.100000000000001" customHeight="1" x14ac:dyDescent="0.2">
      <c r="A35" s="555" t="s">
        <v>148</v>
      </c>
      <c r="B35" s="44"/>
      <c r="C35" s="32" t="s">
        <v>167</v>
      </c>
      <c r="D35" s="32" t="s">
        <v>208</v>
      </c>
      <c r="E35" s="210" t="s">
        <v>175</v>
      </c>
      <c r="F35" s="56">
        <v>17219</v>
      </c>
      <c r="G35" s="54">
        <f>F35/2</f>
        <v>8609.5</v>
      </c>
      <c r="H35" s="54"/>
      <c r="I35" s="54"/>
      <c r="J35" s="56"/>
      <c r="K35" s="56"/>
      <c r="L35" s="56"/>
      <c r="M35" s="56"/>
      <c r="N35" s="56"/>
      <c r="O35" s="56"/>
      <c r="P35" s="56"/>
      <c r="Q35" s="56"/>
      <c r="R35" s="56"/>
      <c r="S35" s="56"/>
      <c r="T35" s="56"/>
      <c r="U35" s="56"/>
      <c r="V35" s="56">
        <v>430.47</v>
      </c>
      <c r="W35" s="56">
        <v>430.48</v>
      </c>
      <c r="X35" s="56">
        <f t="shared" si="7"/>
        <v>1549.71</v>
      </c>
      <c r="Y35" s="54">
        <f t="shared" si="8"/>
        <v>2066.2799999999997</v>
      </c>
      <c r="Z35" s="56"/>
      <c r="AA35" s="56"/>
      <c r="AB35" s="56"/>
      <c r="AC35" s="56"/>
      <c r="AD35" s="56">
        <v>100</v>
      </c>
      <c r="AE35" s="56">
        <f t="shared" si="9"/>
        <v>6629.32</v>
      </c>
      <c r="AF35" s="413" t="s">
        <v>148</v>
      </c>
      <c r="AG35" s="203"/>
      <c r="AH35" s="546"/>
      <c r="AI35" s="522"/>
      <c r="AK35" s="668">
        <v>1</v>
      </c>
      <c r="AL35" s="88">
        <f>'Reg1(16-31)'!AD59</f>
        <v>261985.45</v>
      </c>
    </row>
    <row r="36" spans="1:38" ht="20.100000000000001" customHeight="1" x14ac:dyDescent="0.2">
      <c r="A36" s="555" t="s">
        <v>149</v>
      </c>
      <c r="B36" s="44"/>
      <c r="C36" s="32" t="s">
        <v>167</v>
      </c>
      <c r="D36" s="32" t="s">
        <v>208</v>
      </c>
      <c r="E36" s="210" t="s">
        <v>175</v>
      </c>
      <c r="F36" s="56">
        <v>17094</v>
      </c>
      <c r="G36" s="54">
        <f>F36/2</f>
        <v>8547</v>
      </c>
      <c r="H36" s="54"/>
      <c r="I36" s="54"/>
      <c r="J36" s="56"/>
      <c r="K36" s="56"/>
      <c r="L36" s="56"/>
      <c r="M36" s="56">
        <v>475</v>
      </c>
      <c r="N36" s="56"/>
      <c r="O36" s="56"/>
      <c r="P36" s="56"/>
      <c r="Q36" s="56">
        <v>983.34</v>
      </c>
      <c r="R36" s="56"/>
      <c r="S36" s="56"/>
      <c r="T36" s="56"/>
      <c r="U36" s="56"/>
      <c r="V36" s="56">
        <v>427.35</v>
      </c>
      <c r="W36" s="56">
        <v>427.35</v>
      </c>
      <c r="X36" s="56">
        <f t="shared" si="7"/>
        <v>1538.46</v>
      </c>
      <c r="Y36" s="54">
        <f t="shared" si="8"/>
        <v>2051.2799999999997</v>
      </c>
      <c r="Z36" s="56"/>
      <c r="AA36" s="56"/>
      <c r="AB36" s="56"/>
      <c r="AC36" s="56"/>
      <c r="AD36" s="56">
        <v>100</v>
      </c>
      <c r="AE36" s="56">
        <f t="shared" si="9"/>
        <v>5122.8499999999995</v>
      </c>
      <c r="AF36" s="413" t="s">
        <v>149</v>
      </c>
      <c r="AG36" s="203"/>
      <c r="AH36" s="546"/>
      <c r="AI36" s="522"/>
      <c r="AK36" s="668"/>
      <c r="AL36" s="88"/>
    </row>
    <row r="37" spans="1:38" ht="20.100000000000001" customHeight="1" x14ac:dyDescent="0.2">
      <c r="A37" s="414" t="s">
        <v>150</v>
      </c>
      <c r="B37" s="44"/>
      <c r="C37" s="32" t="s">
        <v>556</v>
      </c>
      <c r="D37" s="32" t="s">
        <v>208</v>
      </c>
      <c r="E37" s="210" t="s">
        <v>175</v>
      </c>
      <c r="F37" s="56">
        <f>'[1]Reg.2(1-15)'!$G$37</f>
        <v>16113</v>
      </c>
      <c r="G37" s="54">
        <f>F37/2</f>
        <v>8056.5</v>
      </c>
      <c r="H37" s="54"/>
      <c r="I37" s="54"/>
      <c r="J37" s="56"/>
      <c r="K37" s="56"/>
      <c r="L37" s="56"/>
      <c r="M37" s="56"/>
      <c r="N37" s="56"/>
      <c r="O37" s="56"/>
      <c r="P37" s="56"/>
      <c r="Q37" s="56"/>
      <c r="R37" s="56"/>
      <c r="S37" s="56"/>
      <c r="T37" s="56"/>
      <c r="U37" s="56"/>
      <c r="V37" s="56">
        <v>402.82</v>
      </c>
      <c r="W37" s="56">
        <v>402.83</v>
      </c>
      <c r="X37" s="56">
        <f t="shared" si="7"/>
        <v>1450.1699999999998</v>
      </c>
      <c r="Y37" s="54">
        <f t="shared" si="8"/>
        <v>1933.56</v>
      </c>
      <c r="Z37" s="56"/>
      <c r="AA37" s="56">
        <v>2844.13</v>
      </c>
      <c r="AB37" s="56"/>
      <c r="AC37" s="56"/>
      <c r="AD37" s="56">
        <v>100</v>
      </c>
      <c r="AE37" s="56">
        <f t="shared" si="9"/>
        <v>3359.38</v>
      </c>
      <c r="AF37" s="398" t="s">
        <v>150</v>
      </c>
      <c r="AG37" s="203"/>
      <c r="AH37" s="546"/>
      <c r="AI37" s="522"/>
      <c r="AK37" s="668"/>
      <c r="AL37" s="88"/>
    </row>
    <row r="38" spans="1:38" ht="20.25" customHeight="1" x14ac:dyDescent="0.2">
      <c r="A38" s="555" t="s">
        <v>151</v>
      </c>
      <c r="B38" s="44"/>
      <c r="C38" s="32" t="s">
        <v>499</v>
      </c>
      <c r="D38" s="32" t="s">
        <v>208</v>
      </c>
      <c r="E38" s="210" t="s">
        <v>175</v>
      </c>
      <c r="F38" s="56">
        <v>14308</v>
      </c>
      <c r="G38" s="54">
        <f>F38/2</f>
        <v>7154</v>
      </c>
      <c r="H38" s="54"/>
      <c r="I38" s="54"/>
      <c r="J38" s="56"/>
      <c r="K38" s="56"/>
      <c r="L38" s="56"/>
      <c r="M38" s="56">
        <v>1400</v>
      </c>
      <c r="N38" s="56"/>
      <c r="O38" s="56"/>
      <c r="P38" s="56">
        <f>150+150</f>
        <v>300</v>
      </c>
      <c r="Q38" s="56">
        <v>983.34</v>
      </c>
      <c r="R38" s="56">
        <v>797.96</v>
      </c>
      <c r="S38" s="56"/>
      <c r="T38" s="56"/>
      <c r="U38" s="56"/>
      <c r="V38" s="56">
        <v>357.7</v>
      </c>
      <c r="W38" s="56">
        <v>357.7</v>
      </c>
      <c r="X38" s="56">
        <f t="shared" si="7"/>
        <v>1287.72</v>
      </c>
      <c r="Y38" s="54">
        <f t="shared" si="8"/>
        <v>1716.96</v>
      </c>
      <c r="Z38" s="56">
        <v>1892.98</v>
      </c>
      <c r="AA38" s="56"/>
      <c r="AB38" s="56"/>
      <c r="AC38" s="56"/>
      <c r="AD38" s="56">
        <v>100</v>
      </c>
      <c r="AE38" s="56">
        <f t="shared" si="9"/>
        <v>134.29999999999995</v>
      </c>
      <c r="AF38" s="413" t="s">
        <v>151</v>
      </c>
      <c r="AG38" s="203"/>
      <c r="AH38" s="546"/>
      <c r="AI38" s="522"/>
      <c r="AL38" s="88"/>
    </row>
    <row r="39" spans="1:38" ht="20.100000000000001" customHeight="1" x14ac:dyDescent="0.2">
      <c r="A39" s="555" t="s">
        <v>152</v>
      </c>
      <c r="B39" s="44"/>
      <c r="C39" s="32" t="s">
        <v>446</v>
      </c>
      <c r="D39" s="32" t="s">
        <v>208</v>
      </c>
      <c r="E39" s="210" t="s">
        <v>175</v>
      </c>
      <c r="F39" s="56">
        <f>'[1]Reg.2(1-15)'!$G$39</f>
        <v>13575</v>
      </c>
      <c r="G39" s="54">
        <f t="shared" si="6"/>
        <v>6787.5</v>
      </c>
      <c r="H39" s="54"/>
      <c r="I39" s="54"/>
      <c r="J39" s="56"/>
      <c r="K39" s="56"/>
      <c r="L39" s="56">
        <v>655.56</v>
      </c>
      <c r="M39" s="56">
        <v>700</v>
      </c>
      <c r="N39" s="56"/>
      <c r="O39" s="56"/>
      <c r="P39" s="56"/>
      <c r="Q39" s="56"/>
      <c r="R39" s="56"/>
      <c r="S39" s="56"/>
      <c r="T39" s="56"/>
      <c r="U39" s="56"/>
      <c r="V39" s="56">
        <v>339.37</v>
      </c>
      <c r="W39" s="56">
        <v>339.38</v>
      </c>
      <c r="X39" s="56">
        <f t="shared" si="7"/>
        <v>1221.75</v>
      </c>
      <c r="Y39" s="54">
        <f t="shared" si="8"/>
        <v>1629</v>
      </c>
      <c r="Z39" s="56">
        <v>2195.27</v>
      </c>
      <c r="AA39" s="56"/>
      <c r="AB39" s="56"/>
      <c r="AC39" s="56"/>
      <c r="AD39" s="56">
        <v>100</v>
      </c>
      <c r="AE39" s="56">
        <f t="shared" si="9"/>
        <v>1675.5500000000006</v>
      </c>
      <c r="AF39" s="413" t="s">
        <v>152</v>
      </c>
      <c r="AG39" s="203"/>
      <c r="AH39" s="546"/>
      <c r="AI39" s="522"/>
      <c r="AL39" s="88"/>
    </row>
    <row r="40" spans="1:38" ht="20.100000000000001" customHeight="1" x14ac:dyDescent="0.2">
      <c r="A40" s="414" t="s">
        <v>153</v>
      </c>
      <c r="B40" s="44"/>
      <c r="C40" s="32" t="s">
        <v>446</v>
      </c>
      <c r="D40" s="32" t="s">
        <v>208</v>
      </c>
      <c r="E40" s="210" t="s">
        <v>175</v>
      </c>
      <c r="F40" s="56">
        <f>'[1]Reg.2(1-15)'!$G$40</f>
        <v>13575</v>
      </c>
      <c r="G40" s="59">
        <f>F40/2</f>
        <v>6787.5</v>
      </c>
      <c r="H40" s="59"/>
      <c r="I40" s="59"/>
      <c r="J40" s="58"/>
      <c r="K40" s="58"/>
      <c r="L40" s="58">
        <v>655.56</v>
      </c>
      <c r="M40" s="58"/>
      <c r="N40" s="58"/>
      <c r="O40" s="58"/>
      <c r="P40" s="58">
        <v>300</v>
      </c>
      <c r="Q40" s="58"/>
      <c r="R40" s="693"/>
      <c r="S40" s="58"/>
      <c r="T40" s="58"/>
      <c r="U40" s="58"/>
      <c r="V40" s="56">
        <v>339.37</v>
      </c>
      <c r="W40" s="56">
        <v>339.38</v>
      </c>
      <c r="X40" s="58">
        <f t="shared" si="7"/>
        <v>1221.75</v>
      </c>
      <c r="Y40" s="59">
        <f t="shared" si="8"/>
        <v>1629</v>
      </c>
      <c r="Z40" s="58"/>
      <c r="AA40" s="58"/>
      <c r="AB40" s="58"/>
      <c r="AC40" s="58"/>
      <c r="AD40" s="58">
        <v>100</v>
      </c>
      <c r="AE40" s="58">
        <f t="shared" si="9"/>
        <v>4270.8200000000006</v>
      </c>
      <c r="AF40" s="398" t="s">
        <v>153</v>
      </c>
      <c r="AG40" s="203"/>
      <c r="AH40" s="546"/>
      <c r="AI40" s="522"/>
      <c r="AL40" s="88"/>
    </row>
    <row r="41" spans="1:38" ht="20.100000000000001" customHeight="1" x14ac:dyDescent="0.2">
      <c r="A41" s="555" t="s">
        <v>154</v>
      </c>
      <c r="B41" s="44"/>
      <c r="C41" s="32" t="s">
        <v>446</v>
      </c>
      <c r="D41" s="32" t="s">
        <v>208</v>
      </c>
      <c r="E41" s="210" t="s">
        <v>175</v>
      </c>
      <c r="F41" s="56">
        <v>13474</v>
      </c>
      <c r="G41" s="54">
        <f>F41/2</f>
        <v>6737</v>
      </c>
      <c r="H41" s="54"/>
      <c r="I41" s="54"/>
      <c r="J41" s="56"/>
      <c r="K41" s="56"/>
      <c r="L41" s="56">
        <v>638.73</v>
      </c>
      <c r="M41" s="56">
        <v>475</v>
      </c>
      <c r="N41" s="56"/>
      <c r="O41" s="56"/>
      <c r="P41" s="56"/>
      <c r="Q41" s="56">
        <v>983.34</v>
      </c>
      <c r="R41" s="56"/>
      <c r="S41" s="56"/>
      <c r="T41" s="56"/>
      <c r="U41" s="56"/>
      <c r="V41" s="56">
        <v>336.85</v>
      </c>
      <c r="W41" s="56">
        <v>336.85</v>
      </c>
      <c r="X41" s="56">
        <f t="shared" si="7"/>
        <v>1212.6599999999999</v>
      </c>
      <c r="Y41" s="54">
        <f t="shared" si="8"/>
        <v>1616.8799999999999</v>
      </c>
      <c r="Z41" s="56"/>
      <c r="AA41" s="56"/>
      <c r="AB41" s="56"/>
      <c r="AC41" s="56"/>
      <c r="AD41" s="58">
        <v>100</v>
      </c>
      <c r="AE41" s="58">
        <f t="shared" si="9"/>
        <v>3090.42</v>
      </c>
      <c r="AF41" s="413" t="s">
        <v>154</v>
      </c>
      <c r="AG41" s="203"/>
      <c r="AH41" s="546"/>
      <c r="AI41" s="522"/>
      <c r="AL41" s="88"/>
    </row>
    <row r="42" spans="1:38" ht="20.100000000000001" customHeight="1" x14ac:dyDescent="0.2">
      <c r="A42" s="555" t="s">
        <v>155</v>
      </c>
      <c r="B42" s="44"/>
      <c r="C42" s="32" t="s">
        <v>446</v>
      </c>
      <c r="D42" s="32" t="s">
        <v>208</v>
      </c>
      <c r="E42" s="210" t="s">
        <v>175</v>
      </c>
      <c r="F42" s="56">
        <v>13474</v>
      </c>
      <c r="G42" s="54">
        <f>F42/2</f>
        <v>6737</v>
      </c>
      <c r="H42" s="54"/>
      <c r="I42" s="54"/>
      <c r="J42" s="56"/>
      <c r="K42" s="56"/>
      <c r="L42" s="56">
        <v>638.73</v>
      </c>
      <c r="M42" s="56">
        <v>475</v>
      </c>
      <c r="N42" s="56"/>
      <c r="O42" s="56"/>
      <c r="P42" s="56"/>
      <c r="Q42" s="56"/>
      <c r="R42" s="56">
        <v>398.53</v>
      </c>
      <c r="S42" s="56"/>
      <c r="T42" s="56"/>
      <c r="U42" s="56"/>
      <c r="V42" s="56">
        <v>336.85</v>
      </c>
      <c r="W42" s="56">
        <v>336.85</v>
      </c>
      <c r="X42" s="56">
        <f t="shared" si="7"/>
        <v>1212.6599999999999</v>
      </c>
      <c r="Y42" s="54">
        <f t="shared" si="8"/>
        <v>1616.8799999999999</v>
      </c>
      <c r="Z42" s="56"/>
      <c r="AA42" s="56">
        <v>2973.74</v>
      </c>
      <c r="AB42" s="56"/>
      <c r="AC42" s="56"/>
      <c r="AD42" s="58">
        <v>100</v>
      </c>
      <c r="AE42" s="58">
        <f t="shared" si="9"/>
        <v>701.48999999999978</v>
      </c>
      <c r="AF42" s="413" t="s">
        <v>155</v>
      </c>
      <c r="AG42" s="203"/>
      <c r="AH42" s="546"/>
      <c r="AI42" s="522"/>
      <c r="AL42" s="88"/>
    </row>
    <row r="43" spans="1:38" ht="20.100000000000001" customHeight="1" x14ac:dyDescent="0.2">
      <c r="A43" s="414" t="s">
        <v>156</v>
      </c>
      <c r="B43" s="44"/>
      <c r="C43" s="32" t="s">
        <v>446</v>
      </c>
      <c r="D43" s="32" t="s">
        <v>208</v>
      </c>
      <c r="E43" s="210" t="s">
        <v>175</v>
      </c>
      <c r="F43" s="56">
        <v>13474</v>
      </c>
      <c r="G43" s="54">
        <f>F43/2</f>
        <v>6737</v>
      </c>
      <c r="H43" s="54"/>
      <c r="I43" s="54"/>
      <c r="J43" s="56"/>
      <c r="K43" s="56"/>
      <c r="L43" s="56"/>
      <c r="M43" s="56"/>
      <c r="N43" s="56"/>
      <c r="O43" s="56"/>
      <c r="P43" s="56"/>
      <c r="Q43" s="56"/>
      <c r="R43" s="617"/>
      <c r="S43" s="56"/>
      <c r="T43" s="56"/>
      <c r="U43" s="56"/>
      <c r="V43" s="56">
        <v>336.85</v>
      </c>
      <c r="W43" s="56">
        <v>336.85</v>
      </c>
      <c r="X43" s="56">
        <f t="shared" si="7"/>
        <v>1212.6599999999999</v>
      </c>
      <c r="Y43" s="54">
        <f t="shared" si="8"/>
        <v>1616.8799999999999</v>
      </c>
      <c r="Z43" s="56"/>
      <c r="AA43" s="56"/>
      <c r="AB43" s="56"/>
      <c r="AC43" s="56"/>
      <c r="AD43" s="56">
        <v>100</v>
      </c>
      <c r="AE43" s="56">
        <f t="shared" si="9"/>
        <v>5187.49</v>
      </c>
      <c r="AF43" s="398" t="s">
        <v>156</v>
      </c>
      <c r="AG43" s="203"/>
      <c r="AH43" s="546"/>
      <c r="AI43" s="522"/>
      <c r="AL43" s="88"/>
    </row>
    <row r="44" spans="1:38" ht="20.100000000000001" customHeight="1" thickBot="1" x14ac:dyDescent="0.25">
      <c r="A44" s="555" t="s">
        <v>157</v>
      </c>
      <c r="B44" s="44"/>
      <c r="C44" s="210" t="s">
        <v>446</v>
      </c>
      <c r="D44" s="32" t="s">
        <v>208</v>
      </c>
      <c r="E44" s="210" t="s">
        <v>175</v>
      </c>
      <c r="F44" s="60">
        <f>'[1]Reg.2(1-15)'!$G$44</f>
        <v>13474</v>
      </c>
      <c r="G44" s="470">
        <f>F44/2</f>
        <v>6737</v>
      </c>
      <c r="H44" s="470"/>
      <c r="I44" s="470"/>
      <c r="J44" s="60"/>
      <c r="K44" s="60"/>
      <c r="L44" s="60"/>
      <c r="M44" s="60"/>
      <c r="N44" s="60"/>
      <c r="O44" s="60"/>
      <c r="P44" s="60"/>
      <c r="Q44" s="60"/>
      <c r="R44" s="694"/>
      <c r="S44" s="60"/>
      <c r="T44" s="60"/>
      <c r="U44" s="60"/>
      <c r="V44" s="60">
        <v>336.85</v>
      </c>
      <c r="W44" s="60">
        <v>336.85</v>
      </c>
      <c r="X44" s="60">
        <f t="shared" si="7"/>
        <v>1212.6599999999999</v>
      </c>
      <c r="Y44" s="470">
        <f t="shared" si="8"/>
        <v>1616.8799999999999</v>
      </c>
      <c r="Z44" s="60"/>
      <c r="AA44" s="60"/>
      <c r="AB44" s="60"/>
      <c r="AC44" s="60"/>
      <c r="AD44" s="60">
        <v>100</v>
      </c>
      <c r="AE44" s="60">
        <f t="shared" si="9"/>
        <v>5187.49</v>
      </c>
      <c r="AF44" s="413" t="s">
        <v>157</v>
      </c>
      <c r="AG44" s="203"/>
      <c r="AH44" s="546"/>
      <c r="AI44" s="522"/>
      <c r="AL44" s="88"/>
    </row>
    <row r="45" spans="1:38" ht="20.100000000000001" customHeight="1" thickBot="1" x14ac:dyDescent="0.25">
      <c r="A45" s="555" t="s">
        <v>97</v>
      </c>
      <c r="B45" s="44"/>
      <c r="C45" s="32"/>
      <c r="D45" s="32"/>
      <c r="E45" s="32"/>
      <c r="F45" s="64">
        <f t="shared" ref="F45:AE45" si="10">SUM(F28:F44)</f>
        <v>435773</v>
      </c>
      <c r="G45" s="64">
        <f t="shared" si="10"/>
        <v>217886.5</v>
      </c>
      <c r="H45" s="64">
        <f t="shared" si="10"/>
        <v>0</v>
      </c>
      <c r="I45" s="64">
        <f t="shared" si="10"/>
        <v>0</v>
      </c>
      <c r="J45" s="64">
        <f t="shared" si="10"/>
        <v>0</v>
      </c>
      <c r="K45" s="64">
        <f>SUM(K28:K44)</f>
        <v>0</v>
      </c>
      <c r="L45" s="64">
        <f t="shared" si="10"/>
        <v>5008.6899999999987</v>
      </c>
      <c r="M45" s="64">
        <f t="shared" si="10"/>
        <v>4691.66</v>
      </c>
      <c r="N45" s="64">
        <f t="shared" si="10"/>
        <v>0</v>
      </c>
      <c r="O45" s="64">
        <f t="shared" si="10"/>
        <v>0</v>
      </c>
      <c r="P45" s="64">
        <f>SUM(P28:P44)</f>
        <v>700</v>
      </c>
      <c r="Q45" s="64">
        <f t="shared" si="10"/>
        <v>3933.36</v>
      </c>
      <c r="R45" s="64">
        <f t="shared" si="10"/>
        <v>9926.8700000000008</v>
      </c>
      <c r="S45" s="64">
        <f t="shared" si="10"/>
        <v>4817.22</v>
      </c>
      <c r="T45" s="64">
        <f t="shared" si="10"/>
        <v>0</v>
      </c>
      <c r="U45" s="64">
        <f t="shared" si="10"/>
        <v>0</v>
      </c>
      <c r="V45" s="64">
        <f t="shared" si="10"/>
        <v>10894.280000000004</v>
      </c>
      <c r="W45" s="64">
        <f t="shared" si="10"/>
        <v>10894.37</v>
      </c>
      <c r="X45" s="64">
        <f t="shared" si="10"/>
        <v>39219.570000000007</v>
      </c>
      <c r="Y45" s="64">
        <f t="shared" si="10"/>
        <v>52292.759999999987</v>
      </c>
      <c r="Z45" s="64">
        <f t="shared" si="10"/>
        <v>32289.300000000003</v>
      </c>
      <c r="AA45" s="64">
        <f t="shared" si="10"/>
        <v>5817.87</v>
      </c>
      <c r="AB45" s="64">
        <f t="shared" si="10"/>
        <v>3706.1099999999997</v>
      </c>
      <c r="AC45" s="64">
        <f t="shared" si="10"/>
        <v>2119.8200000000002</v>
      </c>
      <c r="AD45" s="64">
        <f t="shared" si="10"/>
        <v>1700</v>
      </c>
      <c r="AE45" s="64">
        <f t="shared" si="10"/>
        <v>94761.750000000029</v>
      </c>
      <c r="AF45" s="413" t="s">
        <v>97</v>
      </c>
      <c r="AG45" s="203"/>
      <c r="AH45" s="546"/>
      <c r="AI45" s="522"/>
      <c r="AK45" s="668">
        <v>3</v>
      </c>
      <c r="AL45" s="88">
        <f>'Reg3(16-31)'!AE66</f>
        <v>381200.39999999997</v>
      </c>
    </row>
    <row r="46" spans="1:38" ht="20.100000000000001" customHeight="1" thickTop="1" x14ac:dyDescent="0.2">
      <c r="A46" s="414" t="s">
        <v>99</v>
      </c>
      <c r="B46" s="408" t="s">
        <v>76</v>
      </c>
      <c r="C46" s="32"/>
      <c r="D46" s="32"/>
      <c r="E46" s="32"/>
      <c r="F46" s="56"/>
      <c r="G46" s="56"/>
      <c r="H46" s="58"/>
      <c r="I46" s="58"/>
      <c r="J46" s="58"/>
      <c r="K46" s="58"/>
      <c r="L46" s="58"/>
      <c r="M46" s="58"/>
      <c r="N46" s="58"/>
      <c r="O46" s="58"/>
      <c r="P46" s="58"/>
      <c r="Q46" s="58"/>
      <c r="R46" s="58"/>
      <c r="S46" s="58"/>
      <c r="T46" s="58"/>
      <c r="U46" s="58"/>
      <c r="V46" s="58"/>
      <c r="W46" s="58"/>
      <c r="X46" s="58"/>
      <c r="Y46" s="58"/>
      <c r="Z46" s="58"/>
      <c r="AA46" s="58"/>
      <c r="AB46" s="58"/>
      <c r="AC46" s="484"/>
      <c r="AD46" s="669"/>
      <c r="AE46" s="56"/>
      <c r="AF46" s="398" t="s">
        <v>99</v>
      </c>
      <c r="AG46" s="670"/>
      <c r="AH46" s="22"/>
      <c r="AK46" s="668">
        <v>4</v>
      </c>
      <c r="AL46" s="88">
        <f>'Reg4(16-31)'!AA62</f>
        <v>209050.96</v>
      </c>
    </row>
    <row r="47" spans="1:38" s="15" customFormat="1" ht="20.100000000000001" customHeight="1" x14ac:dyDescent="0.35">
      <c r="A47" s="555" t="s">
        <v>46</v>
      </c>
      <c r="B47" s="44"/>
      <c r="C47" s="32" t="s">
        <v>77</v>
      </c>
      <c r="D47" s="935" t="s">
        <v>685</v>
      </c>
      <c r="E47" s="936"/>
      <c r="F47" s="54">
        <f>'[1]Reg.2(1-15)'!$G$47</f>
        <v>88811</v>
      </c>
      <c r="G47" s="54">
        <f t="shared" ref="G47:G52" si="11">F47/2</f>
        <v>44405.5</v>
      </c>
      <c r="H47" s="54"/>
      <c r="I47" s="54"/>
      <c r="J47" s="56"/>
      <c r="K47" s="56"/>
      <c r="L47" s="56"/>
      <c r="M47" s="56"/>
      <c r="N47" s="56"/>
      <c r="O47" s="56"/>
      <c r="P47" s="56"/>
      <c r="Q47" s="56"/>
      <c r="R47" s="56"/>
      <c r="S47" s="56"/>
      <c r="T47" s="56"/>
      <c r="U47" s="56"/>
      <c r="V47" s="56">
        <v>2220.27</v>
      </c>
      <c r="W47" s="56">
        <v>2220.2800000000002</v>
      </c>
      <c r="X47" s="56">
        <f t="shared" ref="X47:X52" si="12">F47*0.09</f>
        <v>7992.99</v>
      </c>
      <c r="Y47" s="54">
        <f t="shared" ref="Y47:Y52" si="13">F47*0.12</f>
        <v>10657.32</v>
      </c>
      <c r="Z47" s="56"/>
      <c r="AA47" s="56"/>
      <c r="AB47" s="56"/>
      <c r="AC47" s="56"/>
      <c r="AD47" s="56">
        <v>100</v>
      </c>
      <c r="AE47" s="56">
        <f>G47-SUM(J47:S47)-V47-X47-SUM(Z47:AB47)-T47</f>
        <v>34192.240000000005</v>
      </c>
      <c r="AF47" s="413" t="s">
        <v>46</v>
      </c>
      <c r="AG47" s="424"/>
      <c r="AH47" s="21"/>
      <c r="AI47" s="100"/>
      <c r="AJ47" s="663"/>
      <c r="AK47" s="663">
        <v>5</v>
      </c>
      <c r="AL47" s="671">
        <f>'SB (16-31)'!AD44</f>
        <v>377608.69</v>
      </c>
    </row>
    <row r="48" spans="1:38" s="15" customFormat="1" ht="26.25" customHeight="1" x14ac:dyDescent="0.4">
      <c r="A48" s="555" t="s">
        <v>47</v>
      </c>
      <c r="B48" s="44"/>
      <c r="C48" s="616" t="s">
        <v>614</v>
      </c>
      <c r="D48" s="210" t="s">
        <v>207</v>
      </c>
      <c r="E48" s="210" t="s">
        <v>175</v>
      </c>
      <c r="F48" s="54">
        <f>'[1]Reg.2(1-15)'!$G$48</f>
        <v>34513</v>
      </c>
      <c r="G48" s="54">
        <f t="shared" si="11"/>
        <v>17256.5</v>
      </c>
      <c r="H48" s="54"/>
      <c r="I48" s="54"/>
      <c r="J48" s="56"/>
      <c r="K48" s="56"/>
      <c r="L48" s="56"/>
      <c r="M48" s="56"/>
      <c r="N48" s="56"/>
      <c r="O48" s="56"/>
      <c r="P48" s="56">
        <v>150</v>
      </c>
      <c r="Q48" s="56">
        <v>983.33</v>
      </c>
      <c r="R48" s="56">
        <v>2282.25</v>
      </c>
      <c r="S48" s="56">
        <v>2553.13</v>
      </c>
      <c r="T48" s="56"/>
      <c r="U48" s="56"/>
      <c r="V48" s="56">
        <v>862.82</v>
      </c>
      <c r="W48" s="56">
        <v>862.83</v>
      </c>
      <c r="X48" s="56">
        <f t="shared" si="12"/>
        <v>3106.17</v>
      </c>
      <c r="Y48" s="54">
        <f t="shared" si="13"/>
        <v>4141.5599999999995</v>
      </c>
      <c r="Z48" s="56">
        <v>3349</v>
      </c>
      <c r="AA48" s="56">
        <v>2973.74</v>
      </c>
      <c r="AB48" s="56"/>
      <c r="AC48" s="56">
        <v>694.52</v>
      </c>
      <c r="AD48" s="56">
        <v>100</v>
      </c>
      <c r="AE48" s="56">
        <f>G48-SUM(J48:S48)-V48-X48-SUM(Z48:AB48)-T48-AC48</f>
        <v>301.54000000000133</v>
      </c>
      <c r="AF48" s="413" t="s">
        <v>47</v>
      </c>
      <c r="AG48" s="424"/>
      <c r="AH48" s="21"/>
      <c r="AI48" s="100"/>
      <c r="AJ48" s="663"/>
      <c r="AK48" s="663">
        <v>6</v>
      </c>
      <c r="AL48" s="672">
        <f>'new hired co terminus'!AA16</f>
        <v>51339.39</v>
      </c>
    </row>
    <row r="49" spans="1:43" s="15" customFormat="1" ht="20.100000000000001" customHeight="1" x14ac:dyDescent="0.4">
      <c r="A49" s="414" t="s">
        <v>100</v>
      </c>
      <c r="B49" s="44"/>
      <c r="C49" s="673" t="s">
        <v>635</v>
      </c>
      <c r="D49" s="210" t="s">
        <v>207</v>
      </c>
      <c r="E49" s="210" t="s">
        <v>175</v>
      </c>
      <c r="F49" s="56">
        <v>19899</v>
      </c>
      <c r="G49" s="54">
        <f t="shared" si="11"/>
        <v>9949.5</v>
      </c>
      <c r="H49" s="54"/>
      <c r="I49" s="54"/>
      <c r="J49" s="56"/>
      <c r="K49" s="56"/>
      <c r="L49" s="56">
        <v>410.52</v>
      </c>
      <c r="M49" s="56"/>
      <c r="N49" s="56"/>
      <c r="O49" s="56"/>
      <c r="P49" s="56"/>
      <c r="Q49" s="56"/>
      <c r="R49" s="56"/>
      <c r="S49" s="56"/>
      <c r="T49" s="58"/>
      <c r="U49" s="58"/>
      <c r="V49" s="56">
        <v>497.47</v>
      </c>
      <c r="W49" s="56">
        <v>497.48</v>
      </c>
      <c r="X49" s="56">
        <f t="shared" si="12"/>
        <v>1790.9099999999999</v>
      </c>
      <c r="Y49" s="54">
        <f t="shared" si="13"/>
        <v>2387.88</v>
      </c>
      <c r="Z49" s="56"/>
      <c r="AA49" s="56"/>
      <c r="AB49" s="56"/>
      <c r="AC49" s="56"/>
      <c r="AD49" s="56">
        <v>100</v>
      </c>
      <c r="AE49" s="56">
        <f>G49-SUM(J49:S49)-V49-X49-SUM(Z49:AB49)-T49</f>
        <v>7250.6</v>
      </c>
      <c r="AF49" s="398" t="s">
        <v>100</v>
      </c>
      <c r="AG49" s="424"/>
      <c r="AH49" s="21"/>
      <c r="AI49" s="100"/>
      <c r="AJ49" s="663"/>
      <c r="AK49" s="663"/>
      <c r="AL49" s="672">
        <f>SUM(AL35:AL48)</f>
        <v>1281184.8899999999</v>
      </c>
    </row>
    <row r="50" spans="1:43" ht="21.95" customHeight="1" x14ac:dyDescent="0.2">
      <c r="A50" s="555" t="s">
        <v>101</v>
      </c>
      <c r="B50" s="44"/>
      <c r="C50" s="673" t="s">
        <v>527</v>
      </c>
      <c r="D50" s="210" t="s">
        <v>207</v>
      </c>
      <c r="E50" s="210" t="s">
        <v>175</v>
      </c>
      <c r="F50" s="56">
        <v>16113</v>
      </c>
      <c r="G50" s="59">
        <f t="shared" si="11"/>
        <v>8056.5</v>
      </c>
      <c r="H50" s="59"/>
      <c r="I50" s="59"/>
      <c r="J50" s="56"/>
      <c r="K50" s="56"/>
      <c r="L50" s="56"/>
      <c r="M50" s="56"/>
      <c r="N50" s="56"/>
      <c r="O50" s="56"/>
      <c r="P50" s="56"/>
      <c r="Q50" s="56"/>
      <c r="R50" s="56"/>
      <c r="S50" s="56"/>
      <c r="T50" s="56"/>
      <c r="U50" s="56"/>
      <c r="V50" s="56">
        <v>402.82</v>
      </c>
      <c r="W50" s="56">
        <v>402.83</v>
      </c>
      <c r="X50" s="56">
        <f t="shared" si="12"/>
        <v>1450.1699999999998</v>
      </c>
      <c r="Y50" s="54">
        <f t="shared" si="13"/>
        <v>1933.56</v>
      </c>
      <c r="Z50" s="55">
        <v>3103.78</v>
      </c>
      <c r="AA50" s="55"/>
      <c r="AB50" s="55"/>
      <c r="AC50" s="55"/>
      <c r="AD50" s="56">
        <v>100</v>
      </c>
      <c r="AE50" s="56">
        <f>G50-SUM(J50:S50)-V50-X50-SUM(Z50:AB50)-T50</f>
        <v>3099.73</v>
      </c>
      <c r="AF50" s="413" t="s">
        <v>101</v>
      </c>
      <c r="AG50" s="557" t="s">
        <v>37</v>
      </c>
      <c r="AH50" s="558" t="s">
        <v>37</v>
      </c>
      <c r="AL50" s="1"/>
    </row>
    <row r="51" spans="1:43" ht="21.95" customHeight="1" x14ac:dyDescent="0.2">
      <c r="A51" s="555" t="s">
        <v>162</v>
      </c>
      <c r="B51" s="44"/>
      <c r="C51" s="32" t="s">
        <v>499</v>
      </c>
      <c r="D51" s="210" t="s">
        <v>207</v>
      </c>
      <c r="E51" s="210" t="s">
        <v>175</v>
      </c>
      <c r="F51" s="58">
        <f>'[1]Reg.2(1-15)'!$G$51</f>
        <v>14521</v>
      </c>
      <c r="G51" s="59">
        <f t="shared" si="11"/>
        <v>7260.5</v>
      </c>
      <c r="H51" s="59"/>
      <c r="I51" s="59"/>
      <c r="J51" s="58"/>
      <c r="K51" s="58"/>
      <c r="L51" s="58"/>
      <c r="M51" s="58"/>
      <c r="N51" s="58"/>
      <c r="O51" s="58"/>
      <c r="P51" s="58"/>
      <c r="Q51" s="58"/>
      <c r="R51" s="58">
        <v>928.83</v>
      </c>
      <c r="S51" s="58"/>
      <c r="T51" s="58"/>
      <c r="U51" s="58"/>
      <c r="V51" s="56">
        <v>363.02</v>
      </c>
      <c r="W51" s="56">
        <v>363.03</v>
      </c>
      <c r="X51" s="58">
        <f t="shared" si="12"/>
        <v>1306.8899999999999</v>
      </c>
      <c r="Y51" s="59">
        <f t="shared" si="13"/>
        <v>1742.52</v>
      </c>
      <c r="Z51" s="61"/>
      <c r="AA51" s="61">
        <v>1189.49</v>
      </c>
      <c r="AB51" s="61"/>
      <c r="AC51" s="61"/>
      <c r="AD51" s="56">
        <v>100</v>
      </c>
      <c r="AE51" s="56">
        <f>G51-SUM(J51:S51)-V51-X51-SUM(Z51:AB51)-T51</f>
        <v>3472.2700000000004</v>
      </c>
      <c r="AF51" s="413" t="s">
        <v>162</v>
      </c>
      <c r="AG51" s="557"/>
      <c r="AH51" s="558"/>
      <c r="AL51" s="1"/>
    </row>
    <row r="52" spans="1:43" s="15" customFormat="1" ht="20.100000000000001" customHeight="1" thickBot="1" x14ac:dyDescent="0.4">
      <c r="A52" s="414" t="s">
        <v>177</v>
      </c>
      <c r="B52" s="44"/>
      <c r="C52" s="32" t="s">
        <v>446</v>
      </c>
      <c r="D52" s="210" t="s">
        <v>207</v>
      </c>
      <c r="E52" s="210" t="s">
        <v>175</v>
      </c>
      <c r="F52" s="470">
        <v>13675</v>
      </c>
      <c r="G52" s="470">
        <f t="shared" si="11"/>
        <v>6837.5</v>
      </c>
      <c r="H52" s="470"/>
      <c r="I52" s="470"/>
      <c r="J52" s="60"/>
      <c r="K52" s="60"/>
      <c r="L52" s="60">
        <v>516.19000000000005</v>
      </c>
      <c r="M52" s="60"/>
      <c r="N52" s="60"/>
      <c r="O52" s="60"/>
      <c r="P52" s="60"/>
      <c r="Q52" s="60"/>
      <c r="R52" s="60"/>
      <c r="S52" s="60"/>
      <c r="T52" s="60"/>
      <c r="U52" s="60"/>
      <c r="V52" s="60">
        <v>341.87</v>
      </c>
      <c r="W52" s="60">
        <v>341.88</v>
      </c>
      <c r="X52" s="60">
        <f t="shared" si="12"/>
        <v>1230.75</v>
      </c>
      <c r="Y52" s="470">
        <f t="shared" si="13"/>
        <v>1641</v>
      </c>
      <c r="Z52" s="60"/>
      <c r="AA52" s="60"/>
      <c r="AB52" s="60"/>
      <c r="AC52" s="60">
        <v>1233.49</v>
      </c>
      <c r="AD52" s="60">
        <v>100</v>
      </c>
      <c r="AE52" s="60">
        <f>G52-SUM(J52:S52)-V52-X52-SUM(Z52:AB52)-T52-AC52</f>
        <v>3515.2</v>
      </c>
      <c r="AF52" s="398" t="s">
        <v>177</v>
      </c>
      <c r="AG52" s="424"/>
      <c r="AH52" s="21"/>
      <c r="AI52" s="100"/>
      <c r="AJ52" s="663"/>
      <c r="AK52" s="663"/>
      <c r="AL52" s="542"/>
    </row>
    <row r="53" spans="1:43" s="15" customFormat="1" ht="20.100000000000001" customHeight="1" thickBot="1" x14ac:dyDescent="0.4">
      <c r="A53" s="555" t="s">
        <v>178</v>
      </c>
      <c r="B53" s="44"/>
      <c r="C53" s="32"/>
      <c r="D53" s="32"/>
      <c r="E53" s="32"/>
      <c r="F53" s="64">
        <f>SUM(F47:F52)</f>
        <v>187532</v>
      </c>
      <c r="G53" s="64">
        <f t="shared" ref="G53:AD53" si="14">SUM(G47:G52)</f>
        <v>93766</v>
      </c>
      <c r="H53" s="64">
        <f t="shared" si="14"/>
        <v>0</v>
      </c>
      <c r="I53" s="64">
        <f>SUM(I47:I52)</f>
        <v>0</v>
      </c>
      <c r="J53" s="64">
        <f t="shared" si="14"/>
        <v>0</v>
      </c>
      <c r="K53" s="64">
        <f t="shared" si="14"/>
        <v>0</v>
      </c>
      <c r="L53" s="64">
        <f t="shared" si="14"/>
        <v>926.71</v>
      </c>
      <c r="M53" s="64">
        <f>SUM(M47:M52)</f>
        <v>0</v>
      </c>
      <c r="N53" s="64">
        <f t="shared" si="14"/>
        <v>0</v>
      </c>
      <c r="O53" s="64">
        <f t="shared" si="14"/>
        <v>0</v>
      </c>
      <c r="P53" s="64">
        <f t="shared" si="14"/>
        <v>150</v>
      </c>
      <c r="Q53" s="64">
        <f t="shared" si="14"/>
        <v>983.33</v>
      </c>
      <c r="R53" s="64">
        <f>SUM(R47:R52)</f>
        <v>3211.08</v>
      </c>
      <c r="S53" s="64">
        <f t="shared" si="14"/>
        <v>2553.13</v>
      </c>
      <c r="T53" s="64">
        <f t="shared" si="14"/>
        <v>0</v>
      </c>
      <c r="U53" s="64">
        <f t="shared" si="14"/>
        <v>0</v>
      </c>
      <c r="V53" s="64">
        <f>SUM(V47:V52)</f>
        <v>4688.2700000000004</v>
      </c>
      <c r="W53" s="64">
        <f>SUM(W47:W52)</f>
        <v>4688.33</v>
      </c>
      <c r="X53" s="64">
        <f t="shared" si="14"/>
        <v>16877.879999999997</v>
      </c>
      <c r="Y53" s="64">
        <f t="shared" si="14"/>
        <v>22503.84</v>
      </c>
      <c r="Z53" s="64">
        <f t="shared" si="14"/>
        <v>6452.7800000000007</v>
      </c>
      <c r="AA53" s="64">
        <f>SUM(AA47:AA52)</f>
        <v>4163.2299999999996</v>
      </c>
      <c r="AB53" s="64">
        <f t="shared" si="14"/>
        <v>0</v>
      </c>
      <c r="AC53" s="64">
        <f t="shared" si="14"/>
        <v>1928.01</v>
      </c>
      <c r="AD53" s="64">
        <f t="shared" si="14"/>
        <v>600</v>
      </c>
      <c r="AE53" s="64">
        <f>SUM(AE47:AE52)</f>
        <v>51831.58</v>
      </c>
      <c r="AF53" s="413" t="s">
        <v>178</v>
      </c>
      <c r="AG53" s="674"/>
      <c r="AH53" s="21"/>
      <c r="AI53" s="100"/>
      <c r="AJ53" s="663"/>
      <c r="AK53" s="663"/>
      <c r="AL53" s="542"/>
    </row>
    <row r="54" spans="1:43" ht="20.100000000000001" customHeight="1" thickTop="1" x14ac:dyDescent="0.2">
      <c r="A54" s="555" t="s">
        <v>179</v>
      </c>
      <c r="B54" s="44"/>
      <c r="C54" s="32"/>
      <c r="D54" s="32"/>
      <c r="E54" s="32"/>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t="s">
        <v>37</v>
      </c>
      <c r="AF54" s="413" t="s">
        <v>179</v>
      </c>
      <c r="AG54" s="534"/>
      <c r="AH54" s="16"/>
    </row>
    <row r="55" spans="1:43" ht="20.100000000000001" customHeight="1" thickBot="1" x14ac:dyDescent="0.25">
      <c r="A55" s="562" t="s">
        <v>180</v>
      </c>
      <c r="B55" s="31" t="s">
        <v>373</v>
      </c>
      <c r="C55" s="34"/>
      <c r="D55" s="34"/>
      <c r="E55" s="34"/>
      <c r="F55" s="478">
        <f t="shared" ref="F55:AD55" si="15">F53+F45+F26</f>
        <v>961343</v>
      </c>
      <c r="G55" s="478">
        <f t="shared" si="15"/>
        <v>480671.5</v>
      </c>
      <c r="H55" s="478">
        <f t="shared" si="15"/>
        <v>0</v>
      </c>
      <c r="I55" s="478">
        <f t="shared" si="15"/>
        <v>0</v>
      </c>
      <c r="J55" s="478">
        <f t="shared" si="15"/>
        <v>0</v>
      </c>
      <c r="K55" s="478">
        <f t="shared" si="15"/>
        <v>0</v>
      </c>
      <c r="L55" s="478">
        <f t="shared" si="15"/>
        <v>6590.9599999999991</v>
      </c>
      <c r="M55" s="478">
        <f t="shared" si="15"/>
        <v>6366.66</v>
      </c>
      <c r="N55" s="478">
        <f t="shared" si="15"/>
        <v>0</v>
      </c>
      <c r="O55" s="478">
        <f t="shared" si="15"/>
        <v>0</v>
      </c>
      <c r="P55" s="478">
        <f t="shared" si="15"/>
        <v>850</v>
      </c>
      <c r="Q55" s="478">
        <f t="shared" si="15"/>
        <v>5900.02</v>
      </c>
      <c r="R55" s="478">
        <f t="shared" si="15"/>
        <v>19138.099999999999</v>
      </c>
      <c r="S55" s="478">
        <f t="shared" si="15"/>
        <v>7370.35</v>
      </c>
      <c r="T55" s="478">
        <f t="shared" si="15"/>
        <v>0</v>
      </c>
      <c r="U55" s="478">
        <f t="shared" si="15"/>
        <v>0</v>
      </c>
      <c r="V55" s="478">
        <f t="shared" si="15"/>
        <v>24033.490000000005</v>
      </c>
      <c r="W55" s="478">
        <f t="shared" si="15"/>
        <v>24033.66</v>
      </c>
      <c r="X55" s="478">
        <f t="shared" si="15"/>
        <v>86520.87</v>
      </c>
      <c r="Y55" s="478">
        <f t="shared" si="15"/>
        <v>115361.15999999997</v>
      </c>
      <c r="Z55" s="478">
        <f t="shared" si="15"/>
        <v>76847.16</v>
      </c>
      <c r="AA55" s="478">
        <f t="shared" si="15"/>
        <v>22415.71</v>
      </c>
      <c r="AB55" s="478">
        <f t="shared" si="15"/>
        <v>6344.08</v>
      </c>
      <c r="AC55" s="478">
        <f>AC53+AC45+AC26</f>
        <v>4047.83</v>
      </c>
      <c r="AD55" s="478">
        <f t="shared" si="15"/>
        <v>3700</v>
      </c>
      <c r="AE55" s="478">
        <f>AE53+AE45+AE26</f>
        <v>214246.27000000002</v>
      </c>
      <c r="AF55" s="563" t="s">
        <v>180</v>
      </c>
      <c r="AG55" s="206"/>
      <c r="AH55" s="548"/>
      <c r="AL55" s="88"/>
    </row>
    <row r="56" spans="1:43" ht="15.75" thickTop="1" x14ac:dyDescent="0.2">
      <c r="AE56" s="35"/>
      <c r="AG56" s="18"/>
      <c r="AP56" s="610"/>
      <c r="AQ56" s="610"/>
    </row>
    <row r="57" spans="1:43" x14ac:dyDescent="0.2">
      <c r="A57" s="889" t="s">
        <v>49</v>
      </c>
      <c r="B57" s="889"/>
      <c r="C57" s="889"/>
      <c r="D57" s="889"/>
      <c r="E57" s="889"/>
      <c r="F57" s="889"/>
      <c r="K57" s="35"/>
      <c r="M57" s="35"/>
      <c r="O57" s="35"/>
      <c r="R57" s="35"/>
      <c r="V57" s="1" t="s">
        <v>50</v>
      </c>
      <c r="AD57" s="889" t="s">
        <v>48</v>
      </c>
      <c r="AE57" s="889"/>
      <c r="AF57" s="889"/>
      <c r="AG57" s="889"/>
    </row>
    <row r="58" spans="1:43" x14ac:dyDescent="0.2">
      <c r="A58" s="889"/>
      <c r="B58" s="889"/>
      <c r="C58" s="889"/>
      <c r="D58" s="889"/>
      <c r="E58" s="889"/>
      <c r="F58" s="889"/>
      <c r="Q58" s="88"/>
      <c r="R58" s="35"/>
      <c r="AB58" s="1" t="s">
        <v>37</v>
      </c>
      <c r="AD58" s="889"/>
      <c r="AE58" s="889"/>
      <c r="AF58" s="889"/>
      <c r="AG58" s="889"/>
    </row>
    <row r="59" spans="1:43" x14ac:dyDescent="0.2">
      <c r="A59" s="889"/>
      <c r="B59" s="889"/>
      <c r="C59" s="889"/>
      <c r="D59" s="889"/>
      <c r="E59" s="889"/>
      <c r="F59" s="889"/>
      <c r="K59" s="488"/>
      <c r="L59" s="488"/>
      <c r="M59" s="488"/>
      <c r="P59" s="488"/>
      <c r="Q59" s="88"/>
      <c r="R59" s="604"/>
      <c r="S59" s="488"/>
      <c r="T59" s="488"/>
      <c r="U59" s="488"/>
      <c r="AD59" s="889"/>
      <c r="AE59" s="889"/>
      <c r="AF59" s="889"/>
      <c r="AG59" s="889"/>
    </row>
    <row r="60" spans="1:43" ht="15.75" x14ac:dyDescent="0.25">
      <c r="K60" s="201"/>
      <c r="L60" s="201"/>
      <c r="Q60" s="88"/>
      <c r="R60" s="35"/>
      <c r="W60" s="721" t="s">
        <v>673</v>
      </c>
      <c r="X60" s="721"/>
      <c r="Y60" s="721"/>
      <c r="AD60" s="966"/>
      <c r="AE60" s="966"/>
      <c r="AF60" s="966"/>
      <c r="AG60" s="966"/>
    </row>
    <row r="61" spans="1:43" ht="15.75" x14ac:dyDescent="0.25">
      <c r="C61"/>
      <c r="D61" s="657"/>
      <c r="E61" s="615" t="s">
        <v>673</v>
      </c>
      <c r="F61" s="521"/>
      <c r="G61" s="522"/>
      <c r="H61" s="522"/>
      <c r="I61" s="522"/>
      <c r="K61" s="201"/>
      <c r="L61" s="201"/>
      <c r="Q61" s="201"/>
      <c r="W61" s="824" t="s">
        <v>79</v>
      </c>
      <c r="X61" s="824"/>
      <c r="Y61" s="824"/>
      <c r="AD61" s="967"/>
      <c r="AE61" s="967"/>
      <c r="AF61" s="967"/>
      <c r="AG61" s="967"/>
    </row>
    <row r="62" spans="1:43" x14ac:dyDescent="0.2">
      <c r="D62" s="824" t="s">
        <v>79</v>
      </c>
      <c r="E62" s="824"/>
      <c r="F62" s="824"/>
      <c r="W62" s="824" t="s">
        <v>51</v>
      </c>
      <c r="X62" s="824"/>
      <c r="Y62" s="824"/>
      <c r="AD62" s="967"/>
      <c r="AE62" s="967"/>
      <c r="AF62" s="967"/>
      <c r="AG62" s="967"/>
    </row>
    <row r="63" spans="1:43" x14ac:dyDescent="0.2">
      <c r="AD63" s="967"/>
      <c r="AE63" s="967"/>
      <c r="AF63" s="967"/>
      <c r="AG63" s="967"/>
    </row>
    <row r="64" spans="1:43" x14ac:dyDescent="0.2">
      <c r="A64" s="17" t="s">
        <v>52</v>
      </c>
      <c r="Z64" s="35"/>
    </row>
    <row r="65" spans="1:37" x14ac:dyDescent="0.2">
      <c r="AD65" s="524"/>
      <c r="AE65" s="524"/>
      <c r="AF65" s="524"/>
      <c r="AG65" s="524"/>
    </row>
    <row r="66" spans="1:37" x14ac:dyDescent="0.2">
      <c r="E66" s="1" t="s">
        <v>53</v>
      </c>
      <c r="AD66" s="523"/>
      <c r="AE66" s="1001" t="s">
        <v>111</v>
      </c>
      <c r="AF66" s="1001"/>
      <c r="AG66" s="1001"/>
    </row>
    <row r="67" spans="1:37" x14ac:dyDescent="0.2">
      <c r="AD67" s="524"/>
      <c r="AE67" s="1002" t="s">
        <v>105</v>
      </c>
      <c r="AF67" s="1002"/>
      <c r="AG67" s="1002"/>
    </row>
    <row r="68" spans="1:37" x14ac:dyDescent="0.2">
      <c r="A68" s="17" t="s">
        <v>54</v>
      </c>
      <c r="AD68" s="888" t="s">
        <v>55</v>
      </c>
      <c r="AE68" s="888"/>
      <c r="AF68" s="888"/>
      <c r="AG68" s="888"/>
    </row>
    <row r="69" spans="1:37" x14ac:dyDescent="0.2">
      <c r="AD69" s="888"/>
      <c r="AE69" s="888"/>
      <c r="AF69" s="888"/>
      <c r="AG69" s="888"/>
    </row>
    <row r="70" spans="1:37" x14ac:dyDescent="0.2">
      <c r="C70" s="1" t="s">
        <v>56</v>
      </c>
      <c r="E70" s="1" t="s">
        <v>57</v>
      </c>
      <c r="AD70" s="888"/>
      <c r="AE70" s="888"/>
      <c r="AF70" s="888"/>
      <c r="AG70" s="888"/>
    </row>
    <row r="71" spans="1:37" x14ac:dyDescent="0.2">
      <c r="AD71" s="965"/>
      <c r="AE71" s="965"/>
      <c r="AF71" s="965"/>
      <c r="AG71" s="965"/>
    </row>
    <row r="72" spans="1:37" x14ac:dyDescent="0.2">
      <c r="AD72" s="965"/>
      <c r="AE72" s="965"/>
      <c r="AF72" s="965"/>
      <c r="AG72" s="965"/>
    </row>
    <row r="73" spans="1:37" x14ac:dyDescent="0.2">
      <c r="C73" s="1000" t="s">
        <v>58</v>
      </c>
      <c r="D73" s="1000"/>
      <c r="E73" s="1000"/>
      <c r="AD73" s="525"/>
      <c r="AE73" s="1003" t="s">
        <v>621</v>
      </c>
      <c r="AF73" s="1003"/>
      <c r="AG73" s="1003"/>
      <c r="AH73" s="549"/>
    </row>
    <row r="74" spans="1:37" ht="15.75" x14ac:dyDescent="0.25">
      <c r="AD74" s="675"/>
      <c r="AE74" s="999" t="s">
        <v>185</v>
      </c>
      <c r="AF74" s="999"/>
      <c r="AG74" s="999"/>
      <c r="AI74" s="549"/>
      <c r="AJ74" s="676"/>
      <c r="AK74" s="676"/>
    </row>
    <row r="75" spans="1:37" ht="15.75" x14ac:dyDescent="0.25">
      <c r="AH75" s="549"/>
      <c r="AI75" s="549"/>
      <c r="AJ75" s="676"/>
      <c r="AK75" s="676"/>
    </row>
    <row r="79" spans="1:37" x14ac:dyDescent="0.2">
      <c r="D79" s="539"/>
      <c r="E79" s="539"/>
    </row>
  </sheetData>
  <mergeCells count="58">
    <mergeCell ref="AE74:AG74"/>
    <mergeCell ref="AD68:AG72"/>
    <mergeCell ref="C73:E73"/>
    <mergeCell ref="D12:E12"/>
    <mergeCell ref="D28:E28"/>
    <mergeCell ref="D47:E47"/>
    <mergeCell ref="A57:F59"/>
    <mergeCell ref="AD57:AG63"/>
    <mergeCell ref="W61:Y61"/>
    <mergeCell ref="D62:F62"/>
    <mergeCell ref="W62:Y62"/>
    <mergeCell ref="AE66:AG66"/>
    <mergeCell ref="AE67:AG67"/>
    <mergeCell ref="AE73:AG73"/>
    <mergeCell ref="AD6:AD9"/>
    <mergeCell ref="AG6:AG8"/>
    <mergeCell ref="AH6:AH8"/>
    <mergeCell ref="V7:V9"/>
    <mergeCell ref="W7:W9"/>
    <mergeCell ref="AB7:AB9"/>
    <mergeCell ref="AC7:AC9"/>
    <mergeCell ref="X8:X9"/>
    <mergeCell ref="Y8:Y9"/>
    <mergeCell ref="AB5:AC6"/>
    <mergeCell ref="AE5:AE9"/>
    <mergeCell ref="AF5:AF9"/>
    <mergeCell ref="X5:Y5"/>
    <mergeCell ref="Z5:Z9"/>
    <mergeCell ref="AA5:AA9"/>
    <mergeCell ref="R6:R9"/>
    <mergeCell ref="S6:S9"/>
    <mergeCell ref="F6:F7"/>
    <mergeCell ref="J6:J9"/>
    <mergeCell ref="K6:K9"/>
    <mergeCell ref="L6:L9"/>
    <mergeCell ref="M6:M9"/>
    <mergeCell ref="I6:I9"/>
    <mergeCell ref="A1:AH1"/>
    <mergeCell ref="A2:AH3"/>
    <mergeCell ref="B4:B9"/>
    <mergeCell ref="C4:C9"/>
    <mergeCell ref="D4:E4"/>
    <mergeCell ref="F4:F5"/>
    <mergeCell ref="G4:G7"/>
    <mergeCell ref="H4:H10"/>
    <mergeCell ref="J4:AD4"/>
    <mergeCell ref="D5:D7"/>
    <mergeCell ref="N6:N9"/>
    <mergeCell ref="O6:O9"/>
    <mergeCell ref="E5:E7"/>
    <mergeCell ref="J5:S5"/>
    <mergeCell ref="P6:P9"/>
    <mergeCell ref="Q6:Q9"/>
    <mergeCell ref="T7:U7"/>
    <mergeCell ref="T8:T9"/>
    <mergeCell ref="U8:U9"/>
    <mergeCell ref="X6:Y7"/>
    <mergeCell ref="V5:W6"/>
  </mergeCells>
  <phoneticPr fontId="4" type="noConversion"/>
  <pageMargins left="0.78740157480314965" right="0" top="0.31496062992125984" bottom="0.15748031496062992" header="0.31496062992125984" footer="0.23622047244094491"/>
  <pageSetup paperSize="8" scale="58" orientation="landscape" r:id="rId1"/>
  <colBreaks count="1" manualBreakCount="1">
    <brk id="34" max="1048575" man="1"/>
  </colBreaks>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N95"/>
  <sheetViews>
    <sheetView zoomScale="87" zoomScaleNormal="87" workbookViewId="0">
      <pane xSplit="10" ySplit="11" topLeftCell="W12" activePane="bottomRight" state="frozen"/>
      <selection pane="topRight" activeCell="K1" sqref="K1"/>
      <selection pane="bottomLeft" activeCell="A12" sqref="A12"/>
      <selection pane="bottomRight" activeCell="B61" sqref="B61:B67"/>
    </sheetView>
  </sheetViews>
  <sheetFormatPr defaultColWidth="9.140625" defaultRowHeight="11.25" x14ac:dyDescent="0.2"/>
  <cols>
    <col min="1" max="1" width="3" style="105" customWidth="1"/>
    <col min="2" max="2" width="26.85546875" style="17" customWidth="1"/>
    <col min="3" max="3" width="19.28515625" style="1" customWidth="1"/>
    <col min="4" max="4" width="9.42578125" style="1" customWidth="1"/>
    <col min="5" max="5" width="8.42578125" style="1" customWidth="1"/>
    <col min="6" max="6" width="16.42578125" style="1" customWidth="1"/>
    <col min="7" max="7" width="15.28515625" style="1" customWidth="1"/>
    <col min="8" max="8" width="9.42578125" style="1" hidden="1" customWidth="1"/>
    <col min="9" max="9" width="2.42578125" style="1" hidden="1" customWidth="1"/>
    <col min="10" max="10" width="3.42578125" style="1" hidden="1" customWidth="1"/>
    <col min="11" max="11" width="13.42578125" style="1" customWidth="1"/>
    <col min="12" max="12" width="10.85546875" style="1" customWidth="1"/>
    <col min="13" max="13" width="9.42578125" style="1" hidden="1" customWidth="1"/>
    <col min="14" max="14" width="11.28515625" style="1" customWidth="1"/>
    <col min="15" max="15" width="11.140625" style="1" customWidth="1"/>
    <col min="16" max="16" width="9.85546875" style="1" hidden="1" customWidth="1"/>
    <col min="17" max="17" width="12.7109375" style="1" customWidth="1"/>
    <col min="18" max="18" width="11.85546875" style="1" customWidth="1"/>
    <col min="19" max="19" width="11.42578125" style="1" customWidth="1"/>
    <col min="20" max="20" width="11.42578125" style="1" hidden="1" customWidth="1"/>
    <col min="21" max="21" width="12.28515625" style="1" customWidth="1"/>
    <col min="22" max="23" width="12.42578125" style="1" customWidth="1"/>
    <col min="24" max="24" width="11.140625" style="1" hidden="1" customWidth="1"/>
    <col min="25" max="26" width="13.7109375" style="1" customWidth="1"/>
    <col min="27" max="27" width="12.42578125" style="1" customWidth="1"/>
    <col min="28" max="28" width="12.140625" style="1" customWidth="1"/>
    <col min="29" max="29" width="10.7109375" style="1" customWidth="1"/>
    <col min="30" max="30" width="7.7109375" style="1" hidden="1" customWidth="1"/>
    <col min="31" max="31" width="11.140625" style="1" customWidth="1"/>
    <col min="32" max="32" width="14" style="1" customWidth="1"/>
    <col min="33" max="33" width="3.28515625" style="1" customWidth="1"/>
    <col min="34" max="34" width="16.140625" style="1" customWidth="1"/>
    <col min="35" max="35" width="8" style="1" customWidth="1"/>
    <col min="36" max="36" width="11.7109375" style="1" customWidth="1"/>
    <col min="37" max="37" width="9.85546875" style="1" bestFit="1" customWidth="1"/>
    <col min="38" max="16384" width="9.140625" style="1"/>
  </cols>
  <sheetData>
    <row r="1" spans="1:40"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3"/>
      <c r="AI1" s="863"/>
    </row>
    <row r="2" spans="1:40" x14ac:dyDescent="0.2">
      <c r="A2" s="945" t="s">
        <v>60</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c r="AH2" s="945"/>
      <c r="AI2" s="945"/>
    </row>
    <row r="3" spans="1:40"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c r="AH3" s="946"/>
      <c r="AI3" s="946"/>
    </row>
    <row r="4" spans="1:40" s="4" customFormat="1" ht="24" customHeight="1" thickTop="1" x14ac:dyDescent="0.15">
      <c r="A4" s="866" t="s">
        <v>1</v>
      </c>
      <c r="B4" s="1006" t="s">
        <v>2</v>
      </c>
      <c r="C4" s="948" t="s">
        <v>3</v>
      </c>
      <c r="D4" s="871" t="s">
        <v>4</v>
      </c>
      <c r="E4" s="871"/>
      <c r="F4" s="1007"/>
      <c r="G4" s="866" t="s">
        <v>5</v>
      </c>
      <c r="H4" s="704"/>
      <c r="I4" s="705"/>
      <c r="J4" s="706"/>
      <c r="K4" s="988" t="s">
        <v>6</v>
      </c>
      <c r="L4" s="988"/>
      <c r="M4" s="988"/>
      <c r="N4" s="988"/>
      <c r="O4" s="988"/>
      <c r="P4" s="988"/>
      <c r="Q4" s="988"/>
      <c r="R4" s="988"/>
      <c r="S4" s="988"/>
      <c r="T4" s="706"/>
      <c r="U4" s="706"/>
      <c r="V4" s="705"/>
      <c r="W4" s="705"/>
      <c r="X4" s="705"/>
      <c r="Y4" s="705"/>
      <c r="Z4" s="705"/>
      <c r="AA4" s="705"/>
      <c r="AB4" s="705"/>
      <c r="AC4" s="707"/>
      <c r="AD4" s="707"/>
      <c r="AE4" s="708"/>
      <c r="AF4" s="3"/>
      <c r="AG4" s="3"/>
      <c r="AH4" s="3"/>
      <c r="AI4" s="3"/>
    </row>
    <row r="5" spans="1:40" s="8" customFormat="1" ht="13.5" customHeight="1" thickBot="1" x14ac:dyDescent="0.2">
      <c r="A5" s="1005"/>
      <c r="B5" s="869"/>
      <c r="C5" s="949"/>
      <c r="D5" s="851" t="s">
        <v>7</v>
      </c>
      <c r="E5" s="852" t="s">
        <v>8</v>
      </c>
      <c r="F5" s="1008"/>
      <c r="G5" s="874"/>
      <c r="H5" s="856" t="s">
        <v>9</v>
      </c>
      <c r="I5" s="856" t="s">
        <v>10</v>
      </c>
      <c r="J5" s="703"/>
      <c r="K5" s="1004" t="s">
        <v>240</v>
      </c>
      <c r="L5" s="1004"/>
      <c r="M5" s="1004"/>
      <c r="N5" s="1004"/>
      <c r="O5" s="1004"/>
      <c r="P5" s="1004"/>
      <c r="Q5" s="1004"/>
      <c r="R5" s="1004"/>
      <c r="S5" s="1004"/>
      <c r="T5" s="699" t="s">
        <v>615</v>
      </c>
      <c r="U5" s="1023" t="s">
        <v>525</v>
      </c>
      <c r="V5" s="1021" t="s">
        <v>230</v>
      </c>
      <c r="W5" s="1022"/>
      <c r="X5" s="677"/>
      <c r="Y5" s="1019" t="s">
        <v>238</v>
      </c>
      <c r="Z5" s="1020"/>
      <c r="AA5" s="972" t="s">
        <v>12</v>
      </c>
      <c r="AB5" s="972" t="s">
        <v>183</v>
      </c>
      <c r="AC5" s="971" t="s">
        <v>584</v>
      </c>
      <c r="AD5" s="995"/>
      <c r="AE5" s="678" t="s">
        <v>238</v>
      </c>
      <c r="AF5" s="838" t="s">
        <v>14</v>
      </c>
      <c r="AG5" s="842" t="s">
        <v>15</v>
      </c>
      <c r="AH5" s="7"/>
      <c r="AI5" s="7"/>
    </row>
    <row r="6" spans="1:40" s="8" customFormat="1" ht="13.5" customHeight="1" thickTop="1" x14ac:dyDescent="0.15">
      <c r="A6" s="1005"/>
      <c r="B6" s="869"/>
      <c r="C6" s="949"/>
      <c r="D6" s="867"/>
      <c r="E6" s="867"/>
      <c r="F6" s="973" t="s">
        <v>610</v>
      </c>
      <c r="G6" s="839"/>
      <c r="H6" s="857"/>
      <c r="I6" s="859"/>
      <c r="J6" s="931" t="s">
        <v>239</v>
      </c>
      <c r="K6" s="1012" t="s">
        <v>233</v>
      </c>
      <c r="L6" s="859" t="s">
        <v>241</v>
      </c>
      <c r="M6" s="856" t="s">
        <v>234</v>
      </c>
      <c r="N6" s="1009" t="s">
        <v>664</v>
      </c>
      <c r="O6" s="900" t="s">
        <v>590</v>
      </c>
      <c r="P6" s="900" t="s">
        <v>591</v>
      </c>
      <c r="Q6" s="900" t="s">
        <v>549</v>
      </c>
      <c r="R6" s="900" t="s">
        <v>585</v>
      </c>
      <c r="S6" s="985" t="s">
        <v>514</v>
      </c>
      <c r="T6" s="699"/>
      <c r="U6" s="1024"/>
      <c r="V6" s="1021"/>
      <c r="W6" s="1022"/>
      <c r="X6" s="679"/>
      <c r="Y6" s="1009" t="s">
        <v>232</v>
      </c>
      <c r="Z6" s="1014"/>
      <c r="AA6" s="857"/>
      <c r="AB6" s="857"/>
      <c r="AC6" s="1018"/>
      <c r="AD6" s="977"/>
      <c r="AE6" s="1017" t="s">
        <v>32</v>
      </c>
      <c r="AF6" s="838"/>
      <c r="AG6" s="842"/>
      <c r="AH6" s="838" t="s">
        <v>25</v>
      </c>
      <c r="AI6" s="838" t="s">
        <v>26</v>
      </c>
    </row>
    <row r="7" spans="1:40" s="8" customFormat="1" ht="13.5" customHeight="1" x14ac:dyDescent="0.15">
      <c r="A7" s="1005"/>
      <c r="B7" s="869"/>
      <c r="C7" s="949"/>
      <c r="D7" s="867"/>
      <c r="E7" s="867"/>
      <c r="F7" s="974"/>
      <c r="G7" s="839"/>
      <c r="H7" s="858"/>
      <c r="I7" s="858"/>
      <c r="J7" s="1011"/>
      <c r="K7" s="1012"/>
      <c r="L7" s="886"/>
      <c r="M7" s="859"/>
      <c r="N7" s="1010"/>
      <c r="O7" s="900"/>
      <c r="P7" s="900"/>
      <c r="Q7" s="900"/>
      <c r="R7" s="900"/>
      <c r="S7" s="900"/>
      <c r="T7" s="696"/>
      <c r="U7" s="1024"/>
      <c r="V7" s="938" t="s">
        <v>27</v>
      </c>
      <c r="W7" s="859" t="s">
        <v>28</v>
      </c>
      <c r="X7" s="859" t="s">
        <v>592</v>
      </c>
      <c r="Y7" s="1015"/>
      <c r="Z7" s="1016"/>
      <c r="AA7" s="857"/>
      <c r="AB7" s="857"/>
      <c r="AC7" s="972" t="s">
        <v>23</v>
      </c>
      <c r="AD7" s="972" t="s">
        <v>30</v>
      </c>
      <c r="AE7" s="1011"/>
      <c r="AF7" s="838"/>
      <c r="AG7" s="842"/>
      <c r="AH7" s="970"/>
      <c r="AI7" s="838"/>
    </row>
    <row r="8" spans="1:40" s="8" customFormat="1" ht="13.5" customHeight="1" x14ac:dyDescent="0.2">
      <c r="A8" s="10"/>
      <c r="B8" s="869"/>
      <c r="C8" s="950"/>
      <c r="D8" s="11"/>
      <c r="E8" s="107"/>
      <c r="F8" s="4"/>
      <c r="G8" s="495"/>
      <c r="H8" s="858"/>
      <c r="I8" s="858"/>
      <c r="J8" s="1011"/>
      <c r="K8" s="1013"/>
      <c r="L8" s="886"/>
      <c r="M8" s="859"/>
      <c r="N8" s="1010"/>
      <c r="O8" s="900"/>
      <c r="P8" s="900"/>
      <c r="Q8" s="900"/>
      <c r="R8" s="900"/>
      <c r="S8" s="900"/>
      <c r="T8" s="697" t="s">
        <v>378</v>
      </c>
      <c r="U8" s="732"/>
      <c r="V8" s="859"/>
      <c r="W8" s="859"/>
      <c r="X8" s="859"/>
      <c r="Y8" s="851" t="s">
        <v>27</v>
      </c>
      <c r="Z8" s="852" t="s">
        <v>33</v>
      </c>
      <c r="AA8" s="857"/>
      <c r="AB8" s="857"/>
      <c r="AC8" s="857"/>
      <c r="AD8" s="857"/>
      <c r="AE8" s="1011"/>
      <c r="AF8" s="838"/>
      <c r="AG8" s="959"/>
      <c r="AH8" s="970"/>
      <c r="AI8" s="838"/>
    </row>
    <row r="9" spans="1:40" s="8" customFormat="1" ht="13.5" customHeight="1" x14ac:dyDescent="0.2">
      <c r="A9" s="10"/>
      <c r="B9" s="869"/>
      <c r="C9" s="950"/>
      <c r="D9" s="11"/>
      <c r="E9" s="107"/>
      <c r="F9" s="4"/>
      <c r="G9" s="495"/>
      <c r="H9" s="7"/>
      <c r="I9" s="7"/>
      <c r="J9" s="1011"/>
      <c r="K9" s="1013"/>
      <c r="L9" s="886"/>
      <c r="M9" s="859"/>
      <c r="N9" s="1010"/>
      <c r="O9" s="900"/>
      <c r="P9" s="900"/>
      <c r="Q9" s="900"/>
      <c r="R9" s="900"/>
      <c r="S9" s="900"/>
      <c r="T9" s="698"/>
      <c r="U9" s="732"/>
      <c r="V9" s="859"/>
      <c r="W9" s="859"/>
      <c r="X9" s="859"/>
      <c r="Y9" s="838"/>
      <c r="Z9" s="853"/>
      <c r="AA9" s="857"/>
      <c r="AB9" s="857"/>
      <c r="AC9" s="857"/>
      <c r="AD9" s="857"/>
      <c r="AE9" s="1011"/>
      <c r="AF9" s="838"/>
      <c r="AG9" s="959"/>
      <c r="AH9" s="7"/>
      <c r="AI9" s="7"/>
    </row>
    <row r="10" spans="1:40" s="15" customFormat="1" ht="13.5" customHeight="1" thickBot="1" x14ac:dyDescent="0.25">
      <c r="A10" s="13">
        <v>1</v>
      </c>
      <c r="B10" s="13">
        <v>2</v>
      </c>
      <c r="C10" s="13">
        <v>3</v>
      </c>
      <c r="D10" s="13">
        <v>4</v>
      </c>
      <c r="E10" s="13">
        <v>5</v>
      </c>
      <c r="F10" s="13">
        <v>6</v>
      </c>
      <c r="G10" s="13">
        <v>7</v>
      </c>
      <c r="H10" s="13">
        <v>8</v>
      </c>
      <c r="I10" s="13">
        <v>9</v>
      </c>
      <c r="J10" s="13">
        <v>11</v>
      </c>
      <c r="K10" s="13">
        <v>8</v>
      </c>
      <c r="L10" s="13">
        <v>9</v>
      </c>
      <c r="M10" s="13">
        <v>9</v>
      </c>
      <c r="N10" s="13">
        <v>10</v>
      </c>
      <c r="O10" s="13">
        <v>11</v>
      </c>
      <c r="P10" s="13">
        <v>12</v>
      </c>
      <c r="Q10" s="13"/>
      <c r="R10" s="13">
        <v>13</v>
      </c>
      <c r="S10" s="13">
        <v>14</v>
      </c>
      <c r="T10" s="13"/>
      <c r="U10" s="13"/>
      <c r="V10" s="13">
        <v>15</v>
      </c>
      <c r="W10" s="13">
        <v>16</v>
      </c>
      <c r="X10" s="13">
        <v>19</v>
      </c>
      <c r="Y10" s="13">
        <v>17</v>
      </c>
      <c r="Z10" s="13">
        <v>18</v>
      </c>
      <c r="AA10" s="13">
        <v>19</v>
      </c>
      <c r="AB10" s="13">
        <v>20</v>
      </c>
      <c r="AC10" s="13">
        <v>21</v>
      </c>
      <c r="AD10" s="13">
        <v>22</v>
      </c>
      <c r="AE10" s="13">
        <v>23</v>
      </c>
      <c r="AF10" s="13">
        <v>24</v>
      </c>
      <c r="AG10" s="13">
        <v>25</v>
      </c>
      <c r="AH10" s="13">
        <v>26</v>
      </c>
      <c r="AI10" s="13">
        <v>27</v>
      </c>
    </row>
    <row r="11" spans="1:40" ht="20.100000000000001" customHeight="1" thickTop="1" x14ac:dyDescent="0.2">
      <c r="A11" s="527"/>
      <c r="B11" s="194" t="s">
        <v>479</v>
      </c>
      <c r="C11" s="210"/>
      <c r="D11" s="210"/>
      <c r="E11" s="210"/>
      <c r="F11" s="26"/>
      <c r="G11" s="26" t="s">
        <v>37</v>
      </c>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5" t="s">
        <v>37</v>
      </c>
      <c r="AH11" s="510"/>
      <c r="AI11" s="546"/>
      <c r="AJ11" s="522"/>
      <c r="AK11" s="522"/>
      <c r="AL11" s="522"/>
      <c r="AM11" s="201"/>
    </row>
    <row r="12" spans="1:40" ht="20.100000000000001" customHeight="1" x14ac:dyDescent="0.2">
      <c r="A12" s="222" t="s">
        <v>38</v>
      </c>
      <c r="B12" s="30"/>
      <c r="C12" s="526" t="s">
        <v>113</v>
      </c>
      <c r="D12" s="935" t="s">
        <v>685</v>
      </c>
      <c r="E12" s="936"/>
      <c r="F12" s="57">
        <f>'[1]Reg.3(1-15)'!$F$12</f>
        <v>109431</v>
      </c>
      <c r="G12" s="57">
        <f t="shared" ref="G12:G33" si="0">F12/2</f>
        <v>54715.5</v>
      </c>
      <c r="H12" s="56"/>
      <c r="I12" s="56"/>
      <c r="J12" s="56"/>
      <c r="K12" s="56"/>
      <c r="L12" s="56"/>
      <c r="M12" s="56"/>
      <c r="N12" s="56"/>
      <c r="O12" s="56"/>
      <c r="P12" s="56"/>
      <c r="Q12" s="56"/>
      <c r="R12" s="56">
        <v>9947.07</v>
      </c>
      <c r="S12" s="56"/>
      <c r="T12" s="56"/>
      <c r="U12" s="56">
        <v>6111.39</v>
      </c>
      <c r="V12" s="56">
        <v>2500</v>
      </c>
      <c r="W12" s="56">
        <v>2500</v>
      </c>
      <c r="X12" s="56"/>
      <c r="Y12" s="56">
        <f t="shared" ref="Y12:Y33" si="1">F12*0.09</f>
        <v>9848.7899999999991</v>
      </c>
      <c r="Z12" s="56">
        <f t="shared" ref="Z12:Z33" si="2">F12*0.12</f>
        <v>13131.72</v>
      </c>
      <c r="AA12" s="56"/>
      <c r="AB12" s="56"/>
      <c r="AC12" s="56">
        <v>2257.52</v>
      </c>
      <c r="AD12" s="56"/>
      <c r="AE12" s="56">
        <v>100</v>
      </c>
      <c r="AF12" s="55">
        <f t="shared" ref="AF12:AF26" si="3">G12-SUM(K12:U12)-V12-Y12-SUM(AA12:AC12)-T12</f>
        <v>24050.73</v>
      </c>
      <c r="AG12" s="502" t="s">
        <v>38</v>
      </c>
      <c r="AH12" s="510"/>
      <c r="AI12" s="546"/>
      <c r="AJ12" s="522"/>
      <c r="AK12" s="522"/>
      <c r="AL12" s="522"/>
      <c r="AM12" s="88"/>
    </row>
    <row r="13" spans="1:40" ht="20.100000000000001" customHeight="1" x14ac:dyDescent="0.2">
      <c r="A13" s="222" t="s">
        <v>127</v>
      </c>
      <c r="B13" s="30"/>
      <c r="C13" s="526" t="s">
        <v>115</v>
      </c>
      <c r="D13" s="210" t="s">
        <v>176</v>
      </c>
      <c r="E13" s="210" t="s">
        <v>175</v>
      </c>
      <c r="F13" s="54">
        <f>'[1]Reg.3(1-15)'!$F$13</f>
        <v>50735</v>
      </c>
      <c r="G13" s="54">
        <f t="shared" si="0"/>
        <v>25367.5</v>
      </c>
      <c r="H13" s="56"/>
      <c r="I13" s="56"/>
      <c r="J13" s="56"/>
      <c r="K13" s="56">
        <v>2840.09</v>
      </c>
      <c r="L13" s="56">
        <v>551.05999999999995</v>
      </c>
      <c r="M13" s="56"/>
      <c r="N13" s="56"/>
      <c r="O13" s="56"/>
      <c r="P13" s="56"/>
      <c r="Q13" s="56"/>
      <c r="R13" s="56"/>
      <c r="S13" s="56"/>
      <c r="T13" s="56"/>
      <c r="U13" s="56">
        <v>2174.08</v>
      </c>
      <c r="V13" s="56">
        <v>1268.3699999999999</v>
      </c>
      <c r="W13" s="56">
        <v>1268.3800000000001</v>
      </c>
      <c r="X13" s="56"/>
      <c r="Y13" s="56">
        <f t="shared" si="1"/>
        <v>4566.1499999999996</v>
      </c>
      <c r="Z13" s="56">
        <f t="shared" si="2"/>
        <v>6088.2</v>
      </c>
      <c r="AA13" s="56"/>
      <c r="AB13" s="56"/>
      <c r="AC13" s="56">
        <v>1280.18</v>
      </c>
      <c r="AD13" s="56"/>
      <c r="AE13" s="56">
        <v>100</v>
      </c>
      <c r="AF13" s="55">
        <f t="shared" si="3"/>
        <v>12687.570000000002</v>
      </c>
      <c r="AG13" s="502" t="s">
        <v>127</v>
      </c>
      <c r="AH13" s="510"/>
      <c r="AI13" s="546"/>
      <c r="AJ13" s="522"/>
      <c r="AK13" s="522"/>
      <c r="AL13" s="522"/>
      <c r="AM13" s="88"/>
    </row>
    <row r="14" spans="1:40" ht="20.100000000000001" customHeight="1" x14ac:dyDescent="0.2">
      <c r="A14" s="222" t="s">
        <v>128</v>
      </c>
      <c r="B14" s="44"/>
      <c r="C14" s="210" t="s">
        <v>638</v>
      </c>
      <c r="D14" s="210" t="s">
        <v>176</v>
      </c>
      <c r="E14" s="210" t="s">
        <v>175</v>
      </c>
      <c r="F14" s="59">
        <v>43996</v>
      </c>
      <c r="G14" s="54">
        <f t="shared" ref="G14:G19" si="4">F14/2</f>
        <v>21998</v>
      </c>
      <c r="H14" s="58"/>
      <c r="I14" s="58"/>
      <c r="J14" s="58"/>
      <c r="K14" s="58"/>
      <c r="L14" s="56"/>
      <c r="M14" s="58"/>
      <c r="N14" s="58"/>
      <c r="O14" s="58"/>
      <c r="P14" s="58"/>
      <c r="Q14" s="58"/>
      <c r="R14" s="58"/>
      <c r="S14" s="58"/>
      <c r="T14" s="58"/>
      <c r="U14" s="56">
        <v>1640.74</v>
      </c>
      <c r="V14" s="56">
        <v>1099.9000000000001</v>
      </c>
      <c r="W14" s="56">
        <v>1099.9000000000001</v>
      </c>
      <c r="X14" s="58"/>
      <c r="Y14" s="56">
        <f t="shared" si="1"/>
        <v>3959.64</v>
      </c>
      <c r="Z14" s="56">
        <f t="shared" si="2"/>
        <v>5279.5199999999995</v>
      </c>
      <c r="AA14" s="58"/>
      <c r="AB14" s="58"/>
      <c r="AC14" s="58"/>
      <c r="AD14" s="58"/>
      <c r="AE14" s="58">
        <v>100</v>
      </c>
      <c r="AF14" s="55">
        <f t="shared" si="3"/>
        <v>15297.719999999998</v>
      </c>
      <c r="AG14" s="502" t="s">
        <v>128</v>
      </c>
      <c r="AH14" s="510"/>
      <c r="AI14" s="546"/>
      <c r="AJ14" s="522"/>
      <c r="AK14" s="522"/>
      <c r="AL14" s="522"/>
      <c r="AM14" s="88"/>
    </row>
    <row r="15" spans="1:40" ht="20.100000000000001" customHeight="1" x14ac:dyDescent="0.2">
      <c r="A15" s="222" t="s">
        <v>129</v>
      </c>
      <c r="B15" s="30"/>
      <c r="C15" s="210" t="s">
        <v>596</v>
      </c>
      <c r="D15" s="210" t="s">
        <v>176</v>
      </c>
      <c r="E15" s="210" t="s">
        <v>175</v>
      </c>
      <c r="F15" s="59">
        <f>'[1]Reg.3(1-15)'!$F$15</f>
        <v>40604</v>
      </c>
      <c r="G15" s="59">
        <f t="shared" si="4"/>
        <v>20302</v>
      </c>
      <c r="H15" s="58"/>
      <c r="I15" s="58"/>
      <c r="J15" s="58"/>
      <c r="K15" s="58"/>
      <c r="L15" s="56"/>
      <c r="M15" s="58"/>
      <c r="N15" s="58"/>
      <c r="O15" s="58"/>
      <c r="P15" s="58"/>
      <c r="Q15" s="58"/>
      <c r="R15" s="58"/>
      <c r="S15" s="58"/>
      <c r="T15" s="58"/>
      <c r="U15" s="56">
        <v>1421.01</v>
      </c>
      <c r="V15" s="56">
        <v>1015.1</v>
      </c>
      <c r="W15" s="56">
        <v>1015.1</v>
      </c>
      <c r="X15" s="58"/>
      <c r="Y15" s="56">
        <f t="shared" si="1"/>
        <v>3654.3599999999997</v>
      </c>
      <c r="Z15" s="56">
        <f t="shared" si="2"/>
        <v>4872.4799999999996</v>
      </c>
      <c r="AA15" s="58"/>
      <c r="AB15" s="58"/>
      <c r="AC15" s="58"/>
      <c r="AD15" s="58"/>
      <c r="AE15" s="58">
        <v>100</v>
      </c>
      <c r="AF15" s="55">
        <f t="shared" si="3"/>
        <v>14211.530000000002</v>
      </c>
      <c r="AG15" s="502" t="s">
        <v>129</v>
      </c>
      <c r="AH15" s="510"/>
      <c r="AI15" s="546"/>
      <c r="AJ15" s="522"/>
      <c r="AK15" s="522"/>
      <c r="AL15" s="522"/>
      <c r="AM15" s="88"/>
      <c r="AN15" s="35"/>
    </row>
    <row r="16" spans="1:40" ht="20.100000000000001" customHeight="1" x14ac:dyDescent="0.2">
      <c r="A16" s="222" t="s">
        <v>130</v>
      </c>
      <c r="B16" s="30"/>
      <c r="C16" s="210" t="s">
        <v>596</v>
      </c>
      <c r="D16" s="210" t="s">
        <v>176</v>
      </c>
      <c r="E16" s="210" t="s">
        <v>175</v>
      </c>
      <c r="F16" s="59">
        <f>'[1]Reg.3(1-15)'!$F$16</f>
        <v>40604</v>
      </c>
      <c r="G16" s="59">
        <f t="shared" si="4"/>
        <v>20302</v>
      </c>
      <c r="H16" s="58"/>
      <c r="I16" s="58"/>
      <c r="J16" s="58"/>
      <c r="K16" s="58"/>
      <c r="L16" s="56">
        <v>785.2</v>
      </c>
      <c r="M16" s="58"/>
      <c r="N16" s="58"/>
      <c r="O16" s="58"/>
      <c r="P16" s="58"/>
      <c r="Q16" s="58"/>
      <c r="R16" s="58"/>
      <c r="S16" s="58"/>
      <c r="T16" s="58"/>
      <c r="U16" s="56">
        <v>1421.01</v>
      </c>
      <c r="V16" s="56">
        <v>1015.1</v>
      </c>
      <c r="W16" s="56">
        <v>1015.1</v>
      </c>
      <c r="X16" s="58"/>
      <c r="Y16" s="56">
        <f t="shared" si="1"/>
        <v>3654.3599999999997</v>
      </c>
      <c r="Z16" s="56">
        <f t="shared" si="2"/>
        <v>4872.4799999999996</v>
      </c>
      <c r="AA16" s="58"/>
      <c r="AB16" s="58"/>
      <c r="AC16" s="58"/>
      <c r="AD16" s="58"/>
      <c r="AE16" s="58">
        <v>100</v>
      </c>
      <c r="AF16" s="55">
        <f t="shared" si="3"/>
        <v>13426.330000000002</v>
      </c>
      <c r="AG16" s="502" t="s">
        <v>130</v>
      </c>
      <c r="AH16" s="510"/>
      <c r="AI16" s="546"/>
      <c r="AJ16" s="522"/>
      <c r="AK16" s="522"/>
      <c r="AL16" s="522"/>
      <c r="AM16" s="201"/>
    </row>
    <row r="17" spans="1:40" ht="20.100000000000001" customHeight="1" x14ac:dyDescent="0.2">
      <c r="A17" s="222" t="s">
        <v>131</v>
      </c>
      <c r="B17" s="30"/>
      <c r="C17" s="210" t="s">
        <v>596</v>
      </c>
      <c r="D17" s="210" t="s">
        <v>176</v>
      </c>
      <c r="E17" s="210" t="s">
        <v>175</v>
      </c>
      <c r="F17" s="59">
        <f>'[1]Reg.3(1-15)'!$F$17</f>
        <v>40604</v>
      </c>
      <c r="G17" s="59">
        <f t="shared" si="4"/>
        <v>20302</v>
      </c>
      <c r="H17" s="58"/>
      <c r="I17" s="58"/>
      <c r="J17" s="58"/>
      <c r="K17" s="58"/>
      <c r="L17" s="56"/>
      <c r="M17" s="58"/>
      <c r="N17" s="58"/>
      <c r="O17" s="58"/>
      <c r="P17" s="58"/>
      <c r="Q17" s="58"/>
      <c r="R17" s="58"/>
      <c r="S17" s="58"/>
      <c r="T17" s="58"/>
      <c r="U17" s="56">
        <v>1421.01</v>
      </c>
      <c r="V17" s="56">
        <v>1015.1</v>
      </c>
      <c r="W17" s="56">
        <v>1015.1</v>
      </c>
      <c r="X17" s="58"/>
      <c r="Y17" s="56">
        <f t="shared" si="1"/>
        <v>3654.3599999999997</v>
      </c>
      <c r="Z17" s="56">
        <f t="shared" si="2"/>
        <v>4872.4799999999996</v>
      </c>
      <c r="AA17" s="58">
        <v>9470.26</v>
      </c>
      <c r="AB17" s="58"/>
      <c r="AC17" s="58"/>
      <c r="AD17" s="58"/>
      <c r="AE17" s="58">
        <v>100</v>
      </c>
      <c r="AF17" s="55">
        <f t="shared" si="3"/>
        <v>4741.2700000000023</v>
      </c>
      <c r="AG17" s="502" t="s">
        <v>131</v>
      </c>
      <c r="AH17" s="510"/>
      <c r="AI17" s="546"/>
      <c r="AJ17" s="522"/>
      <c r="AK17" s="522"/>
      <c r="AL17" s="522"/>
      <c r="AM17" s="201"/>
    </row>
    <row r="18" spans="1:40" ht="20.100000000000001" customHeight="1" x14ac:dyDescent="0.2">
      <c r="A18" s="222" t="s">
        <v>132</v>
      </c>
      <c r="B18" s="30"/>
      <c r="C18" s="210" t="s">
        <v>611</v>
      </c>
      <c r="D18" s="210" t="s">
        <v>176</v>
      </c>
      <c r="E18" s="210" t="s">
        <v>175</v>
      </c>
      <c r="F18" s="59">
        <f>'[1]Reg.3(1-15)'!$F$18</f>
        <v>40604</v>
      </c>
      <c r="G18" s="59">
        <f t="shared" si="4"/>
        <v>20302</v>
      </c>
      <c r="H18" s="58"/>
      <c r="I18" s="58"/>
      <c r="J18" s="58"/>
      <c r="K18" s="58"/>
      <c r="L18" s="56"/>
      <c r="M18" s="58"/>
      <c r="N18" s="58"/>
      <c r="O18" s="58"/>
      <c r="P18" s="58"/>
      <c r="Q18" s="58"/>
      <c r="R18" s="58"/>
      <c r="S18" s="58"/>
      <c r="T18" s="58"/>
      <c r="U18" s="56">
        <v>1421.01</v>
      </c>
      <c r="V18" s="56">
        <v>1015.1</v>
      </c>
      <c r="W18" s="56">
        <v>1015.1</v>
      </c>
      <c r="X18" s="58"/>
      <c r="Y18" s="56">
        <f t="shared" si="1"/>
        <v>3654.3599999999997</v>
      </c>
      <c r="Z18" s="56">
        <f t="shared" si="2"/>
        <v>4872.4799999999996</v>
      </c>
      <c r="AA18" s="58"/>
      <c r="AB18" s="58"/>
      <c r="AC18" s="58"/>
      <c r="AD18" s="58"/>
      <c r="AE18" s="58">
        <v>100</v>
      </c>
      <c r="AF18" s="55">
        <f t="shared" si="3"/>
        <v>14211.530000000002</v>
      </c>
      <c r="AG18" s="502" t="s">
        <v>132</v>
      </c>
      <c r="AH18" s="510"/>
      <c r="AI18" s="546"/>
      <c r="AJ18" s="522"/>
      <c r="AK18" s="522"/>
      <c r="AL18" s="522"/>
      <c r="AM18" s="201"/>
    </row>
    <row r="19" spans="1:40" ht="20.100000000000001" customHeight="1" x14ac:dyDescent="0.2">
      <c r="A19" s="222" t="s">
        <v>133</v>
      </c>
      <c r="B19" s="30"/>
      <c r="C19" s="210" t="s">
        <v>636</v>
      </c>
      <c r="D19" s="210" t="s">
        <v>176</v>
      </c>
      <c r="E19" s="210" t="s">
        <v>175</v>
      </c>
      <c r="F19" s="59">
        <v>37384</v>
      </c>
      <c r="G19" s="59">
        <f t="shared" si="4"/>
        <v>18692</v>
      </c>
      <c r="H19" s="58"/>
      <c r="I19" s="58"/>
      <c r="J19" s="58"/>
      <c r="K19" s="58"/>
      <c r="L19" s="56"/>
      <c r="M19" s="58"/>
      <c r="N19" s="58"/>
      <c r="O19" s="58"/>
      <c r="P19" s="58"/>
      <c r="Q19" s="58"/>
      <c r="R19" s="58"/>
      <c r="S19" s="58"/>
      <c r="T19" s="58"/>
      <c r="U19" s="56">
        <v>1154.9000000000001</v>
      </c>
      <c r="V19" s="56">
        <v>934.6</v>
      </c>
      <c r="W19" s="56">
        <v>934.6</v>
      </c>
      <c r="X19" s="58"/>
      <c r="Y19" s="56">
        <f t="shared" si="1"/>
        <v>3364.56</v>
      </c>
      <c r="Z19" s="56">
        <f t="shared" si="2"/>
        <v>4486.08</v>
      </c>
      <c r="AA19" s="58"/>
      <c r="AB19" s="58"/>
      <c r="AC19" s="58"/>
      <c r="AD19" s="58"/>
      <c r="AE19" s="58">
        <v>100</v>
      </c>
      <c r="AF19" s="55">
        <f t="shared" si="3"/>
        <v>13237.94</v>
      </c>
      <c r="AG19" s="502" t="s">
        <v>133</v>
      </c>
      <c r="AH19" s="510"/>
      <c r="AI19" s="546"/>
      <c r="AJ19" s="522"/>
      <c r="AK19" s="522"/>
      <c r="AL19" s="522"/>
      <c r="AM19" s="201"/>
    </row>
    <row r="20" spans="1:40" ht="20.100000000000001" customHeight="1" x14ac:dyDescent="0.2">
      <c r="A20" s="222" t="s">
        <v>65</v>
      </c>
      <c r="B20" s="30"/>
      <c r="C20" s="210" t="s">
        <v>643</v>
      </c>
      <c r="D20" s="210" t="s">
        <v>176</v>
      </c>
      <c r="E20" s="210" t="s">
        <v>175</v>
      </c>
      <c r="F20" s="59">
        <f>'[1]Reg.3(1-15)'!$F$20</f>
        <v>34421</v>
      </c>
      <c r="G20" s="59">
        <f t="shared" si="0"/>
        <v>17210.5</v>
      </c>
      <c r="H20" s="58"/>
      <c r="I20" s="58"/>
      <c r="J20" s="58"/>
      <c r="K20" s="58">
        <v>1654.52</v>
      </c>
      <c r="L20" s="56"/>
      <c r="M20" s="58"/>
      <c r="N20" s="58"/>
      <c r="O20" s="58"/>
      <c r="P20" s="58"/>
      <c r="Q20" s="58"/>
      <c r="R20" s="58"/>
      <c r="S20" s="58"/>
      <c r="T20" s="58"/>
      <c r="U20" s="56">
        <v>961.4</v>
      </c>
      <c r="V20" s="56">
        <v>860.75</v>
      </c>
      <c r="W20" s="56">
        <v>860.75</v>
      </c>
      <c r="X20" s="58"/>
      <c r="Y20" s="56">
        <f t="shared" si="1"/>
        <v>3097.89</v>
      </c>
      <c r="Z20" s="56">
        <f t="shared" si="2"/>
        <v>4130.5199999999995</v>
      </c>
      <c r="AA20" s="58"/>
      <c r="AB20" s="58"/>
      <c r="AC20" s="58"/>
      <c r="AD20" s="58"/>
      <c r="AE20" s="58">
        <v>100</v>
      </c>
      <c r="AF20" s="55">
        <f t="shared" si="3"/>
        <v>10635.94</v>
      </c>
      <c r="AG20" s="502" t="s">
        <v>65</v>
      </c>
      <c r="AH20" s="510"/>
      <c r="AI20" s="546"/>
      <c r="AJ20" s="522"/>
      <c r="AK20" s="522"/>
      <c r="AL20" s="522"/>
      <c r="AM20" s="201"/>
    </row>
    <row r="21" spans="1:40" ht="20.100000000000001" customHeight="1" x14ac:dyDescent="0.2">
      <c r="A21" s="222" t="s">
        <v>134</v>
      </c>
      <c r="B21" s="30"/>
      <c r="C21" s="32" t="s">
        <v>116</v>
      </c>
      <c r="D21" s="210" t="s">
        <v>176</v>
      </c>
      <c r="E21" s="210" t="s">
        <v>175</v>
      </c>
      <c r="F21" s="54">
        <f>'[1]Reg.3(1-15)'!$F$21</f>
        <v>30308</v>
      </c>
      <c r="G21" s="54">
        <f t="shared" si="0"/>
        <v>15154</v>
      </c>
      <c r="H21" s="58"/>
      <c r="I21" s="58"/>
      <c r="J21" s="58"/>
      <c r="K21" s="58"/>
      <c r="L21" s="56"/>
      <c r="M21" s="58"/>
      <c r="N21" s="58"/>
      <c r="O21" s="58"/>
      <c r="P21" s="58"/>
      <c r="Q21" s="58"/>
      <c r="R21" s="58"/>
      <c r="S21" s="58"/>
      <c r="T21" s="58"/>
      <c r="U21" s="56">
        <v>655.68</v>
      </c>
      <c r="V21" s="56">
        <v>757.7</v>
      </c>
      <c r="W21" s="56">
        <v>757.7</v>
      </c>
      <c r="X21" s="58"/>
      <c r="Y21" s="56">
        <f t="shared" si="1"/>
        <v>2727.72</v>
      </c>
      <c r="Z21" s="56">
        <f t="shared" si="2"/>
        <v>3636.96</v>
      </c>
      <c r="AA21" s="58"/>
      <c r="AB21" s="58"/>
      <c r="AC21" s="58"/>
      <c r="AD21" s="58"/>
      <c r="AE21" s="58">
        <v>100</v>
      </c>
      <c r="AF21" s="55">
        <f t="shared" si="3"/>
        <v>11012.9</v>
      </c>
      <c r="AG21" s="502" t="s">
        <v>134</v>
      </c>
      <c r="AH21" s="510"/>
      <c r="AI21" s="546"/>
      <c r="AJ21" s="522"/>
      <c r="AK21" s="522"/>
      <c r="AL21" s="522"/>
      <c r="AM21" s="201"/>
    </row>
    <row r="22" spans="1:40" ht="20.100000000000001" customHeight="1" x14ac:dyDescent="0.2">
      <c r="A22" s="222" t="s">
        <v>135</v>
      </c>
      <c r="B22" s="30"/>
      <c r="C22" s="32" t="s">
        <v>116</v>
      </c>
      <c r="D22" s="210" t="s">
        <v>176</v>
      </c>
      <c r="E22" s="210" t="s">
        <v>175</v>
      </c>
      <c r="F22" s="54">
        <f>'[1]Reg.3(1-15)'!$F$22</f>
        <v>30308</v>
      </c>
      <c r="G22" s="54">
        <f t="shared" ref="G22" si="5">F22/2</f>
        <v>15154</v>
      </c>
      <c r="H22" s="58"/>
      <c r="I22" s="58"/>
      <c r="J22" s="58"/>
      <c r="K22" s="58"/>
      <c r="L22" s="56"/>
      <c r="M22" s="58"/>
      <c r="N22" s="58"/>
      <c r="O22" s="58"/>
      <c r="P22" s="58"/>
      <c r="Q22" s="58"/>
      <c r="R22" s="56"/>
      <c r="S22" s="58"/>
      <c r="T22" s="58"/>
      <c r="U22" s="56">
        <v>655.68</v>
      </c>
      <c r="V22" s="56">
        <v>757.7</v>
      </c>
      <c r="W22" s="56">
        <v>757.7</v>
      </c>
      <c r="X22" s="58"/>
      <c r="Y22" s="56">
        <f t="shared" si="1"/>
        <v>2727.72</v>
      </c>
      <c r="Z22" s="56">
        <f t="shared" si="2"/>
        <v>3636.96</v>
      </c>
      <c r="AA22" s="58"/>
      <c r="AB22" s="58"/>
      <c r="AC22" s="58"/>
      <c r="AD22" s="58"/>
      <c r="AE22" s="58">
        <v>100</v>
      </c>
      <c r="AF22" s="55">
        <f t="shared" si="3"/>
        <v>11012.9</v>
      </c>
      <c r="AG22" s="502" t="s">
        <v>135</v>
      </c>
      <c r="AH22" s="510"/>
      <c r="AI22" s="546"/>
      <c r="AJ22" s="522"/>
      <c r="AK22" s="522"/>
      <c r="AL22" s="522"/>
      <c r="AM22" s="201"/>
    </row>
    <row r="23" spans="1:40" ht="20.100000000000001" customHeight="1" x14ac:dyDescent="0.2">
      <c r="A23" s="222" t="s">
        <v>136</v>
      </c>
      <c r="B23" s="30"/>
      <c r="C23" s="32" t="s">
        <v>116</v>
      </c>
      <c r="D23" s="210" t="s">
        <v>176</v>
      </c>
      <c r="E23" s="210" t="s">
        <v>175</v>
      </c>
      <c r="F23" s="54">
        <f>'[1]Reg.3(1-15)'!$F$23</f>
        <v>30308</v>
      </c>
      <c r="G23" s="54">
        <f t="shared" ref="G23:G25" si="6">F23/2</f>
        <v>15154</v>
      </c>
      <c r="H23" s="58"/>
      <c r="I23" s="58"/>
      <c r="J23" s="58"/>
      <c r="K23" s="58"/>
      <c r="L23" s="56"/>
      <c r="M23" s="58"/>
      <c r="N23" s="58"/>
      <c r="O23" s="58"/>
      <c r="P23" s="58"/>
      <c r="Q23" s="58"/>
      <c r="R23" s="617"/>
      <c r="S23" s="58"/>
      <c r="T23" s="58"/>
      <c r="U23" s="56">
        <v>655.68</v>
      </c>
      <c r="V23" s="56">
        <v>757.7</v>
      </c>
      <c r="W23" s="56">
        <v>757.7</v>
      </c>
      <c r="X23" s="58"/>
      <c r="Y23" s="56">
        <f t="shared" si="1"/>
        <v>2727.72</v>
      </c>
      <c r="Z23" s="56">
        <f t="shared" si="2"/>
        <v>3636.96</v>
      </c>
      <c r="AA23" s="58"/>
      <c r="AB23" s="58"/>
      <c r="AC23" s="58"/>
      <c r="AD23" s="58"/>
      <c r="AE23" s="58">
        <v>100</v>
      </c>
      <c r="AF23" s="55">
        <f t="shared" si="3"/>
        <v>11012.9</v>
      </c>
      <c r="AG23" s="502" t="s">
        <v>136</v>
      </c>
      <c r="AH23" s="510"/>
      <c r="AI23" s="546"/>
      <c r="AJ23" s="522"/>
      <c r="AK23" s="522"/>
      <c r="AL23" s="522"/>
      <c r="AM23" s="201"/>
    </row>
    <row r="24" spans="1:40" ht="20.100000000000001" customHeight="1" x14ac:dyDescent="0.2">
      <c r="A24" s="222" t="s">
        <v>137</v>
      </c>
      <c r="B24" s="30"/>
      <c r="C24" s="32" t="s">
        <v>116</v>
      </c>
      <c r="D24" s="210" t="s">
        <v>176</v>
      </c>
      <c r="E24" s="210" t="s">
        <v>175</v>
      </c>
      <c r="F24" s="54">
        <f>'[1]Reg.3(1-15)'!$F$24</f>
        <v>30024</v>
      </c>
      <c r="G24" s="54">
        <f t="shared" si="6"/>
        <v>15012</v>
      </c>
      <c r="H24" s="58"/>
      <c r="I24" s="58"/>
      <c r="J24" s="58"/>
      <c r="K24" s="58"/>
      <c r="L24" s="56"/>
      <c r="M24" s="58"/>
      <c r="N24" s="58"/>
      <c r="O24" s="58"/>
      <c r="P24" s="58"/>
      <c r="Q24" s="58"/>
      <c r="R24" s="693"/>
      <c r="S24" s="58"/>
      <c r="T24" s="58"/>
      <c r="U24" s="56">
        <v>634.57000000000005</v>
      </c>
      <c r="V24" s="56">
        <v>750.6</v>
      </c>
      <c r="W24" s="56">
        <v>750.6</v>
      </c>
      <c r="X24" s="58"/>
      <c r="Y24" s="56">
        <f t="shared" si="1"/>
        <v>2702.16</v>
      </c>
      <c r="Z24" s="56">
        <f t="shared" si="2"/>
        <v>3602.8799999999997</v>
      </c>
      <c r="AA24" s="58"/>
      <c r="AB24" s="58"/>
      <c r="AC24" s="58"/>
      <c r="AD24" s="58"/>
      <c r="AE24" s="58">
        <v>100</v>
      </c>
      <c r="AF24" s="55">
        <f t="shared" si="3"/>
        <v>10924.67</v>
      </c>
      <c r="AG24" s="502" t="s">
        <v>137</v>
      </c>
      <c r="AH24" s="510"/>
      <c r="AI24" s="546"/>
      <c r="AJ24" s="522"/>
      <c r="AK24" s="522"/>
      <c r="AL24" s="522"/>
      <c r="AM24" s="201"/>
    </row>
    <row r="25" spans="1:40" ht="20.100000000000001" customHeight="1" x14ac:dyDescent="0.2">
      <c r="A25" s="222" t="s">
        <v>138</v>
      </c>
      <c r="B25" s="30"/>
      <c r="C25" s="32" t="s">
        <v>517</v>
      </c>
      <c r="D25" s="210" t="s">
        <v>176</v>
      </c>
      <c r="E25" s="210" t="s">
        <v>175</v>
      </c>
      <c r="F25" s="54">
        <f>'[1]Reg.3(1-15)'!$F$25</f>
        <v>30308</v>
      </c>
      <c r="G25" s="54">
        <f t="shared" si="6"/>
        <v>15154</v>
      </c>
      <c r="H25" s="58"/>
      <c r="I25" s="58"/>
      <c r="J25" s="58"/>
      <c r="K25" s="58"/>
      <c r="L25" s="56"/>
      <c r="M25" s="58"/>
      <c r="N25" s="58"/>
      <c r="O25" s="58"/>
      <c r="P25" s="58"/>
      <c r="Q25" s="58"/>
      <c r="R25" s="58">
        <v>593.79</v>
      </c>
      <c r="S25" s="58"/>
      <c r="T25" s="58"/>
      <c r="U25" s="56">
        <v>655.68</v>
      </c>
      <c r="V25" s="56">
        <v>757.7</v>
      </c>
      <c r="W25" s="56">
        <v>757.7</v>
      </c>
      <c r="X25" s="58"/>
      <c r="Y25" s="56">
        <f t="shared" si="1"/>
        <v>2727.72</v>
      </c>
      <c r="Z25" s="56">
        <f t="shared" si="2"/>
        <v>3636.96</v>
      </c>
      <c r="AA25" s="58"/>
      <c r="AB25" s="58"/>
      <c r="AC25" s="58"/>
      <c r="AD25" s="58"/>
      <c r="AE25" s="58">
        <v>100</v>
      </c>
      <c r="AF25" s="55">
        <f t="shared" si="3"/>
        <v>10419.11</v>
      </c>
      <c r="AG25" s="502" t="s">
        <v>138</v>
      </c>
      <c r="AH25" s="510"/>
      <c r="AI25" s="546"/>
      <c r="AJ25" s="522"/>
      <c r="AK25" s="522"/>
      <c r="AL25" s="522"/>
      <c r="AM25" s="201"/>
    </row>
    <row r="26" spans="1:40" ht="20.100000000000001" customHeight="1" x14ac:dyDescent="0.2">
      <c r="A26" s="222" t="s">
        <v>139</v>
      </c>
      <c r="B26" s="30"/>
      <c r="C26" s="210" t="s">
        <v>646</v>
      </c>
      <c r="D26" s="210" t="s">
        <v>176</v>
      </c>
      <c r="E26" s="210" t="s">
        <v>175</v>
      </c>
      <c r="F26" s="54">
        <f>'[1]Reg.3(1-15)'!$F$26</f>
        <v>22035</v>
      </c>
      <c r="G26" s="59">
        <f t="shared" ref="G26:G31" si="7">F26/2</f>
        <v>11017.5</v>
      </c>
      <c r="H26" s="58"/>
      <c r="I26" s="58"/>
      <c r="J26" s="58"/>
      <c r="K26" s="58"/>
      <c r="L26" s="56"/>
      <c r="M26" s="58"/>
      <c r="N26" s="58"/>
      <c r="O26" s="58"/>
      <c r="P26" s="58"/>
      <c r="Q26" s="58"/>
      <c r="R26" s="58"/>
      <c r="S26" s="58"/>
      <c r="T26" s="58"/>
      <c r="U26" s="56"/>
      <c r="V26" s="56">
        <v>550.87</v>
      </c>
      <c r="W26" s="56">
        <v>550.88</v>
      </c>
      <c r="X26" s="58"/>
      <c r="Y26" s="56">
        <f t="shared" si="1"/>
        <v>1983.1499999999999</v>
      </c>
      <c r="Z26" s="56">
        <f t="shared" si="2"/>
        <v>2644.2</v>
      </c>
      <c r="AA26" s="56">
        <v>6060.97</v>
      </c>
      <c r="AB26" s="58"/>
      <c r="AC26" s="58"/>
      <c r="AD26" s="58"/>
      <c r="AE26" s="58">
        <v>100</v>
      </c>
      <c r="AF26" s="55">
        <f t="shared" si="3"/>
        <v>2422.5099999999993</v>
      </c>
      <c r="AG26" s="502" t="s">
        <v>139</v>
      </c>
      <c r="AH26" s="510"/>
      <c r="AI26" s="546"/>
      <c r="AJ26" s="522"/>
      <c r="AK26" s="522"/>
      <c r="AL26" s="522"/>
      <c r="AM26" s="201"/>
    </row>
    <row r="27" spans="1:40" ht="20.100000000000001" customHeight="1" x14ac:dyDescent="0.2">
      <c r="A27" s="222" t="s">
        <v>140</v>
      </c>
      <c r="B27" s="30"/>
      <c r="C27" s="32" t="s">
        <v>42</v>
      </c>
      <c r="D27" s="210" t="s">
        <v>176</v>
      </c>
      <c r="E27" s="210" t="s">
        <v>175</v>
      </c>
      <c r="F27" s="54">
        <f>'[1]Reg.3(1-15)'!$F$27</f>
        <v>21642</v>
      </c>
      <c r="G27" s="59">
        <f t="shared" si="7"/>
        <v>10821</v>
      </c>
      <c r="H27" s="58"/>
      <c r="I27" s="58"/>
      <c r="J27" s="58"/>
      <c r="K27" s="58"/>
      <c r="L27" s="56"/>
      <c r="M27" s="58"/>
      <c r="N27" s="58"/>
      <c r="O27" s="58"/>
      <c r="P27" s="58"/>
      <c r="Q27" s="58"/>
      <c r="R27" s="58"/>
      <c r="S27" s="58"/>
      <c r="T27" s="58"/>
      <c r="U27" s="56"/>
      <c r="V27" s="56">
        <v>541.04999999999995</v>
      </c>
      <c r="W27" s="56">
        <v>541.04999999999995</v>
      </c>
      <c r="X27" s="58"/>
      <c r="Y27" s="56">
        <f t="shared" si="1"/>
        <v>1947.78</v>
      </c>
      <c r="Z27" s="56">
        <f t="shared" si="2"/>
        <v>2597.04</v>
      </c>
      <c r="AA27" s="58"/>
      <c r="AB27" s="58"/>
      <c r="AC27" s="58"/>
      <c r="AD27" s="58"/>
      <c r="AE27" s="58">
        <v>100</v>
      </c>
      <c r="AF27" s="55">
        <f t="shared" ref="AF27:AF33" si="8">G27-SUM(K27:S27)-V27-Y27-SUM(AA27:AC27)-T27</f>
        <v>8332.17</v>
      </c>
      <c r="AG27" s="502" t="s">
        <v>140</v>
      </c>
      <c r="AH27" s="510"/>
      <c r="AI27" s="546"/>
      <c r="AJ27" s="522"/>
      <c r="AK27" s="522"/>
      <c r="AL27" s="522"/>
      <c r="AM27" s="201"/>
    </row>
    <row r="28" spans="1:40" ht="20.100000000000001" customHeight="1" x14ac:dyDescent="0.2">
      <c r="A28" s="222" t="s">
        <v>141</v>
      </c>
      <c r="B28" s="30"/>
      <c r="C28" s="32" t="s">
        <v>644</v>
      </c>
      <c r="D28" s="210" t="s">
        <v>176</v>
      </c>
      <c r="E28" s="210" t="s">
        <v>175</v>
      </c>
      <c r="F28" s="59">
        <v>18957</v>
      </c>
      <c r="G28" s="59">
        <f t="shared" si="7"/>
        <v>9478.5</v>
      </c>
      <c r="H28" s="58"/>
      <c r="I28" s="58"/>
      <c r="J28" s="58"/>
      <c r="K28" s="58"/>
      <c r="L28" s="56"/>
      <c r="M28" s="58"/>
      <c r="N28" s="58"/>
      <c r="O28" s="58"/>
      <c r="P28" s="58"/>
      <c r="Q28" s="58"/>
      <c r="R28" s="58"/>
      <c r="S28" s="58"/>
      <c r="T28" s="58"/>
      <c r="U28" s="56"/>
      <c r="V28" s="56">
        <v>473.92</v>
      </c>
      <c r="W28" s="56">
        <v>473.93</v>
      </c>
      <c r="X28" s="58"/>
      <c r="Y28" s="56">
        <f t="shared" si="1"/>
        <v>1706.1299999999999</v>
      </c>
      <c r="Z28" s="56">
        <f t="shared" si="2"/>
        <v>2274.8399999999997</v>
      </c>
      <c r="AA28" s="58"/>
      <c r="AB28" s="58"/>
      <c r="AC28" s="58"/>
      <c r="AD28" s="58"/>
      <c r="AE28" s="58">
        <v>100</v>
      </c>
      <c r="AF28" s="55">
        <f t="shared" si="8"/>
        <v>7298.45</v>
      </c>
      <c r="AG28" s="502" t="s">
        <v>141</v>
      </c>
      <c r="AH28" s="510"/>
      <c r="AI28" s="546"/>
      <c r="AJ28" s="522"/>
      <c r="AK28" s="522"/>
      <c r="AL28" s="522"/>
      <c r="AM28" s="201"/>
    </row>
    <row r="29" spans="1:40" ht="20.100000000000001" customHeight="1" x14ac:dyDescent="0.2">
      <c r="A29" s="222" t="s">
        <v>142</v>
      </c>
      <c r="B29" s="30"/>
      <c r="C29" s="210" t="s">
        <v>645</v>
      </c>
      <c r="D29" s="210" t="s">
        <v>176</v>
      </c>
      <c r="E29" s="210" t="s">
        <v>175</v>
      </c>
      <c r="F29" s="59">
        <v>18957</v>
      </c>
      <c r="G29" s="59">
        <f t="shared" si="7"/>
        <v>9478.5</v>
      </c>
      <c r="H29" s="58"/>
      <c r="I29" s="58"/>
      <c r="J29" s="58"/>
      <c r="K29" s="58"/>
      <c r="L29" s="56"/>
      <c r="M29" s="58"/>
      <c r="N29" s="58"/>
      <c r="O29" s="58"/>
      <c r="P29" s="58"/>
      <c r="Q29" s="58"/>
      <c r="R29" s="58"/>
      <c r="S29" s="58"/>
      <c r="T29" s="58"/>
      <c r="U29" s="56"/>
      <c r="V29" s="56">
        <v>473.92</v>
      </c>
      <c r="W29" s="56">
        <v>473.93</v>
      </c>
      <c r="X29" s="58"/>
      <c r="Y29" s="56">
        <f t="shared" si="1"/>
        <v>1706.1299999999999</v>
      </c>
      <c r="Z29" s="56">
        <f t="shared" si="2"/>
        <v>2274.8399999999997</v>
      </c>
      <c r="AA29" s="58"/>
      <c r="AB29" s="58">
        <v>4982.1400000000003</v>
      </c>
      <c r="AC29" s="58"/>
      <c r="AD29" s="58"/>
      <c r="AE29" s="58">
        <v>100</v>
      </c>
      <c r="AF29" s="55">
        <f t="shared" si="8"/>
        <v>2316.3099999999995</v>
      </c>
      <c r="AG29" s="502" t="s">
        <v>142</v>
      </c>
      <c r="AH29" s="510"/>
      <c r="AI29" s="546"/>
      <c r="AJ29" s="522"/>
      <c r="AK29" s="522"/>
      <c r="AL29" s="522"/>
      <c r="AM29" s="201"/>
    </row>
    <row r="30" spans="1:40" ht="20.100000000000001" customHeight="1" x14ac:dyDescent="0.2">
      <c r="A30" s="222" t="s">
        <v>143</v>
      </c>
      <c r="B30" s="30"/>
      <c r="C30" s="210" t="s">
        <v>446</v>
      </c>
      <c r="D30" s="210" t="s">
        <v>176</v>
      </c>
      <c r="E30" s="210" t="s">
        <v>175</v>
      </c>
      <c r="F30" s="59">
        <f>'[1]Reg.3(1-15)'!$F$30</f>
        <v>17209</v>
      </c>
      <c r="G30" s="59">
        <f t="shared" si="7"/>
        <v>8604.5</v>
      </c>
      <c r="H30" s="58"/>
      <c r="I30" s="58"/>
      <c r="J30" s="58"/>
      <c r="K30" s="58"/>
      <c r="L30" s="56">
        <v>584.69000000000005</v>
      </c>
      <c r="M30" s="58"/>
      <c r="N30" s="58"/>
      <c r="O30" s="58"/>
      <c r="P30" s="58"/>
      <c r="Q30" s="56"/>
      <c r="R30" s="58">
        <v>1497.1</v>
      </c>
      <c r="S30" s="58"/>
      <c r="T30" s="58"/>
      <c r="U30" s="56"/>
      <c r="V30" s="56">
        <v>430.22</v>
      </c>
      <c r="W30" s="56">
        <v>430.23</v>
      </c>
      <c r="X30" s="58"/>
      <c r="Y30" s="56">
        <f t="shared" si="1"/>
        <v>1548.81</v>
      </c>
      <c r="Z30" s="56">
        <f t="shared" si="2"/>
        <v>2065.08</v>
      </c>
      <c r="AA30" s="58"/>
      <c r="AB30" s="58"/>
      <c r="AC30" s="58"/>
      <c r="AD30" s="58"/>
      <c r="AE30" s="58">
        <v>100</v>
      </c>
      <c r="AF30" s="55">
        <f t="shared" si="8"/>
        <v>4543.68</v>
      </c>
      <c r="AG30" s="502" t="s">
        <v>143</v>
      </c>
      <c r="AH30" s="510"/>
      <c r="AI30" s="546"/>
      <c r="AJ30" s="522"/>
      <c r="AK30" s="522"/>
      <c r="AL30" s="522"/>
      <c r="AM30" s="201"/>
    </row>
    <row r="31" spans="1:40" ht="20.100000000000001" customHeight="1" x14ac:dyDescent="0.2">
      <c r="A31" s="222" t="s">
        <v>144</v>
      </c>
      <c r="B31" s="30"/>
      <c r="C31" s="210" t="s">
        <v>64</v>
      </c>
      <c r="D31" s="210" t="s">
        <v>176</v>
      </c>
      <c r="E31" s="210" t="s">
        <v>175</v>
      </c>
      <c r="F31" s="59">
        <v>16833</v>
      </c>
      <c r="G31" s="59">
        <f t="shared" si="7"/>
        <v>8416.5</v>
      </c>
      <c r="H31" s="58"/>
      <c r="I31" s="58"/>
      <c r="J31" s="58"/>
      <c r="K31" s="58"/>
      <c r="L31" s="58">
        <v>655.56</v>
      </c>
      <c r="M31" s="58"/>
      <c r="N31" s="58"/>
      <c r="O31" s="58"/>
      <c r="P31" s="58"/>
      <c r="Q31" s="58"/>
      <c r="R31" s="58"/>
      <c r="S31" s="58"/>
      <c r="T31" s="58"/>
      <c r="U31" s="56"/>
      <c r="V31" s="58">
        <v>420.82</v>
      </c>
      <c r="W31" s="56">
        <v>420.83</v>
      </c>
      <c r="X31" s="58"/>
      <c r="Y31" s="56">
        <f t="shared" si="1"/>
        <v>1514.97</v>
      </c>
      <c r="Z31" s="56">
        <f t="shared" si="2"/>
        <v>2019.96</v>
      </c>
      <c r="AA31" s="58"/>
      <c r="AB31" s="58">
        <v>2973.74</v>
      </c>
      <c r="AC31" s="58"/>
      <c r="AD31" s="58"/>
      <c r="AE31" s="58">
        <v>100</v>
      </c>
      <c r="AF31" s="55">
        <f t="shared" si="8"/>
        <v>2851.4100000000008</v>
      </c>
      <c r="AG31" s="502" t="s">
        <v>144</v>
      </c>
      <c r="AH31" s="510"/>
      <c r="AI31" s="546"/>
      <c r="AJ31" s="522"/>
      <c r="AK31" s="522"/>
      <c r="AL31" s="522"/>
      <c r="AM31" s="201"/>
    </row>
    <row r="32" spans="1:40" ht="20.100000000000001" customHeight="1" x14ac:dyDescent="0.2">
      <c r="A32" s="222" t="s">
        <v>145</v>
      </c>
      <c r="B32" s="30"/>
      <c r="C32" s="210" t="s">
        <v>446</v>
      </c>
      <c r="D32" s="210" t="s">
        <v>176</v>
      </c>
      <c r="E32" s="210" t="s">
        <v>175</v>
      </c>
      <c r="F32" s="54">
        <f>'[1]Reg.3(1-15)'!$F$32</f>
        <v>16088</v>
      </c>
      <c r="G32" s="54">
        <f t="shared" si="0"/>
        <v>8044</v>
      </c>
      <c r="H32" s="56"/>
      <c r="I32" s="56"/>
      <c r="J32" s="56"/>
      <c r="K32" s="56"/>
      <c r="L32" s="56"/>
      <c r="M32" s="56"/>
      <c r="N32" s="56"/>
      <c r="O32" s="56"/>
      <c r="P32" s="56"/>
      <c r="Q32" s="56"/>
      <c r="R32" s="56"/>
      <c r="S32" s="56"/>
      <c r="T32" s="56"/>
      <c r="U32" s="56"/>
      <c r="V32" s="56">
        <v>402.2</v>
      </c>
      <c r="W32" s="56">
        <v>402.2</v>
      </c>
      <c r="X32" s="56"/>
      <c r="Y32" s="56">
        <f t="shared" si="1"/>
        <v>1447.9199999999998</v>
      </c>
      <c r="Z32" s="56">
        <f t="shared" si="2"/>
        <v>1930.56</v>
      </c>
      <c r="AA32" s="56"/>
      <c r="AB32" s="56"/>
      <c r="AC32" s="56"/>
      <c r="AD32" s="56"/>
      <c r="AE32" s="56">
        <v>100</v>
      </c>
      <c r="AF32" s="56">
        <f t="shared" si="8"/>
        <v>6193.88</v>
      </c>
      <c r="AG32" s="502" t="s">
        <v>145</v>
      </c>
      <c r="AH32" s="510"/>
      <c r="AI32" s="546"/>
      <c r="AJ32" s="522"/>
      <c r="AK32" s="522"/>
      <c r="AL32" s="522"/>
      <c r="AM32" s="88"/>
      <c r="AN32" s="35"/>
    </row>
    <row r="33" spans="1:40" ht="20.100000000000001" customHeight="1" thickBot="1" x14ac:dyDescent="0.25">
      <c r="A33" s="222" t="s">
        <v>146</v>
      </c>
      <c r="B33" s="30"/>
      <c r="C33" s="210" t="s">
        <v>446</v>
      </c>
      <c r="D33" s="210" t="s">
        <v>176</v>
      </c>
      <c r="E33" s="210" t="s">
        <v>175</v>
      </c>
      <c r="F33" s="62">
        <v>15852</v>
      </c>
      <c r="G33" s="62">
        <f t="shared" si="0"/>
        <v>7926</v>
      </c>
      <c r="H33" s="61"/>
      <c r="I33" s="61"/>
      <c r="J33" s="61"/>
      <c r="K33" s="61"/>
      <c r="L33" s="61"/>
      <c r="M33" s="61"/>
      <c r="N33" s="61">
        <v>475</v>
      </c>
      <c r="O33" s="61"/>
      <c r="P33" s="61"/>
      <c r="Q33" s="61"/>
      <c r="R33" s="61"/>
      <c r="S33" s="61"/>
      <c r="T33" s="61"/>
      <c r="U33" s="56"/>
      <c r="V33" s="61">
        <v>396.3</v>
      </c>
      <c r="W33" s="61">
        <v>396.3</v>
      </c>
      <c r="X33" s="61"/>
      <c r="Y33" s="61">
        <f t="shared" si="1"/>
        <v>1426.6799999999998</v>
      </c>
      <c r="Z33" s="61">
        <f t="shared" si="2"/>
        <v>1902.24</v>
      </c>
      <c r="AA33" s="61"/>
      <c r="AB33" s="61"/>
      <c r="AC33" s="61"/>
      <c r="AD33" s="61"/>
      <c r="AE33" s="60">
        <v>100</v>
      </c>
      <c r="AF33" s="60">
        <f t="shared" si="8"/>
        <v>5628.02</v>
      </c>
      <c r="AG33" s="502" t="s">
        <v>146</v>
      </c>
      <c r="AH33" s="510"/>
      <c r="AI33" s="546"/>
      <c r="AJ33" s="522"/>
      <c r="AK33" s="522"/>
      <c r="AL33" s="522"/>
      <c r="AM33" s="88"/>
      <c r="AN33" s="35"/>
    </row>
    <row r="34" spans="1:40" ht="20.100000000000001" customHeight="1" thickBot="1" x14ac:dyDescent="0.25">
      <c r="A34" s="222" t="s">
        <v>147</v>
      </c>
      <c r="B34" s="30"/>
      <c r="C34" s="210"/>
      <c r="D34" s="210"/>
      <c r="E34" s="210"/>
      <c r="F34" s="607">
        <f>SUM(F12:F33)</f>
        <v>737212</v>
      </c>
      <c r="G34" s="607">
        <f t="shared" ref="G34:AE34" si="9">SUM(G12:G33)</f>
        <v>368606</v>
      </c>
      <c r="H34" s="607">
        <f t="shared" si="9"/>
        <v>0</v>
      </c>
      <c r="I34" s="607">
        <f t="shared" si="9"/>
        <v>0</v>
      </c>
      <c r="J34" s="607">
        <f t="shared" si="9"/>
        <v>0</v>
      </c>
      <c r="K34" s="607">
        <f t="shared" si="9"/>
        <v>4494.6100000000006</v>
      </c>
      <c r="L34" s="607">
        <f t="shared" si="9"/>
        <v>2576.5100000000002</v>
      </c>
      <c r="M34" s="607">
        <f t="shared" si="9"/>
        <v>0</v>
      </c>
      <c r="N34" s="607">
        <f t="shared" si="9"/>
        <v>475</v>
      </c>
      <c r="O34" s="607">
        <f>SUM(O12:O33)</f>
        <v>0</v>
      </c>
      <c r="P34" s="607">
        <f t="shared" si="9"/>
        <v>0</v>
      </c>
      <c r="Q34" s="607">
        <f>SUM(Q12:Q33)</f>
        <v>0</v>
      </c>
      <c r="R34" s="607">
        <f t="shared" si="9"/>
        <v>12037.960000000001</v>
      </c>
      <c r="S34" s="607">
        <f t="shared" si="9"/>
        <v>0</v>
      </c>
      <c r="T34" s="607">
        <f t="shared" si="9"/>
        <v>0</v>
      </c>
      <c r="U34" s="607">
        <f>SUM(U12:U33)</f>
        <v>20983.840000000004</v>
      </c>
      <c r="V34" s="607">
        <f t="shared" si="9"/>
        <v>18194.720000000005</v>
      </c>
      <c r="W34" s="607">
        <f t="shared" si="9"/>
        <v>18194.780000000006</v>
      </c>
      <c r="X34" s="607">
        <f t="shared" si="9"/>
        <v>0</v>
      </c>
      <c r="Y34" s="607">
        <f t="shared" si="9"/>
        <v>66349.079999999987</v>
      </c>
      <c r="Z34" s="607">
        <f t="shared" si="9"/>
        <v>88465.439999999988</v>
      </c>
      <c r="AA34" s="607">
        <f t="shared" si="9"/>
        <v>15531.23</v>
      </c>
      <c r="AB34" s="607">
        <f t="shared" si="9"/>
        <v>7955.88</v>
      </c>
      <c r="AC34" s="607">
        <f t="shared" si="9"/>
        <v>3537.7</v>
      </c>
      <c r="AD34" s="607">
        <f t="shared" si="9"/>
        <v>0</v>
      </c>
      <c r="AE34" s="607">
        <f t="shared" si="9"/>
        <v>2200</v>
      </c>
      <c r="AF34" s="607">
        <f>SUM(AF12:AF33)</f>
        <v>216469.47000000006</v>
      </c>
      <c r="AG34" s="502" t="s">
        <v>147</v>
      </c>
      <c r="AH34" s="700"/>
      <c r="AI34" s="546"/>
      <c r="AJ34" s="522"/>
      <c r="AK34" s="522"/>
      <c r="AL34" s="522"/>
      <c r="AM34" s="88"/>
      <c r="AN34" s="35"/>
    </row>
    <row r="35" spans="1:40" ht="20.100000000000001" customHeight="1" thickTop="1" x14ac:dyDescent="0.2">
      <c r="A35" s="222" t="s">
        <v>148</v>
      </c>
      <c r="B35" s="567" t="s">
        <v>504</v>
      </c>
      <c r="C35" s="210"/>
      <c r="D35" s="210"/>
      <c r="E35" s="210"/>
      <c r="F35" s="55"/>
      <c r="G35" s="55" t="s">
        <v>37</v>
      </c>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t="s">
        <v>37</v>
      </c>
      <c r="AG35" s="502" t="s">
        <v>148</v>
      </c>
      <c r="AH35" s="203"/>
      <c r="AI35" s="16"/>
    </row>
    <row r="36" spans="1:40" ht="20.100000000000001" customHeight="1" thickBot="1" x14ac:dyDescent="0.25">
      <c r="A36" s="222" t="s">
        <v>149</v>
      </c>
      <c r="B36" s="30"/>
      <c r="C36" s="210" t="s">
        <v>446</v>
      </c>
      <c r="D36" s="935" t="s">
        <v>685</v>
      </c>
      <c r="E36" s="936"/>
      <c r="F36" s="60">
        <f>'[1]Reg.3(1-15)'!$F$36</f>
        <v>13575</v>
      </c>
      <c r="G36" s="470">
        <f>F36/2</f>
        <v>6787.5</v>
      </c>
      <c r="H36" s="60"/>
      <c r="I36" s="60"/>
      <c r="J36" s="60"/>
      <c r="K36" s="60"/>
      <c r="L36" s="60"/>
      <c r="M36" s="60"/>
      <c r="N36" s="60"/>
      <c r="O36" s="60"/>
      <c r="P36" s="60"/>
      <c r="Q36" s="60"/>
      <c r="R36" s="60"/>
      <c r="S36" s="60"/>
      <c r="T36" s="58"/>
      <c r="U36" s="56"/>
      <c r="V36" s="60">
        <v>339.37</v>
      </c>
      <c r="W36" s="56">
        <f>F36*0.025</f>
        <v>339.375</v>
      </c>
      <c r="X36" s="60"/>
      <c r="Y36" s="56">
        <f>F36*0.09</f>
        <v>1221.75</v>
      </c>
      <c r="Z36" s="56">
        <f>F36*0.12</f>
        <v>1629</v>
      </c>
      <c r="AA36" s="56">
        <v>2000</v>
      </c>
      <c r="AB36" s="58"/>
      <c r="AC36" s="60"/>
      <c r="AD36" s="60"/>
      <c r="AE36" s="60">
        <v>100</v>
      </c>
      <c r="AF36" s="55">
        <f>G36-SUM(K36:S36)-V36-Y36-SUM(AA36:AC36)-T36</f>
        <v>3226.38</v>
      </c>
      <c r="AG36" s="502" t="s">
        <v>149</v>
      </c>
      <c r="AH36" s="203"/>
      <c r="AI36" s="16"/>
      <c r="AJ36" s="35"/>
    </row>
    <row r="37" spans="1:40" ht="20.100000000000001" customHeight="1" thickBot="1" x14ac:dyDescent="0.25">
      <c r="A37" s="222" t="s">
        <v>150</v>
      </c>
      <c r="B37" s="30"/>
      <c r="C37" s="210"/>
      <c r="D37" s="210"/>
      <c r="E37" s="210"/>
      <c r="F37" s="472">
        <f>F36</f>
        <v>13575</v>
      </c>
      <c r="G37" s="472">
        <f t="shared" ref="G37:AF37" si="10">G36</f>
        <v>6787.5</v>
      </c>
      <c r="H37" s="472">
        <f t="shared" si="10"/>
        <v>0</v>
      </c>
      <c r="I37" s="472">
        <f t="shared" si="10"/>
        <v>0</v>
      </c>
      <c r="J37" s="472">
        <f t="shared" si="10"/>
        <v>0</v>
      </c>
      <c r="K37" s="472">
        <f t="shared" si="10"/>
        <v>0</v>
      </c>
      <c r="L37" s="472">
        <f t="shared" si="10"/>
        <v>0</v>
      </c>
      <c r="M37" s="472">
        <f t="shared" si="10"/>
        <v>0</v>
      </c>
      <c r="N37" s="472">
        <f t="shared" si="10"/>
        <v>0</v>
      </c>
      <c r="O37" s="472">
        <f t="shared" si="10"/>
        <v>0</v>
      </c>
      <c r="P37" s="472">
        <f t="shared" si="10"/>
        <v>0</v>
      </c>
      <c r="Q37" s="472">
        <f t="shared" si="10"/>
        <v>0</v>
      </c>
      <c r="R37" s="472">
        <f t="shared" si="10"/>
        <v>0</v>
      </c>
      <c r="S37" s="472">
        <f t="shared" si="10"/>
        <v>0</v>
      </c>
      <c r="T37" s="472">
        <f t="shared" si="10"/>
        <v>0</v>
      </c>
      <c r="U37" s="472">
        <f t="shared" si="10"/>
        <v>0</v>
      </c>
      <c r="V37" s="472">
        <f t="shared" si="10"/>
        <v>339.37</v>
      </c>
      <c r="W37" s="472">
        <f t="shared" si="10"/>
        <v>339.375</v>
      </c>
      <c r="X37" s="472">
        <f t="shared" si="10"/>
        <v>0</v>
      </c>
      <c r="Y37" s="472">
        <f t="shared" si="10"/>
        <v>1221.75</v>
      </c>
      <c r="Z37" s="472">
        <f t="shared" si="10"/>
        <v>1629</v>
      </c>
      <c r="AA37" s="472">
        <f t="shared" si="10"/>
        <v>2000</v>
      </c>
      <c r="AB37" s="472">
        <f t="shared" si="10"/>
        <v>0</v>
      </c>
      <c r="AC37" s="472">
        <f t="shared" si="10"/>
        <v>0</v>
      </c>
      <c r="AD37" s="472">
        <f t="shared" si="10"/>
        <v>0</v>
      </c>
      <c r="AE37" s="472">
        <f t="shared" si="10"/>
        <v>100</v>
      </c>
      <c r="AF37" s="472">
        <f t="shared" si="10"/>
        <v>3226.38</v>
      </c>
      <c r="AG37" s="502" t="s">
        <v>150</v>
      </c>
      <c r="AH37" s="570"/>
      <c r="AI37" s="546"/>
      <c r="AJ37" s="522"/>
      <c r="AK37" s="522"/>
      <c r="AL37" s="522"/>
      <c r="AM37" s="201"/>
    </row>
    <row r="38" spans="1:40" ht="20.100000000000001" customHeight="1" thickTop="1" x14ac:dyDescent="0.2">
      <c r="A38" s="222" t="s">
        <v>151</v>
      </c>
      <c r="B38" s="194" t="s">
        <v>503</v>
      </c>
      <c r="C38" s="210"/>
      <c r="D38" s="210"/>
      <c r="E38" s="210"/>
      <c r="F38" s="55"/>
      <c r="G38" s="55" t="s">
        <v>37</v>
      </c>
      <c r="H38" s="58"/>
      <c r="I38" s="58"/>
      <c r="J38" s="58"/>
      <c r="K38" s="58"/>
      <c r="L38" s="58"/>
      <c r="M38" s="58"/>
      <c r="N38" s="58"/>
      <c r="O38" s="58"/>
      <c r="P38" s="58"/>
      <c r="Q38" s="58"/>
      <c r="R38" s="58"/>
      <c r="S38" s="58"/>
      <c r="T38" s="58"/>
      <c r="U38" s="58"/>
      <c r="V38" s="58"/>
      <c r="W38" s="58"/>
      <c r="X38" s="58"/>
      <c r="Y38" s="58"/>
      <c r="Z38" s="58"/>
      <c r="AA38" s="58"/>
      <c r="AB38" s="58"/>
      <c r="AC38" s="58"/>
      <c r="AD38" s="58"/>
      <c r="AE38" s="484"/>
      <c r="AF38" s="680"/>
      <c r="AG38" s="502" t="s">
        <v>151</v>
      </c>
      <c r="AH38" s="510"/>
      <c r="AI38" s="22"/>
      <c r="AM38" s="201"/>
    </row>
    <row r="39" spans="1:40" s="15" customFormat="1" ht="20.100000000000001" customHeight="1" thickBot="1" x14ac:dyDescent="0.35">
      <c r="A39" s="222" t="s">
        <v>152</v>
      </c>
      <c r="B39" s="30"/>
      <c r="C39" s="210" t="s">
        <v>446</v>
      </c>
      <c r="D39" s="935" t="s">
        <v>685</v>
      </c>
      <c r="E39" s="936"/>
      <c r="F39" s="470">
        <f>'[1]Reg.3(1-15)'!$F$39</f>
        <v>13675</v>
      </c>
      <c r="G39" s="470">
        <f>F39/2</f>
        <v>6837.5</v>
      </c>
      <c r="H39" s="60"/>
      <c r="I39" s="60"/>
      <c r="J39" s="60"/>
      <c r="K39" s="60"/>
      <c r="L39" s="60"/>
      <c r="M39" s="60"/>
      <c r="N39" s="60"/>
      <c r="O39" s="60"/>
      <c r="P39" s="60"/>
      <c r="Q39" s="60">
        <v>1966.67</v>
      </c>
      <c r="R39" s="60">
        <v>658.45</v>
      </c>
      <c r="S39" s="60"/>
      <c r="T39" s="60"/>
      <c r="U39" s="60"/>
      <c r="V39" s="60">
        <v>341.87</v>
      </c>
      <c r="W39" s="60">
        <v>341.88</v>
      </c>
      <c r="X39" s="60"/>
      <c r="Y39" s="60">
        <f>F39*0.09</f>
        <v>1230.75</v>
      </c>
      <c r="Z39" s="60">
        <f>F39*0.12</f>
        <v>1641</v>
      </c>
      <c r="AA39" s="60">
        <v>1538.74</v>
      </c>
      <c r="AB39" s="60"/>
      <c r="AC39" s="60"/>
      <c r="AD39" s="60"/>
      <c r="AE39" s="60">
        <v>100</v>
      </c>
      <c r="AF39" s="60">
        <f>G39-SUM(K39:S39)-V39-Y39-SUM(AA39:AC39)-T39</f>
        <v>1101.0200000000002</v>
      </c>
      <c r="AG39" s="502" t="s">
        <v>152</v>
      </c>
      <c r="AH39" s="510"/>
      <c r="AI39" s="21"/>
      <c r="AJ39" s="100"/>
      <c r="AK39" s="100"/>
      <c r="AL39" s="100"/>
      <c r="AM39" s="542"/>
    </row>
    <row r="40" spans="1:40" s="15" customFormat="1" ht="20.100000000000001" customHeight="1" thickBot="1" x14ac:dyDescent="0.35">
      <c r="A40" s="222" t="s">
        <v>153</v>
      </c>
      <c r="B40" s="30"/>
      <c r="C40" s="210"/>
      <c r="D40" s="210"/>
      <c r="E40" s="210"/>
      <c r="F40" s="477">
        <f t="shared" ref="F40:AF40" si="11">SUM(F39:F39)</f>
        <v>13675</v>
      </c>
      <c r="G40" s="477">
        <f t="shared" si="11"/>
        <v>6837.5</v>
      </c>
      <c r="H40" s="477">
        <f t="shared" si="11"/>
        <v>0</v>
      </c>
      <c r="I40" s="477">
        <f t="shared" si="11"/>
        <v>0</v>
      </c>
      <c r="J40" s="477">
        <f t="shared" si="11"/>
        <v>0</v>
      </c>
      <c r="K40" s="477">
        <f t="shared" si="11"/>
        <v>0</v>
      </c>
      <c r="L40" s="477">
        <f t="shared" si="11"/>
        <v>0</v>
      </c>
      <c r="M40" s="477">
        <f t="shared" si="11"/>
        <v>0</v>
      </c>
      <c r="N40" s="477">
        <f t="shared" si="11"/>
        <v>0</v>
      </c>
      <c r="O40" s="477">
        <f t="shared" si="11"/>
        <v>0</v>
      </c>
      <c r="P40" s="477">
        <f t="shared" si="11"/>
        <v>0</v>
      </c>
      <c r="Q40" s="477">
        <f t="shared" si="11"/>
        <v>1966.67</v>
      </c>
      <c r="R40" s="477">
        <f t="shared" si="11"/>
        <v>658.45</v>
      </c>
      <c r="S40" s="477">
        <f t="shared" si="11"/>
        <v>0</v>
      </c>
      <c r="T40" s="477">
        <f t="shared" si="11"/>
        <v>0</v>
      </c>
      <c r="U40" s="477">
        <f t="shared" si="11"/>
        <v>0</v>
      </c>
      <c r="V40" s="477">
        <f t="shared" si="11"/>
        <v>341.87</v>
      </c>
      <c r="W40" s="477">
        <f t="shared" si="11"/>
        <v>341.88</v>
      </c>
      <c r="X40" s="477">
        <f t="shared" si="11"/>
        <v>0</v>
      </c>
      <c r="Y40" s="477">
        <f t="shared" si="11"/>
        <v>1230.75</v>
      </c>
      <c r="Z40" s="477">
        <f t="shared" si="11"/>
        <v>1641</v>
      </c>
      <c r="AA40" s="477">
        <f t="shared" si="11"/>
        <v>1538.74</v>
      </c>
      <c r="AB40" s="477">
        <f t="shared" si="11"/>
        <v>0</v>
      </c>
      <c r="AC40" s="477">
        <f t="shared" si="11"/>
        <v>0</v>
      </c>
      <c r="AD40" s="477">
        <f t="shared" si="11"/>
        <v>0</v>
      </c>
      <c r="AE40" s="477">
        <f t="shared" si="11"/>
        <v>100</v>
      </c>
      <c r="AF40" s="477">
        <f t="shared" si="11"/>
        <v>1101.0200000000002</v>
      </c>
      <c r="AG40" s="502" t="s">
        <v>153</v>
      </c>
      <c r="AH40" s="570"/>
      <c r="AI40" s="21"/>
      <c r="AJ40" s="100"/>
      <c r="AK40" s="100"/>
      <c r="AL40" s="100"/>
      <c r="AM40" s="542"/>
    </row>
    <row r="41" spans="1:40" s="15" customFormat="1" ht="20.100000000000001" customHeight="1" thickTop="1" x14ac:dyDescent="0.25">
      <c r="A41" s="222" t="s">
        <v>154</v>
      </c>
      <c r="B41" s="194" t="s">
        <v>485</v>
      </c>
      <c r="C41" s="210"/>
      <c r="D41" s="210"/>
      <c r="E41" s="210"/>
      <c r="F41" s="56"/>
      <c r="G41" s="56"/>
      <c r="H41" s="98"/>
      <c r="I41" s="98"/>
      <c r="J41" s="421"/>
      <c r="K41" s="421"/>
      <c r="L41" s="421"/>
      <c r="M41" s="421"/>
      <c r="N41" s="421"/>
      <c r="O41" s="421"/>
      <c r="P41" s="421"/>
      <c r="Q41" s="421"/>
      <c r="R41" s="421"/>
      <c r="S41" s="421"/>
      <c r="T41" s="421"/>
      <c r="U41" s="421"/>
      <c r="V41" s="421"/>
      <c r="W41" s="421"/>
      <c r="X41" s="421"/>
      <c r="Y41" s="485"/>
      <c r="Z41" s="485"/>
      <c r="AA41" s="421"/>
      <c r="AB41" s="421"/>
      <c r="AC41" s="421"/>
      <c r="AD41" s="421"/>
      <c r="AE41" s="421"/>
      <c r="AF41" s="421"/>
      <c r="AG41" s="502" t="s">
        <v>154</v>
      </c>
      <c r="AH41" s="208"/>
      <c r="AI41" s="22"/>
    </row>
    <row r="42" spans="1:40" s="15" customFormat="1" ht="20.100000000000001" customHeight="1" x14ac:dyDescent="0.25">
      <c r="A42" s="222" t="s">
        <v>155</v>
      </c>
      <c r="B42" s="30"/>
      <c r="C42" s="210" t="s">
        <v>667</v>
      </c>
      <c r="D42" s="935" t="s">
        <v>685</v>
      </c>
      <c r="E42" s="936"/>
      <c r="F42" s="571">
        <v>34855</v>
      </c>
      <c r="G42" s="57">
        <f>F42/2</f>
        <v>17427.5</v>
      </c>
      <c r="H42" s="98"/>
      <c r="I42" s="98"/>
      <c r="J42" s="55"/>
      <c r="K42" s="55"/>
      <c r="L42" s="55"/>
      <c r="M42" s="55"/>
      <c r="N42" s="55"/>
      <c r="O42" s="55"/>
      <c r="P42" s="55"/>
      <c r="Q42" s="55"/>
      <c r="R42" s="55"/>
      <c r="S42" s="55"/>
      <c r="T42" s="55"/>
      <c r="U42" s="56"/>
      <c r="V42" s="56">
        <v>871.37</v>
      </c>
      <c r="W42" s="56">
        <v>871.38</v>
      </c>
      <c r="X42" s="55"/>
      <c r="Y42" s="56">
        <f t="shared" ref="Y42:Y55" si="12">F42*0.09</f>
        <v>3136.95</v>
      </c>
      <c r="Z42" s="56">
        <f t="shared" ref="Z42:Z55" si="13">F42*0.12</f>
        <v>4182.5999999999995</v>
      </c>
      <c r="AA42" s="55"/>
      <c r="AB42" s="55"/>
      <c r="AC42" s="55"/>
      <c r="AD42" s="55"/>
      <c r="AE42" s="55">
        <v>100</v>
      </c>
      <c r="AF42" s="55">
        <f t="shared" ref="AF42:AF55" si="14">G42-SUM(K42:S42)-V42-Y42-SUM(AA42:AC42)-T42</f>
        <v>13419.18</v>
      </c>
      <c r="AG42" s="502" t="s">
        <v>155</v>
      </c>
      <c r="AH42" s="207"/>
      <c r="AI42" s="21"/>
    </row>
    <row r="43" spans="1:40" s="15" customFormat="1" ht="20.100000000000001" customHeight="1" x14ac:dyDescent="0.25">
      <c r="A43" s="222" t="s">
        <v>156</v>
      </c>
      <c r="B43" s="30"/>
      <c r="C43" s="210" t="s">
        <v>123</v>
      </c>
      <c r="D43" s="210" t="s">
        <v>176</v>
      </c>
      <c r="E43" s="210" t="s">
        <v>175</v>
      </c>
      <c r="F43" s="59">
        <f>'[1]Reg.3(1-15)'!$F$43</f>
        <v>19417</v>
      </c>
      <c r="G43" s="59">
        <f>F43/2</f>
        <v>9708.5</v>
      </c>
      <c r="H43" s="98"/>
      <c r="I43" s="98"/>
      <c r="J43" s="61"/>
      <c r="K43" s="58"/>
      <c r="L43" s="58">
        <v>655.56</v>
      </c>
      <c r="M43" s="61"/>
      <c r="N43" s="61">
        <v>1166.6600000000001</v>
      </c>
      <c r="O43" s="61"/>
      <c r="P43" s="61"/>
      <c r="Q43" s="61">
        <v>983.34</v>
      </c>
      <c r="R43" s="61"/>
      <c r="S43" s="61"/>
      <c r="T43" s="61"/>
      <c r="U43" s="56"/>
      <c r="V43" s="61">
        <v>485.42</v>
      </c>
      <c r="W43" s="56">
        <v>485.43</v>
      </c>
      <c r="X43" s="61"/>
      <c r="Y43" s="56">
        <f t="shared" si="12"/>
        <v>1747.53</v>
      </c>
      <c r="Z43" s="56">
        <f t="shared" si="13"/>
        <v>2330.04</v>
      </c>
      <c r="AA43" s="55">
        <v>4205.8900000000003</v>
      </c>
      <c r="AB43" s="61"/>
      <c r="AC43" s="61"/>
      <c r="AD43" s="61"/>
      <c r="AE43" s="61">
        <v>100</v>
      </c>
      <c r="AF43" s="55">
        <f t="shared" si="14"/>
        <v>464.10000000000036</v>
      </c>
      <c r="AG43" s="502" t="s">
        <v>156</v>
      </c>
      <c r="AH43" s="207"/>
      <c r="AI43" s="21"/>
    </row>
    <row r="44" spans="1:40" s="15" customFormat="1" ht="20.100000000000001" customHeight="1" x14ac:dyDescent="0.25">
      <c r="A44" s="222" t="s">
        <v>157</v>
      </c>
      <c r="B44" s="30"/>
      <c r="C44" s="210" t="s">
        <v>124</v>
      </c>
      <c r="D44" s="210" t="s">
        <v>176</v>
      </c>
      <c r="E44" s="210" t="s">
        <v>175</v>
      </c>
      <c r="F44" s="54">
        <f>'[1]Reg.3(1-15)'!$F$44</f>
        <v>18563</v>
      </c>
      <c r="G44" s="54">
        <f t="shared" ref="G44:G55" si="15">F44/2</f>
        <v>9281.5</v>
      </c>
      <c r="H44" s="424"/>
      <c r="I44" s="424"/>
      <c r="J44" s="56"/>
      <c r="K44" s="56">
        <v>951.67</v>
      </c>
      <c r="L44" s="56"/>
      <c r="M44" s="56"/>
      <c r="N44" s="56"/>
      <c r="O44" s="56"/>
      <c r="P44" s="56"/>
      <c r="Q44" s="56"/>
      <c r="R44" s="56"/>
      <c r="S44" s="56"/>
      <c r="T44" s="56"/>
      <c r="U44" s="56"/>
      <c r="V44" s="56">
        <v>464.07</v>
      </c>
      <c r="W44" s="56">
        <v>464.08</v>
      </c>
      <c r="X44" s="56"/>
      <c r="Y44" s="56">
        <f t="shared" si="12"/>
        <v>1670.6699999999998</v>
      </c>
      <c r="Z44" s="56">
        <f t="shared" si="13"/>
        <v>2227.56</v>
      </c>
      <c r="AA44" s="56"/>
      <c r="AB44" s="56"/>
      <c r="AC44" s="56"/>
      <c r="AD44" s="56"/>
      <c r="AE44" s="56">
        <v>100</v>
      </c>
      <c r="AF44" s="55">
        <f t="shared" si="14"/>
        <v>6195.09</v>
      </c>
      <c r="AG44" s="502" t="s">
        <v>157</v>
      </c>
      <c r="AH44" s="207"/>
      <c r="AI44" s="21"/>
    </row>
    <row r="45" spans="1:40" s="15" customFormat="1" ht="21" customHeight="1" x14ac:dyDescent="0.25">
      <c r="A45" s="222" t="s">
        <v>97</v>
      </c>
      <c r="B45" s="30"/>
      <c r="C45" s="210" t="s">
        <v>554</v>
      </c>
      <c r="D45" s="210" t="s">
        <v>176</v>
      </c>
      <c r="E45" s="210" t="s">
        <v>175</v>
      </c>
      <c r="F45" s="54">
        <f>'[1]Reg.3(1-15)'!$F$45</f>
        <v>18396</v>
      </c>
      <c r="G45" s="54">
        <f>F45/2</f>
        <v>9198</v>
      </c>
      <c r="H45" s="98"/>
      <c r="I45" s="98"/>
      <c r="J45" s="61"/>
      <c r="K45" s="61"/>
      <c r="L45" s="61"/>
      <c r="M45" s="56"/>
      <c r="N45" s="56"/>
      <c r="O45" s="56"/>
      <c r="P45" s="56"/>
      <c r="Q45" s="56"/>
      <c r="R45" s="56"/>
      <c r="S45" s="56"/>
      <c r="T45" s="56"/>
      <c r="U45" s="56"/>
      <c r="V45" s="56">
        <v>459.9</v>
      </c>
      <c r="W45" s="56">
        <v>459.9</v>
      </c>
      <c r="X45" s="56"/>
      <c r="Y45" s="56">
        <f t="shared" si="12"/>
        <v>1655.6399999999999</v>
      </c>
      <c r="Z45" s="56">
        <f t="shared" si="13"/>
        <v>2207.52</v>
      </c>
      <c r="AA45" s="56">
        <v>2998.92</v>
      </c>
      <c r="AB45" s="56">
        <v>1500</v>
      </c>
      <c r="AC45" s="56"/>
      <c r="AD45" s="56"/>
      <c r="AE45" s="55">
        <v>100</v>
      </c>
      <c r="AF45" s="55">
        <f t="shared" si="14"/>
        <v>2583.5400000000009</v>
      </c>
      <c r="AG45" s="502" t="s">
        <v>97</v>
      </c>
      <c r="AH45" s="207"/>
      <c r="AI45" s="21"/>
    </row>
    <row r="46" spans="1:40" s="15" customFormat="1" ht="20.100000000000001" customHeight="1" x14ac:dyDescent="0.25">
      <c r="A46" s="222" t="s">
        <v>46</v>
      </c>
      <c r="B46" s="30"/>
      <c r="C46" s="210" t="s">
        <v>124</v>
      </c>
      <c r="D46" s="210" t="s">
        <v>176</v>
      </c>
      <c r="E46" s="210" t="s">
        <v>175</v>
      </c>
      <c r="F46" s="54">
        <f>'[1]Reg.3(1-15)'!$F$46</f>
        <v>16969</v>
      </c>
      <c r="G46" s="54">
        <f t="shared" si="15"/>
        <v>8484.5</v>
      </c>
      <c r="H46" s="424"/>
      <c r="I46" s="424"/>
      <c r="J46" s="56"/>
      <c r="K46" s="56"/>
      <c r="L46" s="56"/>
      <c r="M46" s="56"/>
      <c r="N46" s="56"/>
      <c r="O46" s="56"/>
      <c r="P46" s="56"/>
      <c r="Q46" s="56">
        <v>983.33</v>
      </c>
      <c r="R46" s="56">
        <v>1109.6500000000001</v>
      </c>
      <c r="S46" s="56"/>
      <c r="T46" s="56"/>
      <c r="U46" s="56"/>
      <c r="V46" s="56">
        <v>424.22</v>
      </c>
      <c r="W46" s="56">
        <v>424.23</v>
      </c>
      <c r="X46" s="56"/>
      <c r="Y46" s="56">
        <f t="shared" si="12"/>
        <v>1527.21</v>
      </c>
      <c r="Z46" s="56">
        <f t="shared" si="13"/>
        <v>2036.28</v>
      </c>
      <c r="AA46" s="56"/>
      <c r="AB46" s="56"/>
      <c r="AC46" s="56">
        <v>1435.8</v>
      </c>
      <c r="AD46" s="56"/>
      <c r="AE46" s="56">
        <v>100</v>
      </c>
      <c r="AF46" s="55">
        <f t="shared" si="14"/>
        <v>3004.29</v>
      </c>
      <c r="AG46" s="502" t="s">
        <v>46</v>
      </c>
      <c r="AH46" s="207"/>
      <c r="AI46" s="21"/>
    </row>
    <row r="47" spans="1:40" s="15" customFormat="1" ht="20.100000000000001" customHeight="1" x14ac:dyDescent="0.25">
      <c r="A47" s="222" t="s">
        <v>47</v>
      </c>
      <c r="B47" s="30"/>
      <c r="C47" s="210" t="s">
        <v>124</v>
      </c>
      <c r="D47" s="210" t="s">
        <v>176</v>
      </c>
      <c r="E47" s="210" t="s">
        <v>175</v>
      </c>
      <c r="F47" s="54">
        <f>'[1]Reg.3(1-15)'!$F$47</f>
        <v>16233</v>
      </c>
      <c r="G47" s="54">
        <f t="shared" si="15"/>
        <v>8116.5</v>
      </c>
      <c r="H47" s="424"/>
      <c r="I47" s="424"/>
      <c r="J47" s="56"/>
      <c r="K47" s="56"/>
      <c r="L47" s="56"/>
      <c r="M47" s="56"/>
      <c r="N47" s="56"/>
      <c r="O47" s="56"/>
      <c r="P47" s="56"/>
      <c r="Q47" s="56"/>
      <c r="R47" s="56"/>
      <c r="S47" s="56"/>
      <c r="T47" s="56"/>
      <c r="U47" s="56"/>
      <c r="V47" s="56">
        <v>405.82</v>
      </c>
      <c r="W47" s="56">
        <v>405.83</v>
      </c>
      <c r="X47" s="56"/>
      <c r="Y47" s="56">
        <f t="shared" si="12"/>
        <v>1460.97</v>
      </c>
      <c r="Z47" s="56">
        <f t="shared" si="13"/>
        <v>1947.96</v>
      </c>
      <c r="AA47" s="56"/>
      <c r="AB47" s="56"/>
      <c r="AC47" s="56"/>
      <c r="AD47" s="56"/>
      <c r="AE47" s="56">
        <v>100</v>
      </c>
      <c r="AF47" s="55">
        <f t="shared" si="14"/>
        <v>6249.71</v>
      </c>
      <c r="AG47" s="502" t="s">
        <v>47</v>
      </c>
      <c r="AH47" s="207"/>
      <c r="AI47" s="21"/>
    </row>
    <row r="48" spans="1:40" s="15" customFormat="1" ht="20.100000000000001" customHeight="1" x14ac:dyDescent="0.25">
      <c r="A48" s="222" t="s">
        <v>100</v>
      </c>
      <c r="B48" s="30"/>
      <c r="C48" s="210" t="s">
        <v>124</v>
      </c>
      <c r="D48" s="210" t="s">
        <v>176</v>
      </c>
      <c r="E48" s="210" t="s">
        <v>175</v>
      </c>
      <c r="F48" s="54">
        <v>16113</v>
      </c>
      <c r="G48" s="54">
        <f t="shared" ref="G48" si="16">F48/2</f>
        <v>8056.5</v>
      </c>
      <c r="H48" s="424"/>
      <c r="I48" s="424"/>
      <c r="J48" s="56"/>
      <c r="K48" s="56"/>
      <c r="L48" s="56"/>
      <c r="M48" s="56"/>
      <c r="N48" s="56">
        <v>475</v>
      </c>
      <c r="O48" s="56"/>
      <c r="P48" s="56"/>
      <c r="Q48" s="56"/>
      <c r="R48" s="56">
        <v>476.6</v>
      </c>
      <c r="S48" s="56"/>
      <c r="T48" s="56"/>
      <c r="U48" s="56"/>
      <c r="V48" s="56">
        <v>402.82</v>
      </c>
      <c r="W48" s="56">
        <v>402.83</v>
      </c>
      <c r="X48" s="56"/>
      <c r="Y48" s="56">
        <f t="shared" si="12"/>
        <v>1450.1699999999998</v>
      </c>
      <c r="Z48" s="56">
        <f t="shared" si="13"/>
        <v>1933.56</v>
      </c>
      <c r="AA48" s="56">
        <v>2000</v>
      </c>
      <c r="AB48" s="56"/>
      <c r="AC48" s="56"/>
      <c r="AD48" s="56"/>
      <c r="AE48" s="56">
        <v>100</v>
      </c>
      <c r="AF48" s="55">
        <f t="shared" si="14"/>
        <v>3251.91</v>
      </c>
      <c r="AG48" s="502" t="s">
        <v>100</v>
      </c>
      <c r="AH48" s="207"/>
      <c r="AI48" s="21"/>
    </row>
    <row r="49" spans="1:36" s="15" customFormat="1" ht="20.100000000000001" customHeight="1" x14ac:dyDescent="0.2">
      <c r="A49" s="222" t="s">
        <v>101</v>
      </c>
      <c r="B49" s="30"/>
      <c r="C49" s="210" t="s">
        <v>516</v>
      </c>
      <c r="D49" s="210" t="s">
        <v>176</v>
      </c>
      <c r="E49" s="210" t="s">
        <v>175</v>
      </c>
      <c r="F49" s="54">
        <f>'[1]Reg.3(1-15)'!$F$49</f>
        <v>14521</v>
      </c>
      <c r="G49" s="54">
        <f>F49/2</f>
        <v>7260.5</v>
      </c>
      <c r="H49" s="56"/>
      <c r="I49" s="56"/>
      <c r="J49" s="56"/>
      <c r="K49" s="56"/>
      <c r="L49" s="56"/>
      <c r="M49" s="56"/>
      <c r="N49" s="56"/>
      <c r="O49" s="56"/>
      <c r="P49" s="56"/>
      <c r="Q49" s="56"/>
      <c r="R49" s="56"/>
      <c r="S49" s="56"/>
      <c r="T49" s="56"/>
      <c r="U49" s="56"/>
      <c r="V49" s="56">
        <v>363.02</v>
      </c>
      <c r="W49" s="56">
        <v>363.03</v>
      </c>
      <c r="X49" s="56"/>
      <c r="Y49" s="56">
        <f t="shared" si="12"/>
        <v>1306.8899999999999</v>
      </c>
      <c r="Z49" s="56">
        <f t="shared" si="13"/>
        <v>1742.52</v>
      </c>
      <c r="AA49" s="56">
        <v>2535.56</v>
      </c>
      <c r="AB49" s="56"/>
      <c r="AC49" s="56"/>
      <c r="AD49" s="56"/>
      <c r="AE49" s="56">
        <v>100</v>
      </c>
      <c r="AF49" s="55">
        <f t="shared" si="14"/>
        <v>3055.03</v>
      </c>
      <c r="AG49" s="502" t="s">
        <v>101</v>
      </c>
      <c r="AH49" s="207"/>
      <c r="AI49" s="21"/>
    </row>
    <row r="50" spans="1:36" s="15" customFormat="1" ht="20.100000000000001" customHeight="1" x14ac:dyDescent="0.25">
      <c r="A50" s="222" t="s">
        <v>162</v>
      </c>
      <c r="B50" s="30"/>
      <c r="C50" s="210" t="s">
        <v>516</v>
      </c>
      <c r="D50" s="210" t="s">
        <v>176</v>
      </c>
      <c r="E50" s="210" t="s">
        <v>175</v>
      </c>
      <c r="F50" s="54">
        <f>'[1]Reg.3(1-15)'!$F$50</f>
        <v>14414</v>
      </c>
      <c r="G50" s="54">
        <f t="shared" si="15"/>
        <v>7207</v>
      </c>
      <c r="H50" s="424"/>
      <c r="I50" s="424"/>
      <c r="J50" s="56"/>
      <c r="K50" s="56"/>
      <c r="M50" s="58"/>
      <c r="N50" s="58"/>
      <c r="O50" s="58"/>
      <c r="P50" s="58"/>
      <c r="Q50" s="56"/>
      <c r="R50" s="58"/>
      <c r="S50" s="56"/>
      <c r="T50" s="56"/>
      <c r="U50" s="56"/>
      <c r="V50" s="56">
        <v>360.35</v>
      </c>
      <c r="W50" s="56">
        <v>360.35</v>
      </c>
      <c r="X50" s="56"/>
      <c r="Y50" s="56">
        <f t="shared" si="12"/>
        <v>1297.26</v>
      </c>
      <c r="Z50" s="56">
        <f t="shared" si="13"/>
        <v>1729.6799999999998</v>
      </c>
      <c r="AA50" s="56">
        <v>1500</v>
      </c>
      <c r="AB50" s="56"/>
      <c r="AC50" s="56"/>
      <c r="AD50" s="56"/>
      <c r="AE50" s="56">
        <v>100</v>
      </c>
      <c r="AF50" s="55">
        <f t="shared" si="14"/>
        <v>4049.3899999999994</v>
      </c>
      <c r="AG50" s="502" t="s">
        <v>162</v>
      </c>
      <c r="AH50" s="207"/>
      <c r="AI50" s="21"/>
    </row>
    <row r="51" spans="1:36" s="15" customFormat="1" ht="20.100000000000001" customHeight="1" x14ac:dyDescent="0.25">
      <c r="A51" s="222" t="s">
        <v>177</v>
      </c>
      <c r="B51" s="30"/>
      <c r="C51" s="210" t="s">
        <v>516</v>
      </c>
      <c r="D51" s="210" t="s">
        <v>176</v>
      </c>
      <c r="E51" s="210" t="s">
        <v>175</v>
      </c>
      <c r="F51" s="54">
        <v>14308</v>
      </c>
      <c r="G51" s="54">
        <f t="shared" si="15"/>
        <v>7154</v>
      </c>
      <c r="H51" s="424"/>
      <c r="I51" s="424"/>
      <c r="J51" s="56"/>
      <c r="K51" s="56"/>
      <c r="L51" s="695"/>
      <c r="M51" s="56"/>
      <c r="N51" s="56"/>
      <c r="O51" s="56"/>
      <c r="P51" s="56"/>
      <c r="Q51" s="695"/>
      <c r="R51" s="56">
        <v>423.21</v>
      </c>
      <c r="S51" s="56"/>
      <c r="T51" s="56"/>
      <c r="U51" s="56"/>
      <c r="V51" s="56">
        <v>357.7</v>
      </c>
      <c r="W51" s="56">
        <v>357.7</v>
      </c>
      <c r="X51" s="56"/>
      <c r="Y51" s="56">
        <f t="shared" si="12"/>
        <v>1287.72</v>
      </c>
      <c r="Z51" s="56">
        <f t="shared" si="13"/>
        <v>1716.96</v>
      </c>
      <c r="AA51" s="56">
        <v>3567.51</v>
      </c>
      <c r="AB51" s="56"/>
      <c r="AC51" s="56"/>
      <c r="AD51" s="56"/>
      <c r="AE51" s="56">
        <v>100</v>
      </c>
      <c r="AF51" s="55">
        <f t="shared" si="14"/>
        <v>1517.8599999999997</v>
      </c>
      <c r="AG51" s="502" t="s">
        <v>177</v>
      </c>
      <c r="AH51" s="207"/>
      <c r="AI51" s="21"/>
    </row>
    <row r="52" spans="1:36" s="15" customFormat="1" ht="20.100000000000001" customHeight="1" x14ac:dyDescent="0.25">
      <c r="A52" s="222" t="s">
        <v>178</v>
      </c>
      <c r="B52" s="30"/>
      <c r="C52" s="210" t="s">
        <v>516</v>
      </c>
      <c r="D52" s="210" t="s">
        <v>176</v>
      </c>
      <c r="E52" s="210" t="s">
        <v>175</v>
      </c>
      <c r="F52" s="54">
        <v>14308</v>
      </c>
      <c r="G52" s="54">
        <f t="shared" si="15"/>
        <v>7154</v>
      </c>
      <c r="H52" s="424"/>
      <c r="I52" s="424"/>
      <c r="J52" s="56"/>
      <c r="K52" s="56"/>
      <c r="L52" s="695"/>
      <c r="M52" s="56"/>
      <c r="N52" s="56">
        <v>475</v>
      </c>
      <c r="O52" s="56"/>
      <c r="P52" s="56"/>
      <c r="Q52" s="695"/>
      <c r="R52" s="56">
        <v>423.21</v>
      </c>
      <c r="S52" s="56"/>
      <c r="T52" s="56"/>
      <c r="U52" s="56"/>
      <c r="V52" s="56">
        <v>357.7</v>
      </c>
      <c r="W52" s="56">
        <v>357.7</v>
      </c>
      <c r="X52" s="56"/>
      <c r="Y52" s="56">
        <f t="shared" si="12"/>
        <v>1287.72</v>
      </c>
      <c r="Z52" s="56">
        <f t="shared" si="13"/>
        <v>1716.96</v>
      </c>
      <c r="AA52" s="56">
        <v>3772.32</v>
      </c>
      <c r="AB52" s="56"/>
      <c r="AC52" s="56"/>
      <c r="AD52" s="56"/>
      <c r="AE52" s="56">
        <v>100</v>
      </c>
      <c r="AF52" s="55">
        <f t="shared" si="14"/>
        <v>838.04999999999973</v>
      </c>
      <c r="AG52" s="502" t="s">
        <v>178</v>
      </c>
      <c r="AH52" s="207"/>
      <c r="AI52" s="21"/>
    </row>
    <row r="53" spans="1:36" s="15" customFormat="1" ht="20.100000000000001" customHeight="1" x14ac:dyDescent="0.25">
      <c r="A53" s="222" t="s">
        <v>179</v>
      </c>
      <c r="B53" s="30"/>
      <c r="C53" s="210" t="s">
        <v>446</v>
      </c>
      <c r="D53" s="210" t="s">
        <v>176</v>
      </c>
      <c r="E53" s="210" t="s">
        <v>175</v>
      </c>
      <c r="F53" s="54">
        <f>'[1]Reg.3(1-15)'!$F$53</f>
        <v>13675</v>
      </c>
      <c r="G53" s="54">
        <f>F53/2</f>
        <v>6837.5</v>
      </c>
      <c r="H53" s="424"/>
      <c r="I53" s="424"/>
      <c r="J53" s="56"/>
      <c r="K53" s="56"/>
      <c r="L53" s="56"/>
      <c r="M53" s="56"/>
      <c r="N53" s="56"/>
      <c r="O53" s="56"/>
      <c r="P53" s="56"/>
      <c r="Q53" s="56"/>
      <c r="R53" s="56">
        <v>496.43</v>
      </c>
      <c r="S53" s="56"/>
      <c r="T53" s="56"/>
      <c r="U53" s="56"/>
      <c r="V53" s="56">
        <v>341.87</v>
      </c>
      <c r="W53" s="56">
        <v>341.88</v>
      </c>
      <c r="X53" s="56"/>
      <c r="Y53" s="56">
        <f t="shared" si="12"/>
        <v>1230.75</v>
      </c>
      <c r="Z53" s="56">
        <f>F53*0.12</f>
        <v>1641</v>
      </c>
      <c r="AA53" s="56"/>
      <c r="AB53" s="56"/>
      <c r="AC53" s="56"/>
      <c r="AD53" s="56"/>
      <c r="AE53" s="56">
        <v>100</v>
      </c>
      <c r="AF53" s="55">
        <f t="shared" si="14"/>
        <v>4768.45</v>
      </c>
      <c r="AG53" s="502" t="s">
        <v>179</v>
      </c>
      <c r="AH53" s="207"/>
      <c r="AI53" s="21"/>
    </row>
    <row r="54" spans="1:36" s="15" customFormat="1" ht="20.100000000000001" customHeight="1" x14ac:dyDescent="0.25">
      <c r="A54" s="222" t="s">
        <v>180</v>
      </c>
      <c r="B54" s="30"/>
      <c r="C54" s="210" t="s">
        <v>446</v>
      </c>
      <c r="D54" s="210" t="s">
        <v>176</v>
      </c>
      <c r="E54" s="210" t="s">
        <v>175</v>
      </c>
      <c r="F54" s="54">
        <f>'[1]Reg.3(1-15)'!$F$54</f>
        <v>13575</v>
      </c>
      <c r="G54" s="54">
        <f t="shared" si="15"/>
        <v>6787.5</v>
      </c>
      <c r="H54" s="424"/>
      <c r="I54" s="424"/>
      <c r="J54" s="56"/>
      <c r="K54" s="56"/>
      <c r="L54" s="56"/>
      <c r="M54" s="56"/>
      <c r="N54" s="56"/>
      <c r="O54" s="56"/>
      <c r="P54" s="56"/>
      <c r="Q54" s="56"/>
      <c r="R54" s="56"/>
      <c r="S54" s="56"/>
      <c r="T54" s="56"/>
      <c r="U54" s="56"/>
      <c r="V54" s="56">
        <v>339.37</v>
      </c>
      <c r="W54" s="56">
        <v>339.38</v>
      </c>
      <c r="X54" s="56"/>
      <c r="Y54" s="56">
        <f t="shared" si="12"/>
        <v>1221.75</v>
      </c>
      <c r="Z54" s="56">
        <f t="shared" si="13"/>
        <v>1629</v>
      </c>
      <c r="AA54" s="56">
        <v>1122.58</v>
      </c>
      <c r="AB54" s="56">
        <v>2164.88</v>
      </c>
      <c r="AC54" s="56"/>
      <c r="AD54" s="56"/>
      <c r="AE54" s="56">
        <v>100</v>
      </c>
      <c r="AF54" s="55">
        <f t="shared" si="14"/>
        <v>1938.92</v>
      </c>
      <c r="AG54" s="502" t="s">
        <v>180</v>
      </c>
      <c r="AH54" s="207"/>
      <c r="AI54" s="21"/>
    </row>
    <row r="55" spans="1:36" s="15" customFormat="1" ht="20.100000000000001" customHeight="1" thickBot="1" x14ac:dyDescent="0.3">
      <c r="A55" s="222" t="s">
        <v>181</v>
      </c>
      <c r="B55" s="30"/>
      <c r="C55" s="210" t="s">
        <v>446</v>
      </c>
      <c r="D55" s="210" t="s">
        <v>176</v>
      </c>
      <c r="E55" s="210" t="s">
        <v>175</v>
      </c>
      <c r="F55" s="470">
        <f>'[1]Reg.3(1-15)'!$F$55</f>
        <v>13575</v>
      </c>
      <c r="G55" s="470">
        <f t="shared" si="15"/>
        <v>6787.5</v>
      </c>
      <c r="H55" s="614"/>
      <c r="I55" s="614"/>
      <c r="J55" s="60"/>
      <c r="K55" s="60"/>
      <c r="L55" s="60"/>
      <c r="M55" s="60"/>
      <c r="N55" s="60"/>
      <c r="O55" s="60"/>
      <c r="P55" s="60"/>
      <c r="Q55" s="60"/>
      <c r="R55" s="60"/>
      <c r="S55" s="60"/>
      <c r="T55" s="60"/>
      <c r="U55" s="60"/>
      <c r="V55" s="60">
        <v>339.37</v>
      </c>
      <c r="W55" s="60">
        <v>339.38</v>
      </c>
      <c r="X55" s="60"/>
      <c r="Y55" s="60">
        <f t="shared" si="12"/>
        <v>1221.75</v>
      </c>
      <c r="Z55" s="60">
        <f t="shared" si="13"/>
        <v>1629</v>
      </c>
      <c r="AA55" s="60">
        <v>1656.75</v>
      </c>
      <c r="AB55" s="60"/>
      <c r="AC55" s="60"/>
      <c r="AD55" s="60"/>
      <c r="AE55" s="60">
        <v>100</v>
      </c>
      <c r="AF55" s="60">
        <f t="shared" si="14"/>
        <v>3569.63</v>
      </c>
      <c r="AG55" s="502" t="s">
        <v>181</v>
      </c>
      <c r="AH55" s="207"/>
      <c r="AI55" s="21"/>
    </row>
    <row r="56" spans="1:36" s="15" customFormat="1" ht="20.100000000000001" customHeight="1" thickBot="1" x14ac:dyDescent="0.25">
      <c r="A56" s="222" t="s">
        <v>186</v>
      </c>
      <c r="B56" s="30"/>
      <c r="C56" s="210"/>
      <c r="D56" s="210"/>
      <c r="E56" s="210"/>
      <c r="F56" s="64">
        <f t="shared" ref="F56:AF56" si="17">SUM(F42:F55)</f>
        <v>238922</v>
      </c>
      <c r="G56" s="64">
        <f t="shared" si="17"/>
        <v>119461</v>
      </c>
      <c r="H56" s="64">
        <f t="shared" si="17"/>
        <v>0</v>
      </c>
      <c r="I56" s="64">
        <f t="shared" si="17"/>
        <v>0</v>
      </c>
      <c r="J56" s="64">
        <f t="shared" si="17"/>
        <v>0</v>
      </c>
      <c r="K56" s="64">
        <f t="shared" si="17"/>
        <v>951.67</v>
      </c>
      <c r="L56" s="64">
        <f t="shared" si="17"/>
        <v>655.56</v>
      </c>
      <c r="M56" s="64">
        <f t="shared" si="17"/>
        <v>0</v>
      </c>
      <c r="N56" s="64">
        <f t="shared" si="17"/>
        <v>2116.66</v>
      </c>
      <c r="O56" s="64">
        <f t="shared" si="17"/>
        <v>0</v>
      </c>
      <c r="P56" s="64">
        <f t="shared" si="17"/>
        <v>0</v>
      </c>
      <c r="Q56" s="64">
        <f t="shared" si="17"/>
        <v>1966.67</v>
      </c>
      <c r="R56" s="64">
        <f t="shared" si="17"/>
        <v>2929.1</v>
      </c>
      <c r="S56" s="64">
        <f t="shared" si="17"/>
        <v>0</v>
      </c>
      <c r="T56" s="64">
        <f t="shared" si="17"/>
        <v>0</v>
      </c>
      <c r="U56" s="64">
        <f t="shared" si="17"/>
        <v>0</v>
      </c>
      <c r="V56" s="64">
        <f t="shared" si="17"/>
        <v>5972.9999999999991</v>
      </c>
      <c r="W56" s="64">
        <f t="shared" si="17"/>
        <v>5973.1</v>
      </c>
      <c r="X56" s="64">
        <f t="shared" si="17"/>
        <v>0</v>
      </c>
      <c r="Y56" s="64">
        <f t="shared" si="17"/>
        <v>21502.98</v>
      </c>
      <c r="Z56" s="64">
        <f t="shared" si="17"/>
        <v>28670.639999999999</v>
      </c>
      <c r="AA56" s="64">
        <f t="shared" si="17"/>
        <v>23359.53</v>
      </c>
      <c r="AB56" s="64">
        <f t="shared" si="17"/>
        <v>3664.88</v>
      </c>
      <c r="AC56" s="64">
        <f t="shared" si="17"/>
        <v>1435.8</v>
      </c>
      <c r="AD56" s="64">
        <f t="shared" si="17"/>
        <v>0</v>
      </c>
      <c r="AE56" s="64">
        <f t="shared" si="17"/>
        <v>1400</v>
      </c>
      <c r="AF56" s="64">
        <f t="shared" si="17"/>
        <v>54905.15</v>
      </c>
      <c r="AG56" s="502" t="s">
        <v>186</v>
      </c>
      <c r="AH56" s="570"/>
      <c r="AI56" s="21"/>
    </row>
    <row r="57" spans="1:36" ht="20.100000000000001" hidden="1" customHeight="1" thickBot="1" x14ac:dyDescent="0.25">
      <c r="A57" s="222" t="s">
        <v>189</v>
      </c>
      <c r="B57" s="567" t="s">
        <v>504</v>
      </c>
      <c r="C57" s="210"/>
      <c r="D57" s="210"/>
      <c r="E57" s="210"/>
      <c r="F57" s="56"/>
      <c r="G57" s="56" t="s">
        <v>37</v>
      </c>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5" t="s">
        <v>37</v>
      </c>
      <c r="AG57" s="502" t="s">
        <v>189</v>
      </c>
      <c r="AH57" s="203"/>
      <c r="AI57" s="16"/>
    </row>
    <row r="58" spans="1:36" ht="20.100000000000001" hidden="1" customHeight="1" thickTop="1" x14ac:dyDescent="0.2">
      <c r="A58" s="222" t="s">
        <v>190</v>
      </c>
      <c r="B58" s="30"/>
      <c r="C58" s="210" t="s">
        <v>446</v>
      </c>
      <c r="D58" s="1025" t="s">
        <v>607</v>
      </c>
      <c r="E58" s="1026"/>
      <c r="F58" s="470">
        <v>0</v>
      </c>
      <c r="G58" s="470">
        <f>F58/2</f>
        <v>0</v>
      </c>
      <c r="H58" s="60"/>
      <c r="I58" s="60"/>
      <c r="J58" s="60"/>
      <c r="K58" s="60"/>
      <c r="L58" s="60"/>
      <c r="M58" s="60"/>
      <c r="N58" s="60"/>
      <c r="O58" s="60"/>
      <c r="P58" s="60"/>
      <c r="Q58" s="60"/>
      <c r="R58" s="60"/>
      <c r="S58" s="60"/>
      <c r="T58" s="60"/>
      <c r="U58" s="60"/>
      <c r="V58" s="60">
        <v>0</v>
      </c>
      <c r="W58" s="60">
        <v>0</v>
      </c>
      <c r="X58" s="60"/>
      <c r="Y58" s="60">
        <f>F58*0.09</f>
        <v>0</v>
      </c>
      <c r="Z58" s="60">
        <f>F58*0.12</f>
        <v>0</v>
      </c>
      <c r="AA58" s="56">
        <v>0</v>
      </c>
      <c r="AB58" s="58">
        <v>0</v>
      </c>
      <c r="AC58" s="60"/>
      <c r="AD58" s="60"/>
      <c r="AE58" s="60">
        <v>0</v>
      </c>
      <c r="AF58" s="55">
        <f>G58-SUM(K58:S58)-V58-Y58-SUM(AA58:AC58)</f>
        <v>0</v>
      </c>
      <c r="AG58" s="502" t="s">
        <v>190</v>
      </c>
      <c r="AH58" s="203"/>
      <c r="AI58" s="16"/>
      <c r="AJ58" s="35"/>
    </row>
    <row r="59" spans="1:36" s="15" customFormat="1" ht="20.100000000000001" hidden="1" customHeight="1" thickTop="1" x14ac:dyDescent="0.2">
      <c r="A59" s="222" t="s">
        <v>191</v>
      </c>
      <c r="B59" s="30"/>
      <c r="C59" s="210"/>
      <c r="D59" s="210"/>
      <c r="E59" s="210"/>
      <c r="F59" s="472">
        <f>F58</f>
        <v>0</v>
      </c>
      <c r="G59" s="472">
        <f t="shared" ref="G59:AF59" si="18">G58</f>
        <v>0</v>
      </c>
      <c r="H59" s="472">
        <f t="shared" si="18"/>
        <v>0</v>
      </c>
      <c r="I59" s="472">
        <f t="shared" si="18"/>
        <v>0</v>
      </c>
      <c r="J59" s="472">
        <f t="shared" si="18"/>
        <v>0</v>
      </c>
      <c r="K59" s="472">
        <f t="shared" si="18"/>
        <v>0</v>
      </c>
      <c r="L59" s="472">
        <f t="shared" si="18"/>
        <v>0</v>
      </c>
      <c r="M59" s="472">
        <f t="shared" si="18"/>
        <v>0</v>
      </c>
      <c r="N59" s="472">
        <f t="shared" si="18"/>
        <v>0</v>
      </c>
      <c r="O59" s="472">
        <f t="shared" si="18"/>
        <v>0</v>
      </c>
      <c r="P59" s="472">
        <f t="shared" si="18"/>
        <v>0</v>
      </c>
      <c r="Q59" s="472">
        <f t="shared" si="18"/>
        <v>0</v>
      </c>
      <c r="R59" s="472">
        <f t="shared" si="18"/>
        <v>0</v>
      </c>
      <c r="S59" s="472">
        <f t="shared" si="18"/>
        <v>0</v>
      </c>
      <c r="T59" s="472"/>
      <c r="U59" s="472"/>
      <c r="V59" s="472">
        <f t="shared" si="18"/>
        <v>0</v>
      </c>
      <c r="W59" s="472">
        <f t="shared" si="18"/>
        <v>0</v>
      </c>
      <c r="X59" s="472">
        <f t="shared" si="18"/>
        <v>0</v>
      </c>
      <c r="Y59" s="472">
        <f t="shared" si="18"/>
        <v>0</v>
      </c>
      <c r="Z59" s="472">
        <f t="shared" si="18"/>
        <v>0</v>
      </c>
      <c r="AA59" s="472">
        <f t="shared" si="18"/>
        <v>0</v>
      </c>
      <c r="AB59" s="472">
        <f t="shared" si="18"/>
        <v>0</v>
      </c>
      <c r="AC59" s="472">
        <f t="shared" si="18"/>
        <v>0</v>
      </c>
      <c r="AD59" s="472">
        <f t="shared" si="18"/>
        <v>0</v>
      </c>
      <c r="AE59" s="472">
        <f t="shared" si="18"/>
        <v>0</v>
      </c>
      <c r="AF59" s="472">
        <f t="shared" si="18"/>
        <v>0</v>
      </c>
      <c r="AG59" s="502" t="s">
        <v>191</v>
      </c>
      <c r="AH59" s="570"/>
      <c r="AI59" s="21"/>
    </row>
    <row r="60" spans="1:36" ht="20.100000000000001" customHeight="1" thickTop="1" x14ac:dyDescent="0.2">
      <c r="A60" s="222" t="s">
        <v>192</v>
      </c>
      <c r="B60" s="194" t="s">
        <v>87</v>
      </c>
      <c r="C60" s="210"/>
      <c r="D60" s="210"/>
      <c r="E60" s="210"/>
      <c r="F60" s="55"/>
      <c r="G60" s="55" t="s">
        <v>37</v>
      </c>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t="s">
        <v>37</v>
      </c>
      <c r="AG60" s="502" t="s">
        <v>192</v>
      </c>
      <c r="AH60" s="203"/>
      <c r="AI60" s="16"/>
    </row>
    <row r="61" spans="1:36" ht="21.75" customHeight="1" x14ac:dyDescent="0.2">
      <c r="A61" s="222" t="s">
        <v>194</v>
      </c>
      <c r="B61" s="30"/>
      <c r="C61" s="702" t="s">
        <v>663</v>
      </c>
      <c r="D61" s="935" t="s">
        <v>685</v>
      </c>
      <c r="E61" s="936"/>
      <c r="F61" s="54">
        <f>'[1]Reg.3(1-15)'!$F$61</f>
        <v>34177</v>
      </c>
      <c r="G61" s="54">
        <f t="shared" ref="G61:G67" si="19">F61/2</f>
        <v>17088.5</v>
      </c>
      <c r="H61" s="56"/>
      <c r="I61" s="56"/>
      <c r="J61" s="55"/>
      <c r="K61" s="56"/>
      <c r="L61" s="56">
        <v>514.91</v>
      </c>
      <c r="M61" s="56"/>
      <c r="N61" s="56"/>
      <c r="O61" s="56"/>
      <c r="P61" s="56"/>
      <c r="Q61" s="56"/>
      <c r="R61" s="56">
        <v>1816.74</v>
      </c>
      <c r="S61" s="56">
        <v>4817.22</v>
      </c>
      <c r="T61" s="55"/>
      <c r="U61" s="56"/>
      <c r="V61" s="56">
        <v>854.42</v>
      </c>
      <c r="W61" s="56">
        <v>854.43</v>
      </c>
      <c r="X61" s="56"/>
      <c r="Y61" s="56">
        <f t="shared" ref="Y61:Y67" si="20">F61*0.09</f>
        <v>3075.93</v>
      </c>
      <c r="Z61" s="56">
        <f t="shared" ref="Z61:Z67" si="21">F61*0.12</f>
        <v>4101.24</v>
      </c>
      <c r="AA61" s="56">
        <f>2258.27</f>
        <v>2258.27</v>
      </c>
      <c r="AB61" s="56"/>
      <c r="AC61" s="56"/>
      <c r="AD61" s="56"/>
      <c r="AE61" s="55">
        <v>100</v>
      </c>
      <c r="AF61" s="55">
        <f t="shared" ref="AF61:AF67" si="22">G61-SUM(K61:S61)-V61-Y61-SUM(AA61:AC61)-T61</f>
        <v>3751.0099999999989</v>
      </c>
      <c r="AG61" s="502" t="s">
        <v>194</v>
      </c>
      <c r="AH61" s="203"/>
      <c r="AI61" s="16"/>
      <c r="AJ61" s="35"/>
    </row>
    <row r="62" spans="1:36" ht="20.100000000000001" customHeight="1" x14ac:dyDescent="0.2">
      <c r="A62" s="222" t="s">
        <v>195</v>
      </c>
      <c r="B62" s="30"/>
      <c r="C62" s="210" t="s">
        <v>662</v>
      </c>
      <c r="D62" s="210" t="s">
        <v>208</v>
      </c>
      <c r="E62" s="210" t="s">
        <v>175</v>
      </c>
      <c r="F62" s="54">
        <f>'[1]Reg.3(1-15)'!$F$62</f>
        <v>25520</v>
      </c>
      <c r="G62" s="54">
        <f t="shared" si="19"/>
        <v>12760</v>
      </c>
      <c r="H62" s="56"/>
      <c r="I62" s="56"/>
      <c r="J62" s="55"/>
      <c r="K62" s="56"/>
      <c r="L62" s="56"/>
      <c r="M62" s="56"/>
      <c r="N62" s="56"/>
      <c r="O62" s="56"/>
      <c r="P62" s="56"/>
      <c r="Q62" s="605"/>
      <c r="R62" s="56"/>
      <c r="S62" s="56"/>
      <c r="T62" s="55"/>
      <c r="U62" s="56"/>
      <c r="V62" s="56">
        <v>638</v>
      </c>
      <c r="W62" s="56">
        <v>638</v>
      </c>
      <c r="X62" s="56"/>
      <c r="Y62" s="56">
        <f t="shared" si="20"/>
        <v>2296.7999999999997</v>
      </c>
      <c r="Z62" s="56">
        <f t="shared" si="21"/>
        <v>3062.4</v>
      </c>
      <c r="AA62" s="56"/>
      <c r="AB62" s="56"/>
      <c r="AC62" s="56"/>
      <c r="AD62" s="56"/>
      <c r="AE62" s="55">
        <v>100</v>
      </c>
      <c r="AF62" s="55">
        <f t="shared" si="22"/>
        <v>9825.2000000000007</v>
      </c>
      <c r="AG62" s="502" t="s">
        <v>195</v>
      </c>
      <c r="AH62" s="203"/>
      <c r="AI62" s="16"/>
      <c r="AJ62" s="35"/>
    </row>
    <row r="63" spans="1:36" ht="20.100000000000001" customHeight="1" x14ac:dyDescent="0.2">
      <c r="A63" s="222" t="s">
        <v>217</v>
      </c>
      <c r="B63" s="30"/>
      <c r="C63" s="210" t="s">
        <v>443</v>
      </c>
      <c r="D63" s="210" t="s">
        <v>176</v>
      </c>
      <c r="E63" s="210" t="s">
        <v>175</v>
      </c>
      <c r="F63" s="54">
        <f>'[1]Reg.3(1-15)'!$F$63</f>
        <v>18563</v>
      </c>
      <c r="G63" s="54">
        <f t="shared" si="19"/>
        <v>9281.5</v>
      </c>
      <c r="H63" s="56"/>
      <c r="I63" s="56"/>
      <c r="J63" s="55"/>
      <c r="K63" s="56"/>
      <c r="L63" s="56"/>
      <c r="M63" s="56"/>
      <c r="N63" s="56"/>
      <c r="O63" s="56"/>
      <c r="P63" s="56"/>
      <c r="Q63" s="56"/>
      <c r="R63" s="56"/>
      <c r="S63" s="56"/>
      <c r="T63" s="55"/>
      <c r="U63" s="56"/>
      <c r="V63" s="56">
        <v>464.07</v>
      </c>
      <c r="W63" s="56">
        <v>464.08</v>
      </c>
      <c r="X63" s="56"/>
      <c r="Y63" s="56">
        <f t="shared" si="20"/>
        <v>1670.6699999999998</v>
      </c>
      <c r="Z63" s="56">
        <f t="shared" si="21"/>
        <v>2227.56</v>
      </c>
      <c r="AA63" s="56">
        <v>2626.12</v>
      </c>
      <c r="AB63" s="56"/>
      <c r="AC63" s="56"/>
      <c r="AD63" s="56"/>
      <c r="AE63" s="55">
        <v>100</v>
      </c>
      <c r="AF63" s="55">
        <f t="shared" si="22"/>
        <v>4520.6400000000003</v>
      </c>
      <c r="AG63" s="502" t="s">
        <v>217</v>
      </c>
      <c r="AH63" s="203"/>
      <c r="AI63" s="16"/>
    </row>
    <row r="64" spans="1:36" ht="20.100000000000001" customHeight="1" thickBot="1" x14ac:dyDescent="0.25">
      <c r="A64" s="222" t="s">
        <v>218</v>
      </c>
      <c r="B64" s="30"/>
      <c r="C64" s="210" t="s">
        <v>652</v>
      </c>
      <c r="D64" s="210" t="s">
        <v>176</v>
      </c>
      <c r="E64" s="210" t="s">
        <v>175</v>
      </c>
      <c r="F64" s="62">
        <f>'[1]Reg.3(1-15)'!$F$64</f>
        <v>16113</v>
      </c>
      <c r="G64" s="57">
        <f>F64/2</f>
        <v>8056.5</v>
      </c>
      <c r="H64" s="56"/>
      <c r="I64" s="56"/>
      <c r="J64" s="55"/>
      <c r="K64" s="56"/>
      <c r="L64" s="56">
        <v>655.56</v>
      </c>
      <c r="M64" s="56"/>
      <c r="N64" s="56">
        <v>700</v>
      </c>
      <c r="O64" s="56"/>
      <c r="P64" s="56"/>
      <c r="Q64" s="56">
        <v>983.34</v>
      </c>
      <c r="R64" s="56">
        <v>767.81</v>
      </c>
      <c r="S64" s="56"/>
      <c r="T64" s="60"/>
      <c r="U64" s="56"/>
      <c r="V64" s="56">
        <v>402.82</v>
      </c>
      <c r="W64" s="56">
        <v>402.83</v>
      </c>
      <c r="X64" s="56"/>
      <c r="Y64" s="56">
        <f t="shared" si="20"/>
        <v>1450.1699999999998</v>
      </c>
      <c r="Z64" s="56">
        <f t="shared" si="21"/>
        <v>1933.56</v>
      </c>
      <c r="AA64" s="56">
        <v>2461.98</v>
      </c>
      <c r="AB64" s="58"/>
      <c r="AC64" s="56"/>
      <c r="AD64" s="56"/>
      <c r="AE64" s="55">
        <v>100</v>
      </c>
      <c r="AF64" s="55">
        <f t="shared" si="22"/>
        <v>634.82000000000016</v>
      </c>
      <c r="AG64" s="502" t="s">
        <v>218</v>
      </c>
      <c r="AH64" s="203"/>
      <c r="AI64" s="16"/>
    </row>
    <row r="65" spans="1:37" ht="20.100000000000001" customHeight="1" x14ac:dyDescent="0.2">
      <c r="A65" s="222" t="s">
        <v>219</v>
      </c>
      <c r="B65" s="30"/>
      <c r="C65" s="210" t="s">
        <v>446</v>
      </c>
      <c r="D65" s="210" t="s">
        <v>176</v>
      </c>
      <c r="E65" s="210" t="s">
        <v>175</v>
      </c>
      <c r="F65" s="54">
        <f>'[1]Reg.3(1-15)'!$F$65</f>
        <v>13675</v>
      </c>
      <c r="G65" s="62">
        <f t="shared" si="19"/>
        <v>6837.5</v>
      </c>
      <c r="H65" s="56"/>
      <c r="I65" s="56"/>
      <c r="J65" s="55"/>
      <c r="K65" s="56"/>
      <c r="L65" s="56"/>
      <c r="M65" s="56"/>
      <c r="N65" s="56"/>
      <c r="O65" s="56"/>
      <c r="P65" s="56"/>
      <c r="Q65" s="56"/>
      <c r="R65" s="56">
        <v>1120.32</v>
      </c>
      <c r="S65" s="56"/>
      <c r="T65" s="56"/>
      <c r="U65" s="56"/>
      <c r="V65" s="55">
        <v>341.87</v>
      </c>
      <c r="W65" s="56">
        <v>341.88</v>
      </c>
      <c r="X65" s="56"/>
      <c r="Y65" s="56">
        <f t="shared" si="20"/>
        <v>1230.75</v>
      </c>
      <c r="Z65" s="56">
        <f t="shared" si="21"/>
        <v>1641</v>
      </c>
      <c r="AA65" s="56"/>
      <c r="AB65" s="56"/>
      <c r="AC65" s="56"/>
      <c r="AD65" s="56"/>
      <c r="AE65" s="55">
        <v>100</v>
      </c>
      <c r="AF65" s="55">
        <f t="shared" si="22"/>
        <v>4144.5600000000004</v>
      </c>
      <c r="AG65" s="502" t="s">
        <v>219</v>
      </c>
      <c r="AH65" s="203"/>
      <c r="AI65" s="16"/>
    </row>
    <row r="66" spans="1:37" ht="20.100000000000001" customHeight="1" x14ac:dyDescent="0.2">
      <c r="A66" s="222" t="s">
        <v>223</v>
      </c>
      <c r="B66" s="30"/>
      <c r="C66" s="210" t="s">
        <v>446</v>
      </c>
      <c r="D66" s="210" t="s">
        <v>176</v>
      </c>
      <c r="E66" s="210" t="s">
        <v>175</v>
      </c>
      <c r="F66" s="54">
        <f>'[1]Reg.3(1-15)'!$F$66</f>
        <v>13675</v>
      </c>
      <c r="G66" s="54">
        <f t="shared" si="19"/>
        <v>6837.5</v>
      </c>
      <c r="H66" s="56"/>
      <c r="I66" s="56"/>
      <c r="J66" s="55"/>
      <c r="K66" s="56"/>
      <c r="L66" s="56">
        <v>558.12</v>
      </c>
      <c r="M66" s="56"/>
      <c r="N66" s="56"/>
      <c r="O66" s="56"/>
      <c r="P66" s="56"/>
      <c r="Q66" s="56"/>
      <c r="R66" s="56">
        <v>1096.8800000000001</v>
      </c>
      <c r="S66" s="56"/>
      <c r="T66" s="56"/>
      <c r="U66" s="56"/>
      <c r="V66" s="55">
        <v>341.87</v>
      </c>
      <c r="W66" s="56">
        <v>341.88</v>
      </c>
      <c r="X66" s="56"/>
      <c r="Y66" s="56">
        <f t="shared" si="20"/>
        <v>1230.75</v>
      </c>
      <c r="Z66" s="56">
        <f t="shared" si="21"/>
        <v>1641</v>
      </c>
      <c r="AA66" s="56"/>
      <c r="AB66" s="56"/>
      <c r="AC66" s="56">
        <v>1463.86</v>
      </c>
      <c r="AD66" s="56"/>
      <c r="AE66" s="55">
        <v>100</v>
      </c>
      <c r="AF66" s="55">
        <f t="shared" si="22"/>
        <v>2146.0200000000004</v>
      </c>
      <c r="AG66" s="502" t="s">
        <v>223</v>
      </c>
      <c r="AH66" s="203"/>
      <c r="AI66" s="16"/>
    </row>
    <row r="67" spans="1:37" ht="20.100000000000001" customHeight="1" thickBot="1" x14ac:dyDescent="0.25">
      <c r="A67" s="222" t="s">
        <v>227</v>
      </c>
      <c r="B67" s="30"/>
      <c r="C67" s="210" t="s">
        <v>446</v>
      </c>
      <c r="D67" s="210" t="s">
        <v>176</v>
      </c>
      <c r="E67" s="210" t="s">
        <v>175</v>
      </c>
      <c r="F67" s="62">
        <f>'[1]Reg.3(1-15)'!$F$67</f>
        <v>13474</v>
      </c>
      <c r="G67" s="62">
        <f t="shared" si="19"/>
        <v>6737</v>
      </c>
      <c r="H67" s="61"/>
      <c r="I67" s="61"/>
      <c r="J67" s="61"/>
      <c r="K67" s="61"/>
      <c r="L67" s="61"/>
      <c r="M67" s="61"/>
      <c r="N67" s="61">
        <v>475</v>
      </c>
      <c r="O67" s="61"/>
      <c r="P67" s="61"/>
      <c r="Q67" s="61"/>
      <c r="R67" s="61"/>
      <c r="S67" s="61"/>
      <c r="T67" s="61"/>
      <c r="U67" s="56"/>
      <c r="V67" s="473">
        <v>336.85</v>
      </c>
      <c r="W67" s="473">
        <v>336.85</v>
      </c>
      <c r="X67" s="61"/>
      <c r="Y67" s="56">
        <f t="shared" si="20"/>
        <v>1212.6599999999999</v>
      </c>
      <c r="Z67" s="56">
        <f t="shared" si="21"/>
        <v>1616.8799999999999</v>
      </c>
      <c r="AA67" s="61"/>
      <c r="AB67" s="61">
        <v>2844.13</v>
      </c>
      <c r="AC67" s="61"/>
      <c r="AD67" s="61"/>
      <c r="AE67" s="55">
        <v>100</v>
      </c>
      <c r="AF67" s="55">
        <f t="shared" si="22"/>
        <v>1868.3599999999997</v>
      </c>
      <c r="AG67" s="502" t="s">
        <v>227</v>
      </c>
      <c r="AH67" s="203"/>
      <c r="AI67" s="16"/>
    </row>
    <row r="68" spans="1:37" ht="20.100000000000001" customHeight="1" thickBot="1" x14ac:dyDescent="0.25">
      <c r="A68" s="222" t="s">
        <v>228</v>
      </c>
      <c r="B68" s="30"/>
      <c r="C68" s="210"/>
      <c r="D68" s="213"/>
      <c r="E68" s="213"/>
      <c r="F68" s="472">
        <f t="shared" ref="F68:AE68" si="23">SUM(F61:F67)</f>
        <v>135197</v>
      </c>
      <c r="G68" s="472">
        <f t="shared" si="23"/>
        <v>67598.5</v>
      </c>
      <c r="H68" s="472">
        <f t="shared" si="23"/>
        <v>0</v>
      </c>
      <c r="I68" s="472">
        <f t="shared" si="23"/>
        <v>0</v>
      </c>
      <c r="J68" s="472">
        <f t="shared" si="23"/>
        <v>0</v>
      </c>
      <c r="K68" s="472">
        <f>SUM(K61:K67)</f>
        <v>0</v>
      </c>
      <c r="L68" s="472">
        <f t="shared" si="23"/>
        <v>1728.5899999999997</v>
      </c>
      <c r="M68" s="472">
        <f t="shared" si="23"/>
        <v>0</v>
      </c>
      <c r="N68" s="472">
        <f t="shared" si="23"/>
        <v>1175</v>
      </c>
      <c r="O68" s="472">
        <f t="shared" si="23"/>
        <v>0</v>
      </c>
      <c r="P68" s="472">
        <f t="shared" si="23"/>
        <v>0</v>
      </c>
      <c r="Q68" s="472">
        <f t="shared" si="23"/>
        <v>983.34</v>
      </c>
      <c r="R68" s="472">
        <f t="shared" si="23"/>
        <v>4801.75</v>
      </c>
      <c r="S68" s="472">
        <f t="shared" si="23"/>
        <v>4817.22</v>
      </c>
      <c r="T68" s="472">
        <f t="shared" si="23"/>
        <v>0</v>
      </c>
      <c r="U68" s="472">
        <f>SUM(U61:U67)</f>
        <v>0</v>
      </c>
      <c r="V68" s="472">
        <f t="shared" si="23"/>
        <v>3379.8999999999996</v>
      </c>
      <c r="W68" s="472">
        <f t="shared" si="23"/>
        <v>3379.95</v>
      </c>
      <c r="X68" s="472">
        <f t="shared" si="23"/>
        <v>0</v>
      </c>
      <c r="Y68" s="472">
        <f t="shared" si="23"/>
        <v>12167.73</v>
      </c>
      <c r="Z68" s="472">
        <f t="shared" si="23"/>
        <v>16223.639999999998</v>
      </c>
      <c r="AA68" s="472">
        <f t="shared" si="23"/>
        <v>7346.369999999999</v>
      </c>
      <c r="AB68" s="472">
        <f t="shared" si="23"/>
        <v>2844.13</v>
      </c>
      <c r="AC68" s="472">
        <f t="shared" si="23"/>
        <v>1463.86</v>
      </c>
      <c r="AD68" s="472">
        <f t="shared" si="23"/>
        <v>0</v>
      </c>
      <c r="AE68" s="472">
        <f t="shared" si="23"/>
        <v>700</v>
      </c>
      <c r="AF68" s="472">
        <f>SUM(AF61:AF67)</f>
        <v>26890.61</v>
      </c>
      <c r="AG68" s="502" t="s">
        <v>228</v>
      </c>
      <c r="AH68" s="570"/>
      <c r="AI68" s="20" t="s">
        <v>37</v>
      </c>
    </row>
    <row r="69" spans="1:37" ht="20.100000000000001" customHeight="1" thickTop="1" thickBot="1" x14ac:dyDescent="0.25">
      <c r="A69" s="48" t="s">
        <v>229</v>
      </c>
      <c r="B69" s="40" t="s">
        <v>373</v>
      </c>
      <c r="C69" s="536"/>
      <c r="D69" s="211"/>
      <c r="E69" s="536"/>
      <c r="F69" s="64">
        <f t="shared" ref="F69:AE69" si="24">F68+F59+F56+F40+F37+F34</f>
        <v>1138581</v>
      </c>
      <c r="G69" s="64">
        <f t="shared" si="24"/>
        <v>569290.5</v>
      </c>
      <c r="H69" s="64">
        <f t="shared" si="24"/>
        <v>0</v>
      </c>
      <c r="I69" s="64">
        <f t="shared" si="24"/>
        <v>0</v>
      </c>
      <c r="J69" s="64">
        <f t="shared" si="24"/>
        <v>0</v>
      </c>
      <c r="K69" s="64">
        <f t="shared" si="24"/>
        <v>5446.2800000000007</v>
      </c>
      <c r="L69" s="64">
        <f t="shared" si="24"/>
        <v>4960.66</v>
      </c>
      <c r="M69" s="64">
        <f t="shared" si="24"/>
        <v>0</v>
      </c>
      <c r="N69" s="64">
        <f t="shared" si="24"/>
        <v>3766.66</v>
      </c>
      <c r="O69" s="64">
        <f t="shared" si="24"/>
        <v>0</v>
      </c>
      <c r="P69" s="64">
        <f t="shared" si="24"/>
        <v>0</v>
      </c>
      <c r="Q69" s="64">
        <f t="shared" si="24"/>
        <v>4916.68</v>
      </c>
      <c r="R69" s="64">
        <f t="shared" si="24"/>
        <v>20427.260000000002</v>
      </c>
      <c r="S69" s="64">
        <f t="shared" si="24"/>
        <v>4817.22</v>
      </c>
      <c r="T69" s="64">
        <f t="shared" si="24"/>
        <v>0</v>
      </c>
      <c r="U69" s="64">
        <f t="shared" si="24"/>
        <v>20983.840000000004</v>
      </c>
      <c r="V69" s="64">
        <f t="shared" si="24"/>
        <v>28228.860000000004</v>
      </c>
      <c r="W69" s="64">
        <f t="shared" si="24"/>
        <v>28229.085000000006</v>
      </c>
      <c r="X69" s="64">
        <f t="shared" si="24"/>
        <v>0</v>
      </c>
      <c r="Y69" s="64">
        <f t="shared" si="24"/>
        <v>102472.28999999998</v>
      </c>
      <c r="Z69" s="64">
        <f t="shared" si="24"/>
        <v>136629.71999999997</v>
      </c>
      <c r="AA69" s="64">
        <f t="shared" si="24"/>
        <v>49775.869999999995</v>
      </c>
      <c r="AB69" s="64">
        <f t="shared" si="24"/>
        <v>14464.89</v>
      </c>
      <c r="AC69" s="64">
        <f t="shared" si="24"/>
        <v>6437.36</v>
      </c>
      <c r="AD69" s="64">
        <f t="shared" si="24"/>
        <v>0</v>
      </c>
      <c r="AE69" s="64">
        <f t="shared" si="24"/>
        <v>4500</v>
      </c>
      <c r="AF69" s="64">
        <f>AF68+AF59+AF56+AF40+AF37+AF34</f>
        <v>302592.63000000006</v>
      </c>
      <c r="AG69" s="514" t="s">
        <v>229</v>
      </c>
      <c r="AH69" s="206"/>
      <c r="AI69" s="49"/>
      <c r="AK69" s="35"/>
    </row>
    <row r="70" spans="1:37" ht="5.25" customHeight="1" thickTop="1" x14ac:dyDescent="0.25">
      <c r="F70" s="469"/>
      <c r="G70" s="469"/>
      <c r="H70" s="469"/>
      <c r="I70" s="469"/>
      <c r="J70" s="469"/>
      <c r="K70" s="469"/>
      <c r="L70" s="469" t="s">
        <v>102</v>
      </c>
      <c r="M70" s="469"/>
      <c r="N70" s="469"/>
      <c r="O70" s="469"/>
      <c r="P70" s="469"/>
      <c r="Q70" s="469"/>
      <c r="R70" s="469"/>
      <c r="S70" s="469"/>
      <c r="T70" s="469"/>
      <c r="U70" s="469"/>
      <c r="V70" s="469"/>
      <c r="W70" s="469"/>
      <c r="X70" s="469"/>
      <c r="Y70" s="469"/>
      <c r="Z70" s="469"/>
      <c r="AA70" s="469"/>
      <c r="AB70" s="489"/>
      <c r="AC70" s="469"/>
      <c r="AD70" s="469"/>
      <c r="AE70" s="469"/>
      <c r="AF70" s="469"/>
      <c r="AG70" s="469"/>
      <c r="AH70" s="18"/>
    </row>
    <row r="71" spans="1:37" ht="5.25" customHeight="1" x14ac:dyDescent="0.2">
      <c r="AE71" s="826" t="s">
        <v>48</v>
      </c>
      <c r="AF71" s="826"/>
      <c r="AG71" s="826"/>
      <c r="AH71" s="826"/>
      <c r="AI71" s="826"/>
    </row>
    <row r="72" spans="1:37" ht="11.25" customHeight="1" x14ac:dyDescent="0.2">
      <c r="A72" s="889" t="s">
        <v>49</v>
      </c>
      <c r="B72" s="889"/>
      <c r="C72" s="889"/>
      <c r="D72" s="889"/>
      <c r="E72" s="889"/>
      <c r="F72" s="889"/>
      <c r="G72" s="35"/>
      <c r="H72" s="1" t="s">
        <v>50</v>
      </c>
      <c r="J72" s="1" t="s">
        <v>37</v>
      </c>
      <c r="S72" s="17" t="s">
        <v>363</v>
      </c>
      <c r="T72" s="17"/>
      <c r="U72" s="17"/>
      <c r="V72" s="35"/>
      <c r="Z72" s="17"/>
      <c r="AE72" s="826"/>
      <c r="AF72" s="826"/>
      <c r="AG72" s="826"/>
      <c r="AH72" s="826"/>
      <c r="AI72" s="826"/>
    </row>
    <row r="73" spans="1:37" ht="11.25" customHeight="1" x14ac:dyDescent="0.2">
      <c r="A73" s="889"/>
      <c r="B73" s="889"/>
      <c r="C73" s="889"/>
      <c r="D73" s="889"/>
      <c r="E73" s="889"/>
      <c r="F73" s="889"/>
      <c r="V73" s="35"/>
      <c r="AE73" s="826"/>
      <c r="AF73" s="826"/>
      <c r="AG73" s="826"/>
      <c r="AH73" s="826"/>
      <c r="AI73" s="826"/>
    </row>
    <row r="74" spans="1:37" ht="12.75" x14ac:dyDescent="0.2">
      <c r="A74" s="889"/>
      <c r="B74" s="889"/>
      <c r="C74" s="889"/>
      <c r="D74" s="889"/>
      <c r="E74" s="889"/>
      <c r="F74" s="889"/>
      <c r="I74" s="921"/>
      <c r="J74" s="921"/>
      <c r="K74" s="921"/>
      <c r="L74" s="921"/>
      <c r="M74" s="921"/>
      <c r="N74" s="921"/>
      <c r="O74" s="921"/>
      <c r="P74" s="921"/>
      <c r="Q74" s="921"/>
      <c r="R74" s="921"/>
      <c r="S74" s="921"/>
      <c r="T74" s="625"/>
      <c r="U74" s="625"/>
      <c r="V74" s="35"/>
      <c r="W74" s="35"/>
      <c r="AE74" s="826"/>
      <c r="AF74" s="826"/>
      <c r="AG74" s="826"/>
      <c r="AH74" s="826"/>
      <c r="AI74" s="826"/>
    </row>
    <row r="75" spans="1:37" ht="6.75" customHeight="1" x14ac:dyDescent="0.2">
      <c r="I75" s="824"/>
      <c r="J75" s="824"/>
      <c r="K75" s="824"/>
      <c r="L75" s="824"/>
      <c r="M75" s="824"/>
      <c r="N75" s="824"/>
      <c r="O75" s="824"/>
      <c r="P75" s="824"/>
      <c r="Q75" s="824"/>
      <c r="R75" s="824"/>
      <c r="S75" s="824"/>
      <c r="T75" s="306"/>
      <c r="U75" s="306"/>
      <c r="AE75" s="826"/>
      <c r="AF75" s="826"/>
      <c r="AG75" s="826"/>
      <c r="AH75" s="826"/>
      <c r="AI75" s="826"/>
    </row>
    <row r="76" spans="1:37" ht="14.25" x14ac:dyDescent="0.2">
      <c r="D76" s="488" t="s">
        <v>673</v>
      </c>
      <c r="E76" s="488"/>
      <c r="F76" s="488"/>
      <c r="G76" s="522"/>
      <c r="I76" s="824"/>
      <c r="J76" s="824"/>
      <c r="K76" s="824"/>
      <c r="L76" s="824"/>
      <c r="M76" s="824"/>
      <c r="N76" s="824"/>
      <c r="O76" s="824"/>
      <c r="P76" s="824"/>
      <c r="Q76" s="824"/>
      <c r="R76" s="824"/>
      <c r="S76" s="824"/>
      <c r="T76" s="306"/>
      <c r="U76" s="306"/>
      <c r="V76" s="921" t="s">
        <v>673</v>
      </c>
      <c r="W76" s="921"/>
      <c r="X76" s="921"/>
      <c r="Y76" s="921"/>
      <c r="AE76" s="826"/>
      <c r="AF76" s="826"/>
      <c r="AG76" s="826"/>
      <c r="AH76" s="826"/>
      <c r="AI76" s="826"/>
    </row>
    <row r="77" spans="1:37" ht="12.75" x14ac:dyDescent="0.2">
      <c r="D77" s="824" t="s">
        <v>649</v>
      </c>
      <c r="E77" s="824"/>
      <c r="F77" s="824"/>
      <c r="G77" s="35"/>
      <c r="O77" s="201"/>
      <c r="V77" s="824" t="s">
        <v>649</v>
      </c>
      <c r="W77" s="824"/>
      <c r="X77" s="824"/>
      <c r="Y77" s="824"/>
      <c r="AE77" s="826"/>
      <c r="AF77" s="826"/>
      <c r="AG77" s="826"/>
      <c r="AH77" s="826"/>
      <c r="AI77" s="826"/>
    </row>
    <row r="78" spans="1:37" ht="3" customHeight="1" x14ac:dyDescent="0.2">
      <c r="O78" s="88"/>
      <c r="AH78" s="18"/>
    </row>
    <row r="79" spans="1:37" ht="12.75" x14ac:dyDescent="0.2">
      <c r="A79" s="17" t="s">
        <v>52</v>
      </c>
      <c r="O79" s="88"/>
      <c r="AE79" s="525"/>
      <c r="AF79" s="1028" t="s">
        <v>111</v>
      </c>
      <c r="AG79" s="1028"/>
      <c r="AH79" s="1028"/>
      <c r="AI79" s="525"/>
    </row>
    <row r="80" spans="1:37" ht="12.75" x14ac:dyDescent="0.2">
      <c r="O80" s="88"/>
      <c r="AF80" s="999" t="s">
        <v>105</v>
      </c>
      <c r="AG80" s="999"/>
      <c r="AH80" s="999"/>
    </row>
    <row r="81" spans="1:35" ht="13.5" customHeight="1" x14ac:dyDescent="0.2">
      <c r="E81" s="1" t="s">
        <v>53</v>
      </c>
      <c r="AE81" s="825" t="s">
        <v>55</v>
      </c>
      <c r="AF81" s="825"/>
      <c r="AG81" s="825"/>
      <c r="AH81" s="825"/>
      <c r="AI81" s="825"/>
    </row>
    <row r="82" spans="1:35" x14ac:dyDescent="0.2">
      <c r="A82" s="17" t="s">
        <v>54</v>
      </c>
      <c r="Y82" s="35" t="s">
        <v>37</v>
      </c>
      <c r="AE82" s="825"/>
      <c r="AF82" s="825"/>
      <c r="AG82" s="825"/>
      <c r="AH82" s="825"/>
      <c r="AI82" s="825"/>
    </row>
    <row r="83" spans="1:35" ht="11.25" customHeight="1" x14ac:dyDescent="0.2">
      <c r="AE83" s="825"/>
      <c r="AF83" s="825"/>
      <c r="AG83" s="825"/>
      <c r="AH83" s="825"/>
      <c r="AI83" s="825"/>
    </row>
    <row r="84" spans="1:35" ht="11.25" customHeight="1" x14ac:dyDescent="0.2">
      <c r="C84" s="1" t="s">
        <v>56</v>
      </c>
      <c r="E84" s="1" t="s">
        <v>57</v>
      </c>
      <c r="AE84" s="825"/>
      <c r="AF84" s="825"/>
      <c r="AG84" s="825"/>
      <c r="AH84" s="825"/>
      <c r="AI84" s="825"/>
    </row>
    <row r="85" spans="1:35" ht="11.25" customHeight="1" x14ac:dyDescent="0.2">
      <c r="AE85"/>
      <c r="AF85"/>
      <c r="AG85"/>
      <c r="AH85"/>
    </row>
    <row r="86" spans="1:35" ht="11.25" customHeight="1" x14ac:dyDescent="0.2">
      <c r="C86" s="1000" t="s">
        <v>58</v>
      </c>
      <c r="D86" s="1000"/>
      <c r="E86" s="1000"/>
      <c r="AE86" s="538"/>
      <c r="AF86" s="1027" t="s">
        <v>184</v>
      </c>
      <c r="AG86" s="1027"/>
      <c r="AH86" s="1027"/>
      <c r="AI86" s="19"/>
    </row>
    <row r="87" spans="1:35" x14ac:dyDescent="0.2">
      <c r="AF87" s="1" t="s">
        <v>622</v>
      </c>
    </row>
    <row r="95" spans="1:35" ht="12.75" x14ac:dyDescent="0.2">
      <c r="D95" s="539"/>
      <c r="E95" s="539"/>
    </row>
  </sheetData>
  <mergeCells count="63">
    <mergeCell ref="AF86:AH86"/>
    <mergeCell ref="I76:S76"/>
    <mergeCell ref="V76:Y76"/>
    <mergeCell ref="D77:F77"/>
    <mergeCell ref="V77:Y77"/>
    <mergeCell ref="AE81:AI84"/>
    <mergeCell ref="AE71:AI77"/>
    <mergeCell ref="I74:S74"/>
    <mergeCell ref="I75:S75"/>
    <mergeCell ref="AF80:AH80"/>
    <mergeCell ref="AF79:AH79"/>
    <mergeCell ref="C86:E86"/>
    <mergeCell ref="D12:E12"/>
    <mergeCell ref="D42:E42"/>
    <mergeCell ref="D58:E58"/>
    <mergeCell ref="A72:F74"/>
    <mergeCell ref="D61:E61"/>
    <mergeCell ref="D36:E36"/>
    <mergeCell ref="D39:E39"/>
    <mergeCell ref="AI6:AI8"/>
    <mergeCell ref="V7:V9"/>
    <mergeCell ref="W7:W9"/>
    <mergeCell ref="X7:X9"/>
    <mergeCell ref="AC7:AC9"/>
    <mergeCell ref="AD7:AD9"/>
    <mergeCell ref="Y8:Y9"/>
    <mergeCell ref="Z8:Z9"/>
    <mergeCell ref="AH6:AH8"/>
    <mergeCell ref="AF5:AF9"/>
    <mergeCell ref="AG5:AG9"/>
    <mergeCell ref="R6:R9"/>
    <mergeCell ref="S6:S9"/>
    <mergeCell ref="Y6:Z7"/>
    <mergeCell ref="AE6:AE9"/>
    <mergeCell ref="AA5:AA9"/>
    <mergeCell ref="AB5:AB9"/>
    <mergeCell ref="AC5:AD6"/>
    <mergeCell ref="Y5:Z5"/>
    <mergeCell ref="V5:W6"/>
    <mergeCell ref="U5:U7"/>
    <mergeCell ref="P6:P9"/>
    <mergeCell ref="Q6:Q9"/>
    <mergeCell ref="F6:F7"/>
    <mergeCell ref="J6:J9"/>
    <mergeCell ref="K6:K9"/>
    <mergeCell ref="L6:L9"/>
    <mergeCell ref="M6:M9"/>
    <mergeCell ref="K4:S4"/>
    <mergeCell ref="K5:S5"/>
    <mergeCell ref="A1:AI1"/>
    <mergeCell ref="A2:AI3"/>
    <mergeCell ref="A4:A7"/>
    <mergeCell ref="B4:B9"/>
    <mergeCell ref="C4:C9"/>
    <mergeCell ref="D4:E4"/>
    <mergeCell ref="F4:F5"/>
    <mergeCell ref="G4:G7"/>
    <mergeCell ref="D5:D7"/>
    <mergeCell ref="E5:E7"/>
    <mergeCell ref="H5:H8"/>
    <mergeCell ref="I5:I8"/>
    <mergeCell ref="N6:N9"/>
    <mergeCell ref="O6:O9"/>
  </mergeCells>
  <phoneticPr fontId="89" type="noConversion"/>
  <pageMargins left="1.1417322834645669" right="0" top="0.23622047244094491" bottom="0.23622047244094491" header="0.23622047244094491" footer="0.31496062992125984"/>
  <pageSetup paperSize="8" scale="52" orientation="landscape"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95BA9-02C5-44AF-BDB4-8CAE71A1A5D2}">
  <dimension ref="A1:AL88"/>
  <sheetViews>
    <sheetView workbookViewId="0">
      <pane xSplit="3" ySplit="11" topLeftCell="D12" activePane="bottomRight" state="frozen"/>
      <selection pane="topRight" activeCell="D1" sqref="D1"/>
      <selection pane="bottomLeft" activeCell="A12" sqref="A12"/>
      <selection pane="bottomRight" activeCell="B51" sqref="B51:B60"/>
    </sheetView>
  </sheetViews>
  <sheetFormatPr defaultColWidth="9.140625" defaultRowHeight="11.25" x14ac:dyDescent="0.2"/>
  <cols>
    <col min="1" max="1" width="3" style="105" customWidth="1"/>
    <col min="2" max="2" width="26.7109375" style="17" customWidth="1"/>
    <col min="3" max="3" width="16.140625" style="1" customWidth="1"/>
    <col min="4" max="4" width="9.5703125" style="1" customWidth="1"/>
    <col min="5" max="5" width="8" style="1" customWidth="1"/>
    <col min="6" max="6" width="13.42578125" style="1" customWidth="1"/>
    <col min="7" max="7" width="12.28515625" style="1" customWidth="1"/>
    <col min="8" max="8" width="9.42578125" style="1" hidden="1" customWidth="1"/>
    <col min="9" max="9" width="7.85546875" style="1" hidden="1" customWidth="1"/>
    <col min="10" max="10" width="1.5703125" style="1" hidden="1" customWidth="1"/>
    <col min="11" max="11" width="9.140625" style="1" hidden="1" customWidth="1"/>
    <col min="12" max="13" width="12.140625" style="1" hidden="1" customWidth="1"/>
    <col min="14" max="14" width="11" style="1" customWidth="1"/>
    <col min="15" max="15" width="9.7109375" style="1" customWidth="1"/>
    <col min="16" max="16" width="9.42578125" style="1" customWidth="1"/>
    <col min="17" max="18" width="10.140625" style="1" customWidth="1"/>
    <col min="19" max="19" width="10.7109375" style="1" customWidth="1"/>
    <col min="20" max="20" width="10.5703125" style="1" customWidth="1"/>
    <col min="21" max="21" width="12.140625" style="1" hidden="1" customWidth="1"/>
    <col min="22" max="22" width="11.42578125" style="1" hidden="1" customWidth="1"/>
    <col min="23" max="23" width="10.5703125" style="1" customWidth="1"/>
    <col min="24" max="24" width="11.140625" style="1" customWidth="1"/>
    <col min="25" max="25" width="12.42578125" style="1" customWidth="1"/>
    <col min="26" max="26" width="11.85546875" style="1" customWidth="1"/>
    <col min="27" max="27" width="11.140625" style="1" customWidth="1"/>
    <col min="28" max="28" width="11.28515625" style="18" customWidth="1"/>
    <col min="29" max="29" width="10.7109375" style="1" customWidth="1"/>
    <col min="30" max="30" width="7.140625" style="1" hidden="1" customWidth="1"/>
    <col min="31" max="31" width="9.7109375" style="1" customWidth="1"/>
    <col min="32" max="32" width="12.28515625" style="1" customWidth="1"/>
    <col min="33" max="33" width="2.7109375" style="1" customWidth="1"/>
    <col min="34" max="34" width="18" style="1" customWidth="1"/>
    <col min="35" max="35" width="8.140625" style="1" customWidth="1"/>
    <col min="36" max="36" width="15.140625" style="1" customWidth="1"/>
    <col min="37" max="37" width="11.7109375" style="1" customWidth="1"/>
    <col min="38" max="16384" width="9.140625" style="1"/>
  </cols>
  <sheetData>
    <row r="1" spans="1:36" ht="18.75" customHeight="1"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3"/>
      <c r="AI1" s="863"/>
      <c r="AJ1" s="630"/>
    </row>
    <row r="2" spans="1:36" ht="12.75" x14ac:dyDescent="0.2">
      <c r="A2" s="945" t="s">
        <v>60</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c r="AH2" s="945"/>
      <c r="AI2" s="945"/>
      <c r="AJ2" s="622"/>
    </row>
    <row r="3" spans="1:36"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c r="AH3" s="946"/>
      <c r="AI3" s="946"/>
      <c r="AJ3" s="622"/>
    </row>
    <row r="4" spans="1:36" s="4" customFormat="1" ht="24" customHeight="1" thickTop="1" x14ac:dyDescent="0.15">
      <c r="A4" s="866" t="s">
        <v>1</v>
      </c>
      <c r="B4" s="1006" t="s">
        <v>2</v>
      </c>
      <c r="C4" s="948" t="s">
        <v>3</v>
      </c>
      <c r="D4" s="871" t="s">
        <v>4</v>
      </c>
      <c r="E4" s="871"/>
      <c r="F4" s="1007"/>
      <c r="G4" s="866" t="s">
        <v>5</v>
      </c>
      <c r="H4" s="987" t="s">
        <v>6</v>
      </c>
      <c r="I4" s="988"/>
      <c r="J4" s="988"/>
      <c r="K4" s="988"/>
      <c r="L4" s="988"/>
      <c r="M4" s="988"/>
      <c r="N4" s="988"/>
      <c r="O4" s="988"/>
      <c r="P4" s="988"/>
      <c r="Q4" s="988"/>
      <c r="R4" s="988"/>
      <c r="S4" s="988"/>
      <c r="T4" s="988"/>
      <c r="U4" s="988"/>
      <c r="V4" s="988"/>
      <c r="W4" s="988"/>
      <c r="X4" s="988"/>
      <c r="Y4" s="988"/>
      <c r="Z4" s="988"/>
      <c r="AA4" s="988"/>
      <c r="AB4" s="988"/>
      <c r="AC4" s="989"/>
      <c r="AD4" s="989"/>
      <c r="AE4" s="990"/>
      <c r="AF4" s="3"/>
      <c r="AG4" s="3"/>
      <c r="AH4" s="3"/>
      <c r="AI4" s="3"/>
    </row>
    <row r="5" spans="1:36" s="8" customFormat="1" ht="13.5" customHeight="1" x14ac:dyDescent="0.15">
      <c r="A5" s="1005"/>
      <c r="B5" s="869"/>
      <c r="C5" s="949"/>
      <c r="D5" s="851" t="s">
        <v>7</v>
      </c>
      <c r="E5" s="852" t="s">
        <v>8</v>
      </c>
      <c r="F5" s="1008"/>
      <c r="G5" s="874"/>
      <c r="H5" s="856" t="s">
        <v>9</v>
      </c>
      <c r="I5" s="856" t="s">
        <v>10</v>
      </c>
      <c r="J5" s="681"/>
      <c r="K5" s="728"/>
      <c r="L5" s="729"/>
      <c r="M5" s="995" t="s">
        <v>676</v>
      </c>
      <c r="N5" s="1029" t="s">
        <v>13</v>
      </c>
      <c r="O5" s="1029"/>
      <c r="P5" s="1029"/>
      <c r="Q5" s="1029"/>
      <c r="R5" s="1029"/>
      <c r="S5" s="1029"/>
      <c r="T5" s="1030"/>
      <c r="V5" s="642"/>
      <c r="W5" s="1033" t="s">
        <v>230</v>
      </c>
      <c r="X5" s="1034"/>
      <c r="Y5" s="1037" t="s">
        <v>13</v>
      </c>
      <c r="Z5" s="1009"/>
      <c r="AA5" s="972" t="s">
        <v>12</v>
      </c>
      <c r="AB5" s="1031" t="s">
        <v>183</v>
      </c>
      <c r="AC5" s="971" t="s">
        <v>584</v>
      </c>
      <c r="AD5" s="995"/>
      <c r="AE5" s="678" t="s">
        <v>238</v>
      </c>
      <c r="AF5" s="838" t="s">
        <v>14</v>
      </c>
      <c r="AG5" s="838" t="s">
        <v>15</v>
      </c>
      <c r="AH5" s="7"/>
      <c r="AI5" s="7"/>
    </row>
    <row r="6" spans="1:36" s="8" customFormat="1" ht="13.5" customHeight="1" x14ac:dyDescent="0.15">
      <c r="A6" s="1005"/>
      <c r="B6" s="869"/>
      <c r="C6" s="949"/>
      <c r="D6" s="867"/>
      <c r="E6" s="867"/>
      <c r="F6" s="973" t="s">
        <v>610</v>
      </c>
      <c r="G6" s="839"/>
      <c r="H6" s="857"/>
      <c r="I6" s="859"/>
      <c r="J6" s="682"/>
      <c r="K6" s="859" t="s">
        <v>239</v>
      </c>
      <c r="L6" s="856" t="s">
        <v>608</v>
      </c>
      <c r="M6" s="977"/>
      <c r="N6" s="1012" t="s">
        <v>233</v>
      </c>
      <c r="O6" s="859" t="s">
        <v>241</v>
      </c>
      <c r="P6" s="859" t="s">
        <v>664</v>
      </c>
      <c r="Q6" s="900" t="s">
        <v>236</v>
      </c>
      <c r="R6" s="906" t="s">
        <v>549</v>
      </c>
      <c r="S6" s="906" t="s">
        <v>23</v>
      </c>
      <c r="T6" s="915" t="s">
        <v>514</v>
      </c>
      <c r="U6" s="645"/>
      <c r="V6" s="645"/>
      <c r="W6" s="1035"/>
      <c r="X6" s="1036"/>
      <c r="Y6" s="1009" t="s">
        <v>232</v>
      </c>
      <c r="Z6" s="1014"/>
      <c r="AA6" s="857"/>
      <c r="AB6" s="1032"/>
      <c r="AC6" s="1018"/>
      <c r="AD6" s="977"/>
      <c r="AE6" s="1017" t="s">
        <v>32</v>
      </c>
      <c r="AF6" s="838"/>
      <c r="AG6" s="838"/>
      <c r="AH6" s="838" t="s">
        <v>25</v>
      </c>
      <c r="AI6" s="838" t="s">
        <v>26</v>
      </c>
      <c r="AJ6" s="315"/>
    </row>
    <row r="7" spans="1:36" s="8" customFormat="1" ht="13.5" customHeight="1" x14ac:dyDescent="0.15">
      <c r="A7" s="1005"/>
      <c r="B7" s="869"/>
      <c r="C7" s="949"/>
      <c r="D7" s="867"/>
      <c r="E7" s="867"/>
      <c r="F7" s="974"/>
      <c r="G7" s="839"/>
      <c r="H7" s="858"/>
      <c r="I7" s="858"/>
      <c r="J7" s="683"/>
      <c r="K7" s="1011"/>
      <c r="L7" s="859"/>
      <c r="M7" s="977"/>
      <c r="N7" s="1012"/>
      <c r="O7" s="886"/>
      <c r="P7" s="859"/>
      <c r="Q7" s="900"/>
      <c r="R7" s="900"/>
      <c r="S7" s="900"/>
      <c r="T7" s="900"/>
      <c r="U7" s="942" t="s">
        <v>615</v>
      </c>
      <c r="V7" s="943"/>
      <c r="W7" s="929" t="s">
        <v>27</v>
      </c>
      <c r="X7" s="853" t="s">
        <v>28</v>
      </c>
      <c r="Y7" s="1015"/>
      <c r="Z7" s="1016"/>
      <c r="AA7" s="857"/>
      <c r="AB7" s="1032"/>
      <c r="AC7" s="972" t="s">
        <v>23</v>
      </c>
      <c r="AD7" s="972" t="s">
        <v>30</v>
      </c>
      <c r="AE7" s="1011"/>
      <c r="AF7" s="838"/>
      <c r="AG7" s="838"/>
      <c r="AH7" s="970"/>
      <c r="AI7" s="838"/>
      <c r="AJ7" s="315"/>
    </row>
    <row r="8" spans="1:36" s="8" customFormat="1" ht="13.5" customHeight="1" x14ac:dyDescent="0.2">
      <c r="A8" s="10"/>
      <c r="B8" s="869"/>
      <c r="C8" s="950"/>
      <c r="D8" s="11"/>
      <c r="E8" s="107"/>
      <c r="F8" s="4"/>
      <c r="G8" s="495"/>
      <c r="H8" s="858"/>
      <c r="I8" s="858"/>
      <c r="J8" s="683"/>
      <c r="K8" s="1011"/>
      <c r="L8" s="859"/>
      <c r="M8" s="977"/>
      <c r="N8" s="1012"/>
      <c r="O8" s="886"/>
      <c r="P8" s="859"/>
      <c r="Q8" s="900"/>
      <c r="R8" s="900"/>
      <c r="S8" s="900"/>
      <c r="T8" s="900"/>
      <c r="U8" s="908" t="s">
        <v>378</v>
      </c>
      <c r="V8" s="900" t="s">
        <v>379</v>
      </c>
      <c r="W8" s="838"/>
      <c r="X8" s="838"/>
      <c r="Y8" s="851" t="s">
        <v>27</v>
      </c>
      <c r="Z8" s="852" t="s">
        <v>33</v>
      </c>
      <c r="AA8" s="857"/>
      <c r="AB8" s="1032"/>
      <c r="AC8" s="857"/>
      <c r="AD8" s="857"/>
      <c r="AE8" s="1011"/>
      <c r="AF8" s="838"/>
      <c r="AG8" s="970"/>
      <c r="AH8" s="970"/>
      <c r="AI8" s="838"/>
      <c r="AJ8" s="315"/>
    </row>
    <row r="9" spans="1:36" s="8" customFormat="1" ht="13.5" customHeight="1" x14ac:dyDescent="0.2">
      <c r="A9" s="10"/>
      <c r="B9" s="869"/>
      <c r="C9" s="950"/>
      <c r="D9" s="11"/>
      <c r="E9" s="107"/>
      <c r="F9" s="4"/>
      <c r="G9" s="495"/>
      <c r="H9" s="7"/>
      <c r="I9" s="7"/>
      <c r="J9" s="113"/>
      <c r="K9" s="1011"/>
      <c r="L9" s="859"/>
      <c r="M9" s="977"/>
      <c r="N9" s="1012"/>
      <c r="O9" s="886"/>
      <c r="P9" s="859"/>
      <c r="Q9" s="900"/>
      <c r="R9" s="900"/>
      <c r="S9" s="900"/>
      <c r="T9" s="900"/>
      <c r="U9" s="908"/>
      <c r="V9" s="900"/>
      <c r="W9" s="107"/>
      <c r="X9" s="12"/>
      <c r="Y9" s="838"/>
      <c r="Z9" s="853"/>
      <c r="AA9" s="857"/>
      <c r="AB9" s="1032"/>
      <c r="AC9" s="857"/>
      <c r="AD9" s="857"/>
      <c r="AE9" s="1011"/>
      <c r="AF9" s="838"/>
      <c r="AG9" s="970"/>
      <c r="AH9" s="7"/>
      <c r="AI9" s="7"/>
    </row>
    <row r="10" spans="1:36" s="15" customFormat="1" ht="13.5" customHeight="1" thickBot="1" x14ac:dyDescent="0.25">
      <c r="A10" s="13">
        <v>1</v>
      </c>
      <c r="B10" s="13">
        <v>2</v>
      </c>
      <c r="C10" s="13">
        <v>3</v>
      </c>
      <c r="D10" s="13">
        <v>4</v>
      </c>
      <c r="E10" s="13">
        <v>5</v>
      </c>
      <c r="F10" s="13">
        <v>6</v>
      </c>
      <c r="G10" s="13">
        <v>7</v>
      </c>
      <c r="H10" s="13">
        <v>8</v>
      </c>
      <c r="I10" s="13">
        <v>9</v>
      </c>
      <c r="J10" s="13">
        <v>10</v>
      </c>
      <c r="K10" s="13">
        <v>8</v>
      </c>
      <c r="L10" s="13"/>
      <c r="M10" s="13"/>
      <c r="N10" s="13">
        <v>10</v>
      </c>
      <c r="O10" s="13">
        <v>9</v>
      </c>
      <c r="P10" s="13">
        <v>16</v>
      </c>
      <c r="Q10" s="13">
        <v>11</v>
      </c>
      <c r="R10" s="13">
        <v>12</v>
      </c>
      <c r="S10" s="13">
        <v>13</v>
      </c>
      <c r="T10" s="13">
        <v>14</v>
      </c>
      <c r="U10" s="13"/>
      <c r="V10" s="13"/>
      <c r="W10" s="13">
        <v>15</v>
      </c>
      <c r="X10" s="13">
        <v>16</v>
      </c>
      <c r="Y10" s="14">
        <v>17</v>
      </c>
      <c r="Z10" s="14">
        <v>18</v>
      </c>
      <c r="AA10" s="13">
        <v>19</v>
      </c>
      <c r="AB10" s="13">
        <v>20</v>
      </c>
      <c r="AC10" s="13">
        <v>21</v>
      </c>
      <c r="AD10" s="13">
        <v>22</v>
      </c>
      <c r="AE10" s="13">
        <v>23</v>
      </c>
      <c r="AF10" s="13">
        <v>24</v>
      </c>
      <c r="AG10" s="13">
        <v>25</v>
      </c>
      <c r="AH10" s="13">
        <v>26</v>
      </c>
      <c r="AI10" s="13">
        <v>27</v>
      </c>
      <c r="AJ10" s="100"/>
    </row>
    <row r="11" spans="1:36" ht="20.100000000000001" customHeight="1" thickTop="1" x14ac:dyDescent="0.2">
      <c r="A11" s="527"/>
      <c r="B11" s="594" t="s">
        <v>477</v>
      </c>
      <c r="C11" s="528"/>
      <c r="D11" s="528"/>
      <c r="E11" s="528"/>
      <c r="F11" s="528"/>
      <c r="G11" s="528"/>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502"/>
      <c r="AH11" s="204"/>
      <c r="AI11" s="20"/>
      <c r="AJ11" s="529"/>
    </row>
    <row r="12" spans="1:36" ht="20.100000000000001" customHeight="1" x14ac:dyDescent="0.2">
      <c r="A12" s="545" t="s">
        <v>38</v>
      </c>
      <c r="B12" s="30"/>
      <c r="C12" s="526" t="s">
        <v>670</v>
      </c>
      <c r="D12" s="935" t="s">
        <v>685</v>
      </c>
      <c r="E12" s="936"/>
      <c r="F12" s="54">
        <f>'[1]Reg.4(1-15)'!$F$12</f>
        <v>83457</v>
      </c>
      <c r="G12" s="54">
        <f t="shared" ref="G12:G17" si="0">F12/2</f>
        <v>41728.5</v>
      </c>
      <c r="H12" s="26"/>
      <c r="I12" s="26"/>
      <c r="J12" s="26"/>
      <c r="K12" s="26"/>
      <c r="L12" s="26"/>
      <c r="M12" s="26"/>
      <c r="N12" s="26"/>
      <c r="O12" s="26">
        <v>655.56</v>
      </c>
      <c r="P12" s="39">
        <v>1513.89</v>
      </c>
      <c r="Q12" s="26"/>
      <c r="R12" s="56"/>
      <c r="S12" s="56">
        <v>2590.62</v>
      </c>
      <c r="T12" s="26"/>
      <c r="U12" s="26"/>
      <c r="V12" s="26"/>
      <c r="W12" s="26">
        <v>2086.42</v>
      </c>
      <c r="X12" s="26">
        <v>2086.4299999999998</v>
      </c>
      <c r="Y12" s="56">
        <f t="shared" ref="Y12:Y22" si="1">F12*0.09</f>
        <v>7511.13</v>
      </c>
      <c r="Z12" s="56">
        <f t="shared" ref="Z12:Z22" si="2">F12*0.12</f>
        <v>10014.84</v>
      </c>
      <c r="AA12" s="26"/>
      <c r="AB12" s="26">
        <v>3515.97</v>
      </c>
      <c r="AC12" s="56">
        <v>2620.77</v>
      </c>
      <c r="AD12" s="26"/>
      <c r="AE12" s="56">
        <v>100</v>
      </c>
      <c r="AF12" s="56">
        <f t="shared" ref="AF12:AF21" si="3">G12-SUM(N12:T12)-W12-Y12-SUM(AA12:AC12)-U12</f>
        <v>21234.14</v>
      </c>
      <c r="AG12" s="502" t="s">
        <v>38</v>
      </c>
      <c r="AH12" s="204"/>
      <c r="AI12" s="20"/>
      <c r="AJ12" s="529"/>
    </row>
    <row r="13" spans="1:36" ht="20.100000000000001" customHeight="1" x14ac:dyDescent="0.2">
      <c r="A13" s="222" t="s">
        <v>127</v>
      </c>
      <c r="B13" s="30"/>
      <c r="C13" s="210" t="s">
        <v>64</v>
      </c>
      <c r="D13" s="210" t="s">
        <v>208</v>
      </c>
      <c r="E13" s="210" t="s">
        <v>175</v>
      </c>
      <c r="F13" s="54">
        <f>'[1]Reg.4(1-15)'!$F$13</f>
        <v>14521</v>
      </c>
      <c r="G13" s="54">
        <f t="shared" si="0"/>
        <v>7260.5</v>
      </c>
      <c r="H13" s="56"/>
      <c r="I13" s="56"/>
      <c r="J13" s="56"/>
      <c r="K13" s="56"/>
      <c r="L13" s="58"/>
      <c r="M13" s="58"/>
      <c r="N13" s="58"/>
      <c r="O13" s="56"/>
      <c r="P13" s="56">
        <v>1100</v>
      </c>
      <c r="Q13" s="56"/>
      <c r="R13" s="58"/>
      <c r="S13" s="56">
        <v>849</v>
      </c>
      <c r="T13" s="26"/>
      <c r="U13" s="56"/>
      <c r="V13" s="56"/>
      <c r="W13" s="26">
        <v>363.02</v>
      </c>
      <c r="X13" s="26">
        <v>363.03</v>
      </c>
      <c r="Y13" s="56">
        <f t="shared" si="1"/>
        <v>1306.8899999999999</v>
      </c>
      <c r="Z13" s="56">
        <f t="shared" si="2"/>
        <v>1742.52</v>
      </c>
      <c r="AA13" s="56">
        <v>2777.29</v>
      </c>
      <c r="AB13" s="56"/>
      <c r="AC13" s="56"/>
      <c r="AD13" s="56"/>
      <c r="AE13" s="56">
        <v>100</v>
      </c>
      <c r="AF13" s="56">
        <f t="shared" si="3"/>
        <v>864.29999999999973</v>
      </c>
      <c r="AG13" s="502" t="s">
        <v>127</v>
      </c>
      <c r="AH13" s="204"/>
      <c r="AI13" s="20"/>
      <c r="AJ13" s="529"/>
    </row>
    <row r="14" spans="1:36" ht="20.100000000000001" customHeight="1" x14ac:dyDescent="0.2">
      <c r="A14" s="222" t="s">
        <v>128</v>
      </c>
      <c r="B14" s="30"/>
      <c r="C14" s="210" t="s">
        <v>83</v>
      </c>
      <c r="D14" s="210" t="s">
        <v>208</v>
      </c>
      <c r="E14" s="210" t="s">
        <v>175</v>
      </c>
      <c r="F14" s="54">
        <f>'[1]Reg.4(1-15)'!$F$14</f>
        <v>14189</v>
      </c>
      <c r="G14" s="54">
        <f t="shared" si="0"/>
        <v>7094.5</v>
      </c>
      <c r="H14" s="56"/>
      <c r="I14" s="56"/>
      <c r="J14" s="56"/>
      <c r="K14" s="56"/>
      <c r="L14" s="56"/>
      <c r="M14" s="56"/>
      <c r="N14" s="56"/>
      <c r="O14" s="56">
        <v>501.08</v>
      </c>
      <c r="P14" s="56"/>
      <c r="Q14" s="56"/>
      <c r="R14" s="56"/>
      <c r="S14" s="56">
        <v>965.08</v>
      </c>
      <c r="T14" s="26"/>
      <c r="U14" s="56"/>
      <c r="V14" s="56"/>
      <c r="W14" s="26">
        <v>354.72</v>
      </c>
      <c r="X14" s="26">
        <v>354.73</v>
      </c>
      <c r="Y14" s="56">
        <f t="shared" si="1"/>
        <v>1277.01</v>
      </c>
      <c r="Z14" s="56">
        <f t="shared" si="2"/>
        <v>1702.6799999999998</v>
      </c>
      <c r="AA14" s="56">
        <v>1413.98</v>
      </c>
      <c r="AB14" s="56"/>
      <c r="AC14" s="56">
        <v>1206.43</v>
      </c>
      <c r="AD14" s="56"/>
      <c r="AE14" s="56">
        <v>100</v>
      </c>
      <c r="AF14" s="56">
        <f t="shared" si="3"/>
        <v>1376.1999999999998</v>
      </c>
      <c r="AG14" s="502" t="s">
        <v>128</v>
      </c>
      <c r="AH14" s="204"/>
      <c r="AI14" s="20"/>
      <c r="AJ14" s="529"/>
    </row>
    <row r="15" spans="1:36" ht="20.100000000000001" customHeight="1" x14ac:dyDescent="0.2">
      <c r="A15" s="545" t="s">
        <v>129</v>
      </c>
      <c r="B15" s="30"/>
      <c r="C15" s="210" t="s">
        <v>83</v>
      </c>
      <c r="D15" s="210" t="s">
        <v>208</v>
      </c>
      <c r="E15" s="210" t="s">
        <v>175</v>
      </c>
      <c r="F15" s="54">
        <f>'[1]Reg.4(1-15)'!$F$15</f>
        <v>14189</v>
      </c>
      <c r="G15" s="54">
        <f>F15/2</f>
        <v>7094.5</v>
      </c>
      <c r="H15" s="56"/>
      <c r="I15" s="56"/>
      <c r="J15" s="56"/>
      <c r="K15" s="56"/>
      <c r="L15" s="58"/>
      <c r="M15" s="58"/>
      <c r="N15" s="58"/>
      <c r="O15" s="58">
        <v>592</v>
      </c>
      <c r="P15" s="58"/>
      <c r="Q15" s="56"/>
      <c r="R15" s="56"/>
      <c r="S15" s="56">
        <v>965.07</v>
      </c>
      <c r="T15" s="26"/>
      <c r="U15" s="56"/>
      <c r="V15" s="56"/>
      <c r="W15" s="26">
        <v>354.72</v>
      </c>
      <c r="X15" s="26">
        <v>354.73</v>
      </c>
      <c r="Y15" s="56">
        <f t="shared" si="1"/>
        <v>1277.01</v>
      </c>
      <c r="Z15" s="56">
        <f t="shared" si="2"/>
        <v>1702.6799999999998</v>
      </c>
      <c r="AA15" s="56">
        <v>1952.12</v>
      </c>
      <c r="AB15" s="56"/>
      <c r="AC15" s="56"/>
      <c r="AD15" s="56"/>
      <c r="AE15" s="56">
        <v>100</v>
      </c>
      <c r="AF15" s="56">
        <f t="shared" si="3"/>
        <v>1953.58</v>
      </c>
      <c r="AG15" s="502" t="s">
        <v>129</v>
      </c>
      <c r="AH15" s="204" t="s">
        <v>188</v>
      </c>
      <c r="AI15" s="20"/>
      <c r="AJ15" s="529"/>
    </row>
    <row r="16" spans="1:36" ht="20.100000000000001" customHeight="1" x14ac:dyDescent="0.2">
      <c r="A16" s="222" t="s">
        <v>131</v>
      </c>
      <c r="B16" s="30"/>
      <c r="C16" s="210" t="s">
        <v>499</v>
      </c>
      <c r="D16" s="210" t="s">
        <v>208</v>
      </c>
      <c r="E16" s="210" t="s">
        <v>175</v>
      </c>
      <c r="F16" s="54">
        <v>14308</v>
      </c>
      <c r="G16" s="54">
        <f>F16/2</f>
        <v>7154</v>
      </c>
      <c r="H16" s="56"/>
      <c r="I16" s="56"/>
      <c r="J16" s="56"/>
      <c r="K16" s="56"/>
      <c r="L16" s="56"/>
      <c r="M16" s="56"/>
      <c r="N16" s="56"/>
      <c r="O16" s="56"/>
      <c r="P16" s="56"/>
      <c r="Q16" s="56"/>
      <c r="R16" s="56"/>
      <c r="S16" s="56"/>
      <c r="T16" s="26"/>
      <c r="U16" s="56"/>
      <c r="V16" s="56"/>
      <c r="W16" s="26">
        <v>357.7</v>
      </c>
      <c r="X16" s="26">
        <v>357.7</v>
      </c>
      <c r="Y16" s="56">
        <f>F16*0.09</f>
        <v>1287.72</v>
      </c>
      <c r="Z16" s="56">
        <f>F16*0.12</f>
        <v>1716.96</v>
      </c>
      <c r="AA16" s="56">
        <v>4419.46</v>
      </c>
      <c r="AB16" s="56"/>
      <c r="AC16" s="56"/>
      <c r="AD16" s="56"/>
      <c r="AE16" s="56">
        <v>100</v>
      </c>
      <c r="AF16" s="56">
        <f t="shared" si="3"/>
        <v>1089.1199999999999</v>
      </c>
      <c r="AG16" s="502" t="s">
        <v>131</v>
      </c>
      <c r="AH16" s="204"/>
      <c r="AI16" s="20"/>
      <c r="AJ16" s="529"/>
    </row>
    <row r="17" spans="1:37" ht="20.100000000000001" customHeight="1" x14ac:dyDescent="0.2">
      <c r="A17" s="222" t="s">
        <v>130</v>
      </c>
      <c r="B17" s="30"/>
      <c r="C17" s="210" t="s">
        <v>83</v>
      </c>
      <c r="D17" s="210" t="s">
        <v>208</v>
      </c>
      <c r="E17" s="210" t="s">
        <v>175</v>
      </c>
      <c r="F17" s="54">
        <v>13357</v>
      </c>
      <c r="G17" s="54">
        <f t="shared" si="0"/>
        <v>6678.5</v>
      </c>
      <c r="H17" s="56"/>
      <c r="I17" s="56"/>
      <c r="J17" s="56"/>
      <c r="K17" s="56"/>
      <c r="L17" s="56"/>
      <c r="M17" s="56"/>
      <c r="N17" s="56"/>
      <c r="O17" s="56">
        <v>655.56</v>
      </c>
      <c r="P17" s="56"/>
      <c r="Q17" s="56"/>
      <c r="R17" s="56">
        <v>983.34</v>
      </c>
      <c r="S17" s="56">
        <v>1105.1600000000001</v>
      </c>
      <c r="T17" s="26"/>
      <c r="U17" s="56"/>
      <c r="V17" s="56"/>
      <c r="W17" s="26">
        <v>333.92</v>
      </c>
      <c r="X17" s="26">
        <v>333.93</v>
      </c>
      <c r="Y17" s="56">
        <f t="shared" si="1"/>
        <v>1202.1299999999999</v>
      </c>
      <c r="Z17" s="56">
        <f t="shared" si="2"/>
        <v>1602.84</v>
      </c>
      <c r="AA17" s="56"/>
      <c r="AB17" s="56"/>
      <c r="AC17" s="56">
        <v>1536.56</v>
      </c>
      <c r="AD17" s="56"/>
      <c r="AE17" s="56">
        <v>100</v>
      </c>
      <c r="AF17" s="56">
        <f t="shared" si="3"/>
        <v>861.82999999999947</v>
      </c>
      <c r="AG17" s="502" t="s">
        <v>130</v>
      </c>
      <c r="AH17" s="204"/>
      <c r="AI17" s="20"/>
      <c r="AJ17" s="529"/>
    </row>
    <row r="18" spans="1:37" ht="20.100000000000001" customHeight="1" x14ac:dyDescent="0.2">
      <c r="A18" s="545" t="s">
        <v>132</v>
      </c>
      <c r="B18" s="30"/>
      <c r="C18" s="210" t="s">
        <v>446</v>
      </c>
      <c r="D18" s="210" t="s">
        <v>208</v>
      </c>
      <c r="E18" s="210" t="s">
        <v>175</v>
      </c>
      <c r="F18" s="54">
        <f>'[1]Reg.4(1-15)'!$F$18</f>
        <v>13675</v>
      </c>
      <c r="G18" s="54">
        <f>F18/2</f>
        <v>6837.5</v>
      </c>
      <c r="H18" s="56"/>
      <c r="I18" s="56"/>
      <c r="J18" s="56"/>
      <c r="K18" s="56"/>
      <c r="L18" s="56"/>
      <c r="M18" s="56"/>
      <c r="N18" s="56"/>
      <c r="O18" s="56"/>
      <c r="P18" s="56"/>
      <c r="Q18" s="56"/>
      <c r="R18" s="56">
        <v>983.33</v>
      </c>
      <c r="S18" s="56">
        <v>767.82</v>
      </c>
      <c r="T18" s="26"/>
      <c r="U18" s="56"/>
      <c r="V18" s="56"/>
      <c r="W18" s="26">
        <v>341.87</v>
      </c>
      <c r="X18" s="26">
        <v>341.88</v>
      </c>
      <c r="Y18" s="56">
        <f t="shared" si="1"/>
        <v>1230.75</v>
      </c>
      <c r="Z18" s="56">
        <f t="shared" si="2"/>
        <v>1641</v>
      </c>
      <c r="AA18" s="56">
        <v>1585.95</v>
      </c>
      <c r="AB18" s="58">
        <v>1784.24</v>
      </c>
      <c r="AC18" s="56"/>
      <c r="AD18" s="56"/>
      <c r="AE18" s="56">
        <v>100</v>
      </c>
      <c r="AF18" s="56">
        <f t="shared" si="3"/>
        <v>143.54000000000042</v>
      </c>
      <c r="AG18" s="502" t="s">
        <v>132</v>
      </c>
      <c r="AH18" s="204"/>
      <c r="AI18" s="20"/>
      <c r="AJ18" s="529"/>
    </row>
    <row r="19" spans="1:37" ht="20.100000000000001" customHeight="1" x14ac:dyDescent="0.2">
      <c r="A19" s="222" t="s">
        <v>133</v>
      </c>
      <c r="B19" s="30"/>
      <c r="C19" s="210" t="s">
        <v>446</v>
      </c>
      <c r="D19" s="210" t="s">
        <v>208</v>
      </c>
      <c r="E19" s="210" t="s">
        <v>175</v>
      </c>
      <c r="F19" s="54">
        <v>13675</v>
      </c>
      <c r="G19" s="54">
        <f>F19/2</f>
        <v>6837.5</v>
      </c>
      <c r="H19" s="56"/>
      <c r="I19" s="56"/>
      <c r="J19" s="56"/>
      <c r="K19" s="56"/>
      <c r="L19" s="56"/>
      <c r="M19" s="56"/>
      <c r="N19" s="56"/>
      <c r="O19" s="56"/>
      <c r="P19" s="56"/>
      <c r="Q19" s="56"/>
      <c r="R19" s="56"/>
      <c r="S19" s="56">
        <v>797.95</v>
      </c>
      <c r="T19" s="26"/>
      <c r="U19" s="56"/>
      <c r="V19" s="56"/>
      <c r="W19" s="26">
        <v>341.87</v>
      </c>
      <c r="X19" s="26">
        <v>341.88</v>
      </c>
      <c r="Y19" s="56">
        <f t="shared" si="1"/>
        <v>1230.75</v>
      </c>
      <c r="Z19" s="56">
        <f t="shared" si="2"/>
        <v>1641</v>
      </c>
      <c r="AA19" s="56">
        <v>1104.8599999999999</v>
      </c>
      <c r="AB19" s="56">
        <v>2275.3000000000002</v>
      </c>
      <c r="AC19" s="56"/>
      <c r="AD19" s="56"/>
      <c r="AE19" s="56">
        <v>100</v>
      </c>
      <c r="AF19" s="56">
        <f t="shared" si="3"/>
        <v>1086.7700000000004</v>
      </c>
      <c r="AG19" s="502" t="s">
        <v>133</v>
      </c>
      <c r="AH19" s="204"/>
      <c r="AI19" s="20"/>
      <c r="AJ19" s="529"/>
    </row>
    <row r="20" spans="1:37" ht="20.100000000000001" customHeight="1" x14ac:dyDescent="0.2">
      <c r="A20" s="222" t="s">
        <v>65</v>
      </c>
      <c r="B20" s="30"/>
      <c r="C20" s="210" t="s">
        <v>446</v>
      </c>
      <c r="D20" s="210" t="s">
        <v>208</v>
      </c>
      <c r="E20" s="210" t="s">
        <v>175</v>
      </c>
      <c r="F20" s="54">
        <v>13575</v>
      </c>
      <c r="G20" s="54">
        <f>F20/2</f>
        <v>6787.5</v>
      </c>
      <c r="H20" s="56"/>
      <c r="I20" s="56"/>
      <c r="J20" s="56"/>
      <c r="K20" s="56"/>
      <c r="L20" s="56"/>
      <c r="M20" s="56"/>
      <c r="N20" s="56"/>
      <c r="O20" s="56">
        <v>1311.12</v>
      </c>
      <c r="P20" s="56">
        <v>300</v>
      </c>
      <c r="Q20" s="56"/>
      <c r="R20" s="56"/>
      <c r="S20" s="56"/>
      <c r="T20" s="26"/>
      <c r="U20" s="56"/>
      <c r="V20" s="56"/>
      <c r="W20" s="26">
        <v>339.37</v>
      </c>
      <c r="X20" s="26">
        <v>339.38</v>
      </c>
      <c r="Y20" s="56">
        <f t="shared" si="1"/>
        <v>1221.75</v>
      </c>
      <c r="Z20" s="56">
        <f t="shared" si="2"/>
        <v>1629</v>
      </c>
      <c r="AA20" s="56">
        <v>3103.31</v>
      </c>
      <c r="AB20" s="56"/>
      <c r="AC20" s="56"/>
      <c r="AD20" s="56"/>
      <c r="AE20" s="56">
        <v>100</v>
      </c>
      <c r="AF20" s="56">
        <f t="shared" si="3"/>
        <v>511.95000000000027</v>
      </c>
      <c r="AG20" s="502" t="s">
        <v>65</v>
      </c>
      <c r="AH20" s="204"/>
      <c r="AI20" s="20"/>
      <c r="AJ20" s="529"/>
    </row>
    <row r="21" spans="1:37" ht="20.100000000000001" customHeight="1" x14ac:dyDescent="0.2">
      <c r="A21" s="545" t="s">
        <v>134</v>
      </c>
      <c r="B21" s="30"/>
      <c r="C21" s="210" t="s">
        <v>446</v>
      </c>
      <c r="D21" s="210" t="s">
        <v>208</v>
      </c>
      <c r="E21" s="210" t="s">
        <v>175</v>
      </c>
      <c r="F21" s="54">
        <v>13575</v>
      </c>
      <c r="G21" s="54">
        <f>F21/2</f>
        <v>6787.5</v>
      </c>
      <c r="H21" s="56"/>
      <c r="I21" s="56"/>
      <c r="J21" s="56"/>
      <c r="K21" s="56"/>
      <c r="L21" s="56"/>
      <c r="M21" s="56"/>
      <c r="N21" s="56"/>
      <c r="O21" s="56"/>
      <c r="P21" s="56"/>
      <c r="Q21" s="56"/>
      <c r="R21" s="56"/>
      <c r="S21" s="56"/>
      <c r="T21" s="26"/>
      <c r="U21" s="56"/>
      <c r="V21" s="56"/>
      <c r="W21" s="26">
        <v>339.37</v>
      </c>
      <c r="X21" s="26">
        <v>339.38</v>
      </c>
      <c r="Y21" s="56">
        <f t="shared" si="1"/>
        <v>1221.75</v>
      </c>
      <c r="Z21" s="56">
        <f t="shared" si="2"/>
        <v>1629</v>
      </c>
      <c r="AA21" s="56">
        <v>2698.48</v>
      </c>
      <c r="AB21" s="56"/>
      <c r="AC21" s="56"/>
      <c r="AD21" s="56"/>
      <c r="AE21" s="56">
        <v>100</v>
      </c>
      <c r="AF21" s="56">
        <f t="shared" si="3"/>
        <v>2527.9</v>
      </c>
      <c r="AG21" s="502" t="s">
        <v>134</v>
      </c>
      <c r="AH21" s="204"/>
      <c r="AI21" s="20"/>
      <c r="AJ21" s="529"/>
    </row>
    <row r="22" spans="1:37" ht="20.100000000000001" customHeight="1" thickBot="1" x14ac:dyDescent="0.25">
      <c r="A22" s="222" t="s">
        <v>135</v>
      </c>
      <c r="B22" s="30"/>
      <c r="C22" s="210" t="s">
        <v>446</v>
      </c>
      <c r="D22" s="210" t="s">
        <v>208</v>
      </c>
      <c r="E22" s="210" t="s">
        <v>175</v>
      </c>
      <c r="F22" s="486">
        <f>'[1]Reg.4(1-15)'!$F$22</f>
        <v>13474</v>
      </c>
      <c r="G22" s="486">
        <f>F22/2</f>
        <v>6737</v>
      </c>
      <c r="H22" s="473"/>
      <c r="I22" s="473"/>
      <c r="J22" s="473"/>
      <c r="K22" s="473"/>
      <c r="L22" s="473"/>
      <c r="M22" s="473"/>
      <c r="N22" s="473"/>
      <c r="O22" s="473"/>
      <c r="P22" s="473"/>
      <c r="Q22" s="473"/>
      <c r="R22" s="473"/>
      <c r="S22" s="473"/>
      <c r="T22" s="36"/>
      <c r="U22" s="60"/>
      <c r="V22" s="60"/>
      <c r="W22" s="36">
        <v>336.85</v>
      </c>
      <c r="X22" s="36">
        <v>336.85</v>
      </c>
      <c r="Y22" s="60">
        <f t="shared" si="1"/>
        <v>1212.6599999999999</v>
      </c>
      <c r="Z22" s="60">
        <f t="shared" si="2"/>
        <v>1616.8799999999999</v>
      </c>
      <c r="AA22" s="473">
        <v>1676.21</v>
      </c>
      <c r="AB22" s="473">
        <f>1613.36+1613.36</f>
        <v>3226.72</v>
      </c>
      <c r="AC22" s="473"/>
      <c r="AD22" s="473"/>
      <c r="AE22" s="473">
        <v>100</v>
      </c>
      <c r="AF22" s="473">
        <f>G22-SUM(N22:T22)-W22-Y22-SUM(AA22:AC22)-U22+M22</f>
        <v>284.55999999999949</v>
      </c>
      <c r="AG22" s="502" t="s">
        <v>135</v>
      </c>
      <c r="AH22" s="204"/>
      <c r="AI22" s="20"/>
      <c r="AJ22" s="529"/>
    </row>
    <row r="23" spans="1:37" ht="20.100000000000001" customHeight="1" thickBot="1" x14ac:dyDescent="0.25">
      <c r="A23" s="222" t="s">
        <v>136</v>
      </c>
      <c r="B23" s="30"/>
      <c r="C23" s="210"/>
      <c r="D23" s="213"/>
      <c r="E23" s="213"/>
      <c r="F23" s="64">
        <f t="shared" ref="F23:AF23" si="4">SUM(F12:F22)</f>
        <v>221995</v>
      </c>
      <c r="G23" s="64">
        <f t="shared" si="4"/>
        <v>110997.5</v>
      </c>
      <c r="H23" s="64">
        <f t="shared" si="4"/>
        <v>0</v>
      </c>
      <c r="I23" s="64">
        <f t="shared" si="4"/>
        <v>0</v>
      </c>
      <c r="J23" s="64">
        <f t="shared" si="4"/>
        <v>0</v>
      </c>
      <c r="K23" s="64">
        <f t="shared" si="4"/>
        <v>0</v>
      </c>
      <c r="L23" s="64">
        <f t="shared" si="4"/>
        <v>0</v>
      </c>
      <c r="M23" s="64">
        <f t="shared" si="4"/>
        <v>0</v>
      </c>
      <c r="N23" s="64">
        <f t="shared" si="4"/>
        <v>0</v>
      </c>
      <c r="O23" s="64">
        <f t="shared" si="4"/>
        <v>3715.3199999999997</v>
      </c>
      <c r="P23" s="64">
        <f t="shared" si="4"/>
        <v>2913.8900000000003</v>
      </c>
      <c r="Q23" s="64">
        <f t="shared" si="4"/>
        <v>0</v>
      </c>
      <c r="R23" s="64">
        <f t="shared" si="4"/>
        <v>1966.67</v>
      </c>
      <c r="S23" s="64">
        <f t="shared" si="4"/>
        <v>8040.6999999999989</v>
      </c>
      <c r="T23" s="64">
        <f t="shared" si="4"/>
        <v>0</v>
      </c>
      <c r="U23" s="64">
        <f t="shared" si="4"/>
        <v>0</v>
      </c>
      <c r="V23" s="64">
        <f t="shared" si="4"/>
        <v>0</v>
      </c>
      <c r="W23" s="64">
        <f t="shared" si="4"/>
        <v>5549.83</v>
      </c>
      <c r="X23" s="64">
        <f t="shared" si="4"/>
        <v>5549.92</v>
      </c>
      <c r="Y23" s="64">
        <f t="shared" si="4"/>
        <v>19979.55</v>
      </c>
      <c r="Z23" s="64">
        <f t="shared" si="4"/>
        <v>26639.4</v>
      </c>
      <c r="AA23" s="64">
        <f t="shared" si="4"/>
        <v>20731.66</v>
      </c>
      <c r="AB23" s="64">
        <f t="shared" si="4"/>
        <v>10802.23</v>
      </c>
      <c r="AC23" s="64">
        <f t="shared" si="4"/>
        <v>5363.76</v>
      </c>
      <c r="AD23" s="64">
        <f t="shared" si="4"/>
        <v>0</v>
      </c>
      <c r="AE23" s="64">
        <f t="shared" si="4"/>
        <v>1100</v>
      </c>
      <c r="AF23" s="64">
        <f t="shared" si="4"/>
        <v>31933.89</v>
      </c>
      <c r="AG23" s="502" t="s">
        <v>136</v>
      </c>
      <c r="AH23" s="204"/>
      <c r="AI23" s="20"/>
      <c r="AJ23" s="529"/>
    </row>
    <row r="24" spans="1:37" ht="17.100000000000001" customHeight="1" thickTop="1" x14ac:dyDescent="0.2">
      <c r="A24" s="545" t="s">
        <v>137</v>
      </c>
      <c r="B24" s="194" t="s">
        <v>91</v>
      </c>
      <c r="C24" s="210"/>
      <c r="D24" s="213"/>
      <c r="E24" s="213"/>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5" t="s">
        <v>37</v>
      </c>
      <c r="AG24" s="502" t="s">
        <v>137</v>
      </c>
      <c r="AH24" s="203"/>
      <c r="AI24" s="16"/>
    </row>
    <row r="25" spans="1:37" ht="19.5" customHeight="1" x14ac:dyDescent="0.2">
      <c r="A25" s="222" t="s">
        <v>138</v>
      </c>
      <c r="B25" s="30"/>
      <c r="C25" s="210" t="s">
        <v>243</v>
      </c>
      <c r="D25" s="935" t="s">
        <v>685</v>
      </c>
      <c r="E25" s="936"/>
      <c r="F25" s="54">
        <f>'[1]Reg.4(1-15)'!$F$25</f>
        <v>90205</v>
      </c>
      <c r="G25" s="54">
        <f t="shared" ref="G25:G31" si="5">F25/2</f>
        <v>45102.5</v>
      </c>
      <c r="H25" s="56"/>
      <c r="I25" s="56"/>
      <c r="J25" s="56"/>
      <c r="K25" s="56"/>
      <c r="L25" s="56"/>
      <c r="M25" s="56"/>
      <c r="N25" s="56"/>
      <c r="O25" s="56"/>
      <c r="P25" s="56">
        <v>1166.6600000000001</v>
      </c>
      <c r="Q25" s="56"/>
      <c r="R25" s="56">
        <v>1966.67</v>
      </c>
      <c r="S25" s="56">
        <f>6467.2+1139.66</f>
        <v>7606.86</v>
      </c>
      <c r="T25" s="26"/>
      <c r="U25" s="56"/>
      <c r="V25" s="56"/>
      <c r="W25" s="26">
        <v>2255.12</v>
      </c>
      <c r="X25" s="26">
        <v>2255.13</v>
      </c>
      <c r="Y25" s="56">
        <f t="shared" ref="Y25:Y31" si="6">F25*0.09</f>
        <v>8118.45</v>
      </c>
      <c r="Z25" s="56">
        <f t="shared" ref="Z25:Z31" si="7">F25*0.12</f>
        <v>10824.6</v>
      </c>
      <c r="AA25" s="56">
        <v>9644.2199999999993</v>
      </c>
      <c r="AB25" s="56">
        <v>8000</v>
      </c>
      <c r="AC25" s="56"/>
      <c r="AD25" s="56"/>
      <c r="AE25" s="56">
        <v>100</v>
      </c>
      <c r="AF25" s="56">
        <f t="shared" ref="AF25:AF31" si="8">G25-SUM(N25:T25)-W25-Y25-SUM(AA25:AC25)-U25</f>
        <v>6344.5199999999968</v>
      </c>
      <c r="AG25" s="502" t="s">
        <v>138</v>
      </c>
      <c r="AH25" s="203"/>
      <c r="AI25" s="16"/>
      <c r="AK25" s="35"/>
    </row>
    <row r="26" spans="1:37" ht="19.5" customHeight="1" x14ac:dyDescent="0.2">
      <c r="A26" s="222" t="s">
        <v>139</v>
      </c>
      <c r="B26" s="30"/>
      <c r="C26" s="404" t="s">
        <v>659</v>
      </c>
      <c r="D26" s="210" t="s">
        <v>208</v>
      </c>
      <c r="E26" s="210" t="s">
        <v>175</v>
      </c>
      <c r="F26" s="54">
        <f>'[1]Reg.4(1-15)'!$F$26</f>
        <v>37026</v>
      </c>
      <c r="G26" s="54">
        <f t="shared" si="5"/>
        <v>18513</v>
      </c>
      <c r="H26" s="56"/>
      <c r="I26" s="56"/>
      <c r="J26" s="56"/>
      <c r="K26" s="56"/>
      <c r="L26" s="56"/>
      <c r="M26" s="56"/>
      <c r="N26" s="56"/>
      <c r="O26" s="56"/>
      <c r="P26" s="56"/>
      <c r="Q26" s="56"/>
      <c r="R26" s="56"/>
      <c r="S26" s="56"/>
      <c r="T26" s="26"/>
      <c r="U26" s="56"/>
      <c r="V26" s="56"/>
      <c r="W26" s="26">
        <v>925.65</v>
      </c>
      <c r="X26" s="26">
        <v>925.65</v>
      </c>
      <c r="Y26" s="56">
        <f t="shared" si="6"/>
        <v>3332.3399999999997</v>
      </c>
      <c r="Z26" s="56">
        <f t="shared" si="7"/>
        <v>4443.12</v>
      </c>
      <c r="AA26" s="56"/>
      <c r="AB26" s="56"/>
      <c r="AC26" s="56"/>
      <c r="AD26" s="56"/>
      <c r="AE26" s="56">
        <v>100</v>
      </c>
      <c r="AF26" s="56">
        <f t="shared" si="8"/>
        <v>14255.009999999998</v>
      </c>
      <c r="AG26" s="502" t="s">
        <v>139</v>
      </c>
      <c r="AH26" s="203"/>
      <c r="AI26" s="16"/>
      <c r="AK26" s="35"/>
    </row>
    <row r="27" spans="1:37" ht="19.5" customHeight="1" x14ac:dyDescent="0.2">
      <c r="A27" s="545" t="s">
        <v>140</v>
      </c>
      <c r="B27" s="30"/>
      <c r="C27" s="404" t="s">
        <v>647</v>
      </c>
      <c r="D27" s="210" t="s">
        <v>208</v>
      </c>
      <c r="E27" s="210" t="s">
        <v>175</v>
      </c>
      <c r="F27" s="54">
        <v>14308</v>
      </c>
      <c r="G27" s="54">
        <f t="shared" si="5"/>
        <v>7154</v>
      </c>
      <c r="H27" s="56"/>
      <c r="I27" s="56"/>
      <c r="J27" s="56"/>
      <c r="K27" s="56"/>
      <c r="L27" s="56"/>
      <c r="M27" s="56"/>
      <c r="N27" s="56"/>
      <c r="O27" s="56"/>
      <c r="P27" s="56"/>
      <c r="Q27" s="56"/>
      <c r="R27" s="56"/>
      <c r="S27" s="56"/>
      <c r="T27" s="26"/>
      <c r="U27" s="56"/>
      <c r="V27" s="56"/>
      <c r="W27" s="26">
        <v>357.7</v>
      </c>
      <c r="X27" s="26">
        <v>357.7</v>
      </c>
      <c r="Y27" s="56">
        <f t="shared" si="6"/>
        <v>1287.72</v>
      </c>
      <c r="Z27" s="56">
        <f t="shared" si="7"/>
        <v>1716.96</v>
      </c>
      <c r="AA27" s="56"/>
      <c r="AB27" s="56"/>
      <c r="AC27" s="56"/>
      <c r="AD27" s="56"/>
      <c r="AE27" s="56">
        <v>100</v>
      </c>
      <c r="AF27" s="56">
        <f t="shared" si="8"/>
        <v>5508.58</v>
      </c>
      <c r="AG27" s="502" t="s">
        <v>140</v>
      </c>
      <c r="AH27" s="203"/>
      <c r="AI27" s="16"/>
      <c r="AK27" s="35"/>
    </row>
    <row r="28" spans="1:37" ht="19.5" customHeight="1" x14ac:dyDescent="0.2">
      <c r="A28" s="222" t="s">
        <v>142</v>
      </c>
      <c r="B28" s="30"/>
      <c r="C28" s="210" t="s">
        <v>446</v>
      </c>
      <c r="D28" s="210" t="s">
        <v>208</v>
      </c>
      <c r="E28" s="210" t="s">
        <v>175</v>
      </c>
      <c r="F28" s="62">
        <f>'[1]Reg.4(1-15)'!$F$28</f>
        <v>13675</v>
      </c>
      <c r="G28" s="62">
        <f t="shared" si="5"/>
        <v>6837.5</v>
      </c>
      <c r="H28" s="61"/>
      <c r="I28" s="61"/>
      <c r="J28" s="61"/>
      <c r="K28" s="61"/>
      <c r="L28" s="61"/>
      <c r="M28" s="61"/>
      <c r="N28" s="61"/>
      <c r="O28" s="61"/>
      <c r="P28" s="61"/>
      <c r="Q28" s="61"/>
      <c r="R28" s="61"/>
      <c r="S28" s="61"/>
      <c r="T28" s="26"/>
      <c r="U28" s="61"/>
      <c r="V28" s="61"/>
      <c r="W28" s="38">
        <v>341.87</v>
      </c>
      <c r="X28" s="38">
        <v>341.88</v>
      </c>
      <c r="Y28" s="61">
        <f t="shared" si="6"/>
        <v>1230.75</v>
      </c>
      <c r="Z28" s="61">
        <f t="shared" si="7"/>
        <v>1641</v>
      </c>
      <c r="AA28" s="61">
        <v>3156.75</v>
      </c>
      <c r="AB28" s="61"/>
      <c r="AC28" s="61"/>
      <c r="AD28" s="61"/>
      <c r="AE28" s="56">
        <v>100</v>
      </c>
      <c r="AF28" s="58">
        <f t="shared" si="8"/>
        <v>2108.13</v>
      </c>
      <c r="AG28" s="502" t="s">
        <v>142</v>
      </c>
      <c r="AH28" s="203"/>
      <c r="AI28" s="16"/>
    </row>
    <row r="29" spans="1:37" ht="19.5" customHeight="1" x14ac:dyDescent="0.2">
      <c r="A29" s="545" t="s">
        <v>143</v>
      </c>
      <c r="B29" s="30"/>
      <c r="C29" s="210" t="s">
        <v>446</v>
      </c>
      <c r="D29" s="210" t="s">
        <v>208</v>
      </c>
      <c r="E29" s="210" t="s">
        <v>175</v>
      </c>
      <c r="F29" s="54">
        <f>'[1]Reg.4(1-15)'!$F$29</f>
        <v>13474</v>
      </c>
      <c r="G29" s="54">
        <f t="shared" si="5"/>
        <v>6737</v>
      </c>
      <c r="H29" s="56"/>
      <c r="I29" s="56"/>
      <c r="J29" s="56"/>
      <c r="K29" s="56"/>
      <c r="L29" s="56"/>
      <c r="M29" s="56"/>
      <c r="N29" s="56"/>
      <c r="O29" s="56"/>
      <c r="P29" s="56"/>
      <c r="Q29" s="56"/>
      <c r="R29" s="56"/>
      <c r="S29" s="56"/>
      <c r="T29" s="26"/>
      <c r="U29" s="56"/>
      <c r="V29" s="56"/>
      <c r="W29" s="26">
        <v>336.85</v>
      </c>
      <c r="X29" s="26">
        <v>336.85</v>
      </c>
      <c r="Y29" s="56">
        <f t="shared" si="6"/>
        <v>1212.6599999999999</v>
      </c>
      <c r="Z29" s="56">
        <f t="shared" si="7"/>
        <v>1616.8799999999999</v>
      </c>
      <c r="AA29" s="56"/>
      <c r="AB29" s="56"/>
      <c r="AC29" s="56"/>
      <c r="AD29" s="56"/>
      <c r="AE29" s="56">
        <v>100</v>
      </c>
      <c r="AF29" s="58">
        <f t="shared" si="8"/>
        <v>5187.49</v>
      </c>
      <c r="AG29" s="502" t="s">
        <v>143</v>
      </c>
      <c r="AH29" s="203"/>
      <c r="AI29" s="16"/>
    </row>
    <row r="30" spans="1:37" ht="19.5" customHeight="1" x14ac:dyDescent="0.2">
      <c r="A30" s="222" t="s">
        <v>144</v>
      </c>
      <c r="B30" s="30"/>
      <c r="C30" s="210" t="s">
        <v>446</v>
      </c>
      <c r="D30" s="210" t="s">
        <v>208</v>
      </c>
      <c r="E30" s="210" t="s">
        <v>175</v>
      </c>
      <c r="F30" s="54">
        <f>'[1]Reg.4(1-15)'!$F$30</f>
        <v>13474</v>
      </c>
      <c r="G30" s="54">
        <f t="shared" si="5"/>
        <v>6737</v>
      </c>
      <c r="H30" s="56"/>
      <c r="I30" s="56"/>
      <c r="J30" s="56"/>
      <c r="K30" s="56"/>
      <c r="L30" s="56"/>
      <c r="M30" s="56"/>
      <c r="N30" s="56"/>
      <c r="O30" s="56"/>
      <c r="P30" s="56"/>
      <c r="Q30" s="56"/>
      <c r="R30" s="56"/>
      <c r="S30" s="56"/>
      <c r="T30" s="26"/>
      <c r="U30" s="56"/>
      <c r="V30" s="56"/>
      <c r="W30" s="26">
        <v>336.85</v>
      </c>
      <c r="X30" s="26">
        <v>336.85</v>
      </c>
      <c r="Y30" s="56">
        <f t="shared" si="6"/>
        <v>1212.6599999999999</v>
      </c>
      <c r="Z30" s="56">
        <f t="shared" si="7"/>
        <v>1616.8799999999999</v>
      </c>
      <c r="AA30" s="56"/>
      <c r="AB30" s="56"/>
      <c r="AC30" s="56"/>
      <c r="AD30" s="56"/>
      <c r="AE30" s="56">
        <v>100</v>
      </c>
      <c r="AF30" s="58">
        <f t="shared" si="8"/>
        <v>5187.49</v>
      </c>
      <c r="AG30" s="502" t="s">
        <v>144</v>
      </c>
      <c r="AH30" s="203"/>
      <c r="AI30" s="16"/>
    </row>
    <row r="31" spans="1:37" ht="19.5" customHeight="1" thickBot="1" x14ac:dyDescent="0.25">
      <c r="A31" s="222" t="s">
        <v>145</v>
      </c>
      <c r="B31" s="30"/>
      <c r="C31" s="210" t="s">
        <v>446</v>
      </c>
      <c r="D31" s="210" t="s">
        <v>208</v>
      </c>
      <c r="E31" s="210" t="s">
        <v>175</v>
      </c>
      <c r="F31" s="54">
        <f>'[1]Reg.4(1-15)'!$F$31</f>
        <v>13474</v>
      </c>
      <c r="G31" s="54">
        <f t="shared" si="5"/>
        <v>6737</v>
      </c>
      <c r="H31" s="61"/>
      <c r="I31" s="61"/>
      <c r="J31" s="61"/>
      <c r="K31" s="61"/>
      <c r="L31" s="61"/>
      <c r="M31" s="61"/>
      <c r="N31" s="61"/>
      <c r="O31" s="61"/>
      <c r="P31" s="61"/>
      <c r="Q31" s="61"/>
      <c r="R31" s="61"/>
      <c r="S31" s="61"/>
      <c r="T31" s="26"/>
      <c r="U31" s="61"/>
      <c r="V31" s="61"/>
      <c r="W31" s="26">
        <v>336.85</v>
      </c>
      <c r="X31" s="26">
        <v>336.85</v>
      </c>
      <c r="Y31" s="56">
        <f t="shared" si="6"/>
        <v>1212.6599999999999</v>
      </c>
      <c r="Z31" s="56">
        <f t="shared" si="7"/>
        <v>1616.8799999999999</v>
      </c>
      <c r="AA31" s="61"/>
      <c r="AB31" s="61"/>
      <c r="AC31" s="61"/>
      <c r="AD31" s="61"/>
      <c r="AE31" s="60">
        <v>100</v>
      </c>
      <c r="AF31" s="58">
        <f t="shared" si="8"/>
        <v>5187.49</v>
      </c>
      <c r="AG31" s="502" t="s">
        <v>145</v>
      </c>
      <c r="AH31" s="203"/>
      <c r="AI31" s="16"/>
    </row>
    <row r="32" spans="1:37" ht="17.100000000000001" customHeight="1" thickBot="1" x14ac:dyDescent="0.25">
      <c r="A32" s="545" t="s">
        <v>146</v>
      </c>
      <c r="B32" s="30"/>
      <c r="C32" s="210"/>
      <c r="D32" s="210"/>
      <c r="E32" s="210"/>
      <c r="F32" s="472">
        <f t="shared" ref="F32:AF32" si="9">SUM(F25:F31)</f>
        <v>195636</v>
      </c>
      <c r="G32" s="472">
        <f t="shared" si="9"/>
        <v>97818</v>
      </c>
      <c r="H32" s="472">
        <f t="shared" si="9"/>
        <v>0</v>
      </c>
      <c r="I32" s="472">
        <f t="shared" si="9"/>
        <v>0</v>
      </c>
      <c r="J32" s="472">
        <f t="shared" si="9"/>
        <v>0</v>
      </c>
      <c r="K32" s="472">
        <f t="shared" si="9"/>
        <v>0</v>
      </c>
      <c r="L32" s="472">
        <f t="shared" si="9"/>
        <v>0</v>
      </c>
      <c r="M32" s="472"/>
      <c r="N32" s="472">
        <f t="shared" si="9"/>
        <v>0</v>
      </c>
      <c r="O32" s="472">
        <f t="shared" si="9"/>
        <v>0</v>
      </c>
      <c r="P32" s="472">
        <f t="shared" si="9"/>
        <v>1166.6600000000001</v>
      </c>
      <c r="Q32" s="472">
        <f t="shared" si="9"/>
        <v>0</v>
      </c>
      <c r="R32" s="472">
        <f t="shared" si="9"/>
        <v>1966.67</v>
      </c>
      <c r="S32" s="472">
        <f t="shared" si="9"/>
        <v>7606.86</v>
      </c>
      <c r="T32" s="472">
        <f t="shared" si="9"/>
        <v>0</v>
      </c>
      <c r="U32" s="472">
        <f t="shared" si="9"/>
        <v>0</v>
      </c>
      <c r="V32" s="472">
        <f t="shared" si="9"/>
        <v>0</v>
      </c>
      <c r="W32" s="472">
        <f t="shared" si="9"/>
        <v>4890.8900000000003</v>
      </c>
      <c r="X32" s="472">
        <f t="shared" si="9"/>
        <v>4890.9100000000008</v>
      </c>
      <c r="Y32" s="472">
        <f t="shared" si="9"/>
        <v>17607.239999999998</v>
      </c>
      <c r="Z32" s="472">
        <f t="shared" si="9"/>
        <v>23476.320000000003</v>
      </c>
      <c r="AA32" s="472">
        <f t="shared" si="9"/>
        <v>12800.97</v>
      </c>
      <c r="AB32" s="472">
        <f t="shared" si="9"/>
        <v>8000</v>
      </c>
      <c r="AC32" s="472">
        <f t="shared" si="9"/>
        <v>0</v>
      </c>
      <c r="AD32" s="472">
        <f t="shared" si="9"/>
        <v>0</v>
      </c>
      <c r="AE32" s="472">
        <f t="shared" si="9"/>
        <v>700</v>
      </c>
      <c r="AF32" s="472">
        <f t="shared" si="9"/>
        <v>43778.709999999992</v>
      </c>
      <c r="AG32" s="502" t="s">
        <v>146</v>
      </c>
      <c r="AH32" s="204"/>
      <c r="AI32" s="16"/>
    </row>
    <row r="33" spans="1:38" ht="18.75" customHeight="1" thickTop="1" x14ac:dyDescent="0.2">
      <c r="A33" s="222" t="s">
        <v>147</v>
      </c>
      <c r="B33" s="194" t="s">
        <v>95</v>
      </c>
      <c r="C33" s="210"/>
      <c r="D33" s="210"/>
      <c r="E33" s="210"/>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f>G33-N33-O33-P33-Q33-R33-S33-T33-W33-Y33-AA33-AB33-AC33</f>
        <v>0</v>
      </c>
      <c r="AG33" s="502" t="s">
        <v>147</v>
      </c>
      <c r="AH33" s="203"/>
      <c r="AI33" s="16"/>
    </row>
    <row r="34" spans="1:38" ht="23.25" customHeight="1" x14ac:dyDescent="0.2">
      <c r="A34" s="222" t="s">
        <v>148</v>
      </c>
      <c r="B34" s="30"/>
      <c r="C34" s="684" t="s">
        <v>508</v>
      </c>
      <c r="D34" s="935" t="s">
        <v>685</v>
      </c>
      <c r="E34" s="936"/>
      <c r="F34" s="55">
        <f>'[1]Reg.4(1-15)'!$F$34</f>
        <v>87440</v>
      </c>
      <c r="G34" s="55">
        <f t="shared" ref="G34:G40" si="10">F34/2</f>
        <v>43720</v>
      </c>
      <c r="H34" s="55"/>
      <c r="I34" s="55"/>
      <c r="J34" s="55"/>
      <c r="K34" s="55"/>
      <c r="L34" s="55"/>
      <c r="M34" s="55"/>
      <c r="N34" s="55"/>
      <c r="O34" s="55"/>
      <c r="P34" s="55"/>
      <c r="Q34" s="55"/>
      <c r="R34" s="55"/>
      <c r="S34" s="55"/>
      <c r="T34" s="26"/>
      <c r="U34" s="55"/>
      <c r="V34" s="55"/>
      <c r="W34" s="26">
        <v>2186</v>
      </c>
      <c r="X34" s="26">
        <v>2186</v>
      </c>
      <c r="Y34" s="56">
        <f t="shared" ref="Y34:Y40" si="11">F34*0.09</f>
        <v>7869.5999999999995</v>
      </c>
      <c r="Z34" s="56">
        <f t="shared" ref="Z34:Z40" si="12">F34*0.12</f>
        <v>10492.8</v>
      </c>
      <c r="AA34" s="55"/>
      <c r="AB34" s="55"/>
      <c r="AC34" s="55"/>
      <c r="AD34" s="55"/>
      <c r="AE34" s="55">
        <v>100</v>
      </c>
      <c r="AF34" s="56">
        <f t="shared" ref="AF34:AF40" si="13">G34-SUM(N34:T34)-W34-Y34-SUM(AA34:AC34)-U34</f>
        <v>33664.400000000001</v>
      </c>
      <c r="AG34" s="502" t="s">
        <v>148</v>
      </c>
      <c r="AH34" s="203"/>
      <c r="AI34" s="16"/>
    </row>
    <row r="35" spans="1:38" ht="18.75" customHeight="1" x14ac:dyDescent="0.2">
      <c r="A35" s="545" t="s">
        <v>149</v>
      </c>
      <c r="B35" s="30"/>
      <c r="C35" s="210" t="s">
        <v>277</v>
      </c>
      <c r="D35" s="210" t="s">
        <v>208</v>
      </c>
      <c r="E35" s="210" t="s">
        <v>175</v>
      </c>
      <c r="F35" s="54">
        <f>'[1]Reg.4(1-15)'!$F$35</f>
        <v>18730</v>
      </c>
      <c r="G35" s="54">
        <f t="shared" si="10"/>
        <v>9365</v>
      </c>
      <c r="H35" s="56"/>
      <c r="I35" s="56"/>
      <c r="J35" s="56"/>
      <c r="K35" s="56"/>
      <c r="L35" s="56"/>
      <c r="M35" s="56"/>
      <c r="N35" s="56"/>
      <c r="O35" s="56"/>
      <c r="P35" s="56"/>
      <c r="Q35" s="56"/>
      <c r="R35" s="56"/>
      <c r="S35" s="56"/>
      <c r="T35" s="26"/>
      <c r="U35" s="55"/>
      <c r="V35" s="55"/>
      <c r="W35" s="26">
        <v>468.25</v>
      </c>
      <c r="X35" s="26">
        <v>468.25</v>
      </c>
      <c r="Y35" s="56">
        <f t="shared" si="11"/>
        <v>1685.7</v>
      </c>
      <c r="Z35" s="56">
        <f t="shared" si="12"/>
        <v>2247.6</v>
      </c>
      <c r="AA35" s="56"/>
      <c r="AB35" s="56"/>
      <c r="AC35" s="56"/>
      <c r="AD35" s="56"/>
      <c r="AE35" s="56">
        <v>100</v>
      </c>
      <c r="AF35" s="56">
        <f t="shared" si="13"/>
        <v>7211.05</v>
      </c>
      <c r="AG35" s="502" t="s">
        <v>149</v>
      </c>
      <c r="AH35" s="203"/>
      <c r="AI35" s="16"/>
      <c r="AK35" s="35"/>
    </row>
    <row r="36" spans="1:38" ht="19.5" customHeight="1" x14ac:dyDescent="0.2">
      <c r="A36" s="222" t="s">
        <v>150</v>
      </c>
      <c r="B36" s="30"/>
      <c r="C36" s="210" t="s">
        <v>83</v>
      </c>
      <c r="D36" s="210" t="s">
        <v>208</v>
      </c>
      <c r="E36" s="210" t="s">
        <v>175</v>
      </c>
      <c r="F36" s="54">
        <f>'[1]Reg.4(1-15)'!$F$36</f>
        <v>14189</v>
      </c>
      <c r="G36" s="54">
        <f t="shared" si="10"/>
        <v>7094.5</v>
      </c>
      <c r="H36" s="56"/>
      <c r="I36" s="56"/>
      <c r="J36" s="56"/>
      <c r="K36" s="56"/>
      <c r="L36" s="56"/>
      <c r="M36" s="56"/>
      <c r="N36" s="56"/>
      <c r="O36" s="56"/>
      <c r="P36" s="56"/>
      <c r="Q36" s="56"/>
      <c r="R36" s="56"/>
      <c r="S36" s="56"/>
      <c r="T36" s="26"/>
      <c r="U36" s="55"/>
      <c r="V36" s="55"/>
      <c r="W36" s="26">
        <v>354.72</v>
      </c>
      <c r="X36" s="26">
        <v>354.73</v>
      </c>
      <c r="Y36" s="56">
        <f t="shared" si="11"/>
        <v>1277.01</v>
      </c>
      <c r="Z36" s="56">
        <f t="shared" si="12"/>
        <v>1702.6799999999998</v>
      </c>
      <c r="AA36" s="56"/>
      <c r="AB36" s="56"/>
      <c r="AC36" s="56"/>
      <c r="AD36" s="56"/>
      <c r="AE36" s="56">
        <v>100</v>
      </c>
      <c r="AF36" s="56">
        <f t="shared" si="13"/>
        <v>5462.7699999999995</v>
      </c>
      <c r="AG36" s="502" t="s">
        <v>150</v>
      </c>
      <c r="AH36" s="203"/>
      <c r="AI36" s="16"/>
    </row>
    <row r="37" spans="1:38" ht="19.5" customHeight="1" x14ac:dyDescent="0.2">
      <c r="A37" s="222" t="s">
        <v>151</v>
      </c>
      <c r="B37" s="30"/>
      <c r="C37" s="210" t="s">
        <v>83</v>
      </c>
      <c r="D37" s="210" t="s">
        <v>208</v>
      </c>
      <c r="E37" s="210" t="s">
        <v>175</v>
      </c>
      <c r="F37" s="54">
        <v>13675</v>
      </c>
      <c r="G37" s="54">
        <f t="shared" si="10"/>
        <v>6837.5</v>
      </c>
      <c r="H37" s="56"/>
      <c r="I37" s="56"/>
      <c r="J37" s="56"/>
      <c r="K37" s="56"/>
      <c r="L37" s="56"/>
      <c r="M37" s="56"/>
      <c r="N37" s="56"/>
      <c r="O37" s="56">
        <v>1311.12</v>
      </c>
      <c r="P37" s="56"/>
      <c r="Q37" s="56"/>
      <c r="R37" s="58"/>
      <c r="S37" s="56"/>
      <c r="T37" s="26"/>
      <c r="U37" s="56"/>
      <c r="V37" s="56"/>
      <c r="W37" s="38">
        <v>341.87</v>
      </c>
      <c r="X37" s="38">
        <v>341.88</v>
      </c>
      <c r="Y37" s="56">
        <f t="shared" si="11"/>
        <v>1230.75</v>
      </c>
      <c r="Z37" s="56">
        <f t="shared" si="12"/>
        <v>1641</v>
      </c>
      <c r="AA37" s="56">
        <v>2037.7</v>
      </c>
      <c r="AB37" s="56"/>
      <c r="AC37" s="56"/>
      <c r="AD37" s="56"/>
      <c r="AE37" s="56">
        <v>100</v>
      </c>
      <c r="AF37" s="56">
        <f t="shared" si="13"/>
        <v>1916.0600000000002</v>
      </c>
      <c r="AG37" s="502" t="s">
        <v>151</v>
      </c>
      <c r="AH37" s="203"/>
      <c r="AI37" s="16"/>
    </row>
    <row r="38" spans="1:38" ht="19.5" customHeight="1" x14ac:dyDescent="0.2">
      <c r="A38" s="545" t="s">
        <v>152</v>
      </c>
      <c r="B38" s="30"/>
      <c r="C38" s="210" t="s">
        <v>446</v>
      </c>
      <c r="D38" s="210" t="s">
        <v>208</v>
      </c>
      <c r="E38" s="210" t="s">
        <v>175</v>
      </c>
      <c r="F38" s="54">
        <f>'[1]Reg.4(1-15)'!$F$38</f>
        <v>13675</v>
      </c>
      <c r="G38" s="54">
        <f t="shared" si="10"/>
        <v>6837.5</v>
      </c>
      <c r="H38" s="56"/>
      <c r="I38" s="56"/>
      <c r="J38" s="56"/>
      <c r="K38" s="56"/>
      <c r="L38" s="56"/>
      <c r="M38" s="56"/>
      <c r="N38" s="56">
        <f>373.86</f>
        <v>373.86</v>
      </c>
      <c r="O38" s="56">
        <v>655.56</v>
      </c>
      <c r="P38" s="56"/>
      <c r="Q38" s="56"/>
      <c r="R38" s="56"/>
      <c r="S38" s="56"/>
      <c r="T38" s="26"/>
      <c r="U38" s="56"/>
      <c r="V38" s="56"/>
      <c r="W38" s="38">
        <v>341.87</v>
      </c>
      <c r="X38" s="38">
        <v>341.88</v>
      </c>
      <c r="Y38" s="56">
        <f t="shared" si="11"/>
        <v>1230.75</v>
      </c>
      <c r="Z38" s="56">
        <f t="shared" si="12"/>
        <v>1641</v>
      </c>
      <c r="AA38" s="56"/>
      <c r="AB38" s="58">
        <v>1305.53</v>
      </c>
      <c r="AC38" s="56"/>
      <c r="AD38" s="56"/>
      <c r="AE38" s="56">
        <v>100</v>
      </c>
      <c r="AF38" s="56">
        <f t="shared" si="13"/>
        <v>2929.9300000000003</v>
      </c>
      <c r="AG38" s="502" t="s">
        <v>152</v>
      </c>
      <c r="AH38" s="203"/>
      <c r="AI38" s="16"/>
    </row>
    <row r="39" spans="1:38" ht="19.5" customHeight="1" x14ac:dyDescent="0.2">
      <c r="A39" s="222" t="s">
        <v>153</v>
      </c>
      <c r="B39" s="30"/>
      <c r="C39" s="210" t="s">
        <v>446</v>
      </c>
      <c r="D39" s="210" t="s">
        <v>208</v>
      </c>
      <c r="E39" s="210" t="s">
        <v>175</v>
      </c>
      <c r="F39" s="54">
        <f>'[1]Reg.4(1-15)'!$F$39</f>
        <v>13675</v>
      </c>
      <c r="G39" s="54">
        <f t="shared" si="10"/>
        <v>6837.5</v>
      </c>
      <c r="H39" s="56"/>
      <c r="I39" s="56"/>
      <c r="J39" s="56"/>
      <c r="K39" s="56"/>
      <c r="L39" s="56"/>
      <c r="M39" s="56"/>
      <c r="N39" s="56"/>
      <c r="O39" s="56"/>
      <c r="P39" s="56"/>
      <c r="Q39" s="56"/>
      <c r="R39" s="56"/>
      <c r="S39" s="56"/>
      <c r="T39" s="26"/>
      <c r="U39" s="56"/>
      <c r="V39" s="56"/>
      <c r="W39" s="38">
        <v>341.87</v>
      </c>
      <c r="X39" s="38">
        <v>341.88</v>
      </c>
      <c r="Y39" s="56">
        <f t="shared" si="11"/>
        <v>1230.75</v>
      </c>
      <c r="Z39" s="56">
        <f t="shared" si="12"/>
        <v>1641</v>
      </c>
      <c r="AA39" s="56">
        <v>2664.18</v>
      </c>
      <c r="AB39" s="56"/>
      <c r="AC39" s="56"/>
      <c r="AD39" s="56"/>
      <c r="AE39" s="56">
        <v>100</v>
      </c>
      <c r="AF39" s="56">
        <f t="shared" si="13"/>
        <v>2600.7000000000003</v>
      </c>
      <c r="AG39" s="502" t="s">
        <v>153</v>
      </c>
      <c r="AH39" s="203"/>
      <c r="AI39" s="16"/>
    </row>
    <row r="40" spans="1:38" ht="19.5" customHeight="1" thickBot="1" x14ac:dyDescent="0.25">
      <c r="A40" s="222" t="s">
        <v>154</v>
      </c>
      <c r="B40" s="530"/>
      <c r="C40" s="210" t="s">
        <v>446</v>
      </c>
      <c r="D40" s="210" t="s">
        <v>208</v>
      </c>
      <c r="E40" s="210" t="s">
        <v>175</v>
      </c>
      <c r="F40" s="62">
        <f>'[1]Reg.4(1-15)'!$F$40</f>
        <v>13474</v>
      </c>
      <c r="G40" s="62">
        <f t="shared" si="10"/>
        <v>6737</v>
      </c>
      <c r="H40" s="61"/>
      <c r="I40" s="61"/>
      <c r="J40" s="61"/>
      <c r="K40" s="61"/>
      <c r="L40" s="61"/>
      <c r="M40" s="61"/>
      <c r="N40" s="61"/>
      <c r="O40" s="61"/>
      <c r="P40" s="61"/>
      <c r="Q40" s="61"/>
      <c r="R40" s="61"/>
      <c r="S40" s="61"/>
      <c r="T40" s="26"/>
      <c r="U40" s="61"/>
      <c r="V40" s="61"/>
      <c r="W40" s="26">
        <v>336.85</v>
      </c>
      <c r="X40" s="26">
        <v>336.85</v>
      </c>
      <c r="Y40" s="56">
        <f t="shared" si="11"/>
        <v>1212.6599999999999</v>
      </c>
      <c r="Z40" s="56">
        <f t="shared" si="12"/>
        <v>1616.8799999999999</v>
      </c>
      <c r="AA40" s="61">
        <v>3700</v>
      </c>
      <c r="AB40" s="61"/>
      <c r="AC40" s="61"/>
      <c r="AD40" s="61"/>
      <c r="AE40" s="56">
        <v>100</v>
      </c>
      <c r="AF40" s="56">
        <f t="shared" si="13"/>
        <v>1487.4899999999998</v>
      </c>
      <c r="AG40" s="502" t="s">
        <v>154</v>
      </c>
      <c r="AH40" s="203"/>
      <c r="AI40" s="202"/>
    </row>
    <row r="41" spans="1:38" ht="17.100000000000001" customHeight="1" thickBot="1" x14ac:dyDescent="0.25">
      <c r="A41" s="545" t="s">
        <v>155</v>
      </c>
      <c r="B41" s="530"/>
      <c r="C41" s="531"/>
      <c r="D41" s="531"/>
      <c r="E41" s="528"/>
      <c r="F41" s="472">
        <f t="shared" ref="F41:AF41" si="14">SUM(F34:F40)</f>
        <v>174858</v>
      </c>
      <c r="G41" s="472">
        <f t="shared" si="14"/>
        <v>87429</v>
      </c>
      <c r="H41" s="472">
        <f t="shared" si="14"/>
        <v>0</v>
      </c>
      <c r="I41" s="472">
        <f t="shared" si="14"/>
        <v>0</v>
      </c>
      <c r="J41" s="472">
        <f t="shared" si="14"/>
        <v>0</v>
      </c>
      <c r="K41" s="472">
        <f t="shared" si="14"/>
        <v>0</v>
      </c>
      <c r="L41" s="472">
        <f t="shared" si="14"/>
        <v>0</v>
      </c>
      <c r="M41" s="472"/>
      <c r="N41" s="472">
        <f t="shared" si="14"/>
        <v>373.86</v>
      </c>
      <c r="O41" s="472">
        <f t="shared" si="14"/>
        <v>1966.6799999999998</v>
      </c>
      <c r="P41" s="472">
        <f t="shared" si="14"/>
        <v>0</v>
      </c>
      <c r="Q41" s="472">
        <f t="shared" si="14"/>
        <v>0</v>
      </c>
      <c r="R41" s="472">
        <f t="shared" si="14"/>
        <v>0</v>
      </c>
      <c r="S41" s="472">
        <f t="shared" si="14"/>
        <v>0</v>
      </c>
      <c r="T41" s="472">
        <f t="shared" si="14"/>
        <v>0</v>
      </c>
      <c r="U41" s="472">
        <f t="shared" si="14"/>
        <v>0</v>
      </c>
      <c r="V41" s="472">
        <f t="shared" si="14"/>
        <v>0</v>
      </c>
      <c r="W41" s="472">
        <f t="shared" si="14"/>
        <v>4371.43</v>
      </c>
      <c r="X41" s="472">
        <f t="shared" si="14"/>
        <v>4371.47</v>
      </c>
      <c r="Y41" s="472">
        <f t="shared" si="14"/>
        <v>15737.22</v>
      </c>
      <c r="Z41" s="472">
        <f t="shared" si="14"/>
        <v>20982.960000000003</v>
      </c>
      <c r="AA41" s="472">
        <f t="shared" si="14"/>
        <v>8401.880000000001</v>
      </c>
      <c r="AB41" s="472">
        <f t="shared" si="14"/>
        <v>1305.53</v>
      </c>
      <c r="AC41" s="472">
        <f t="shared" si="14"/>
        <v>0</v>
      </c>
      <c r="AD41" s="472">
        <f t="shared" si="14"/>
        <v>0</v>
      </c>
      <c r="AE41" s="472">
        <f t="shared" si="14"/>
        <v>700</v>
      </c>
      <c r="AF41" s="472">
        <f t="shared" si="14"/>
        <v>55272.399999999994</v>
      </c>
      <c r="AG41" s="502" t="s">
        <v>155</v>
      </c>
      <c r="AH41" s="204"/>
      <c r="AI41" s="202"/>
    </row>
    <row r="42" spans="1:38" ht="18.75" customHeight="1" thickTop="1" x14ac:dyDescent="0.2">
      <c r="A42" s="222" t="s">
        <v>156</v>
      </c>
      <c r="B42" s="194" t="s">
        <v>509</v>
      </c>
      <c r="C42" s="210"/>
      <c r="D42" s="210"/>
      <c r="E42" s="210"/>
      <c r="F42" s="56"/>
      <c r="G42" s="54"/>
      <c r="H42" s="56"/>
      <c r="I42" s="56"/>
      <c r="J42" s="471"/>
      <c r="K42" s="55"/>
      <c r="L42" s="55"/>
      <c r="M42" s="55"/>
      <c r="N42" s="55"/>
      <c r="O42" s="55"/>
      <c r="P42" s="55"/>
      <c r="Q42" s="55"/>
      <c r="R42" s="55"/>
      <c r="S42" s="55"/>
      <c r="T42" s="55"/>
      <c r="U42" s="55"/>
      <c r="V42" s="55"/>
      <c r="W42" s="55"/>
      <c r="X42" s="55"/>
      <c r="Y42" s="55"/>
      <c r="Z42" s="55"/>
      <c r="AA42" s="55"/>
      <c r="AB42" s="191"/>
      <c r="AC42" s="55"/>
      <c r="AD42" s="55"/>
      <c r="AE42" s="55"/>
      <c r="AF42" s="55"/>
      <c r="AG42" s="502" t="s">
        <v>156</v>
      </c>
      <c r="AH42" s="203"/>
      <c r="AI42" s="532"/>
      <c r="AJ42" s="533"/>
    </row>
    <row r="43" spans="1:38" s="201" customFormat="1" ht="20.100000000000001" customHeight="1" x14ac:dyDescent="0.2">
      <c r="A43" s="222" t="s">
        <v>157</v>
      </c>
      <c r="B43" s="512"/>
      <c r="C43" s="23" t="s">
        <v>83</v>
      </c>
      <c r="D43" s="935" t="s">
        <v>685</v>
      </c>
      <c r="E43" s="936"/>
      <c r="F43" s="57">
        <f>'[1]Reg.4(1-15)'!$F$43</f>
        <v>13675</v>
      </c>
      <c r="G43" s="57">
        <f>F43/2</f>
        <v>6837.5</v>
      </c>
      <c r="H43" s="55"/>
      <c r="I43" s="55"/>
      <c r="J43" s="55"/>
      <c r="K43" s="55">
        <v>0</v>
      </c>
      <c r="L43" s="55"/>
      <c r="M43" s="55"/>
      <c r="N43" s="55"/>
      <c r="O43" s="55"/>
      <c r="P43" s="55">
        <v>0</v>
      </c>
      <c r="Q43" s="55"/>
      <c r="R43" s="55"/>
      <c r="S43" s="55"/>
      <c r="T43" s="26"/>
      <c r="U43" s="55"/>
      <c r="V43" s="55"/>
      <c r="W43" s="38">
        <v>341.87</v>
      </c>
      <c r="X43" s="38">
        <v>341.88</v>
      </c>
      <c r="Y43" s="56">
        <f>F43*0.09</f>
        <v>1230.75</v>
      </c>
      <c r="Z43" s="56">
        <f>F43*0.12</f>
        <v>1641</v>
      </c>
      <c r="AA43" s="55">
        <v>988.75</v>
      </c>
      <c r="AB43" s="55">
        <v>2275.31</v>
      </c>
      <c r="AC43" s="55"/>
      <c r="AD43" s="55">
        <v>0</v>
      </c>
      <c r="AE43" s="55">
        <v>100</v>
      </c>
      <c r="AF43" s="56">
        <f>G43-SUM(N43:T43)-W43-Y43-SUM(AA43:AC43)-U43</f>
        <v>2000.8200000000002</v>
      </c>
      <c r="AG43" s="502" t="s">
        <v>157</v>
      </c>
      <c r="AH43" s="534"/>
      <c r="AI43" s="632"/>
      <c r="AJ43" s="633"/>
    </row>
    <row r="44" spans="1:38" ht="20.100000000000001" customHeight="1" thickBot="1" x14ac:dyDescent="0.25">
      <c r="A44" s="545" t="s">
        <v>97</v>
      </c>
      <c r="B44" s="246"/>
      <c r="C44" s="209" t="s">
        <v>83</v>
      </c>
      <c r="D44" s="210" t="s">
        <v>208</v>
      </c>
      <c r="E44" s="210" t="s">
        <v>175</v>
      </c>
      <c r="F44" s="470">
        <f>'[1]Reg.4(1-15)'!$F$44</f>
        <v>13675</v>
      </c>
      <c r="G44" s="470">
        <f>F44/2</f>
        <v>6837.5</v>
      </c>
      <c r="H44" s="60"/>
      <c r="I44" s="60"/>
      <c r="J44" s="60"/>
      <c r="K44" s="60">
        <v>0</v>
      </c>
      <c r="L44" s="60"/>
      <c r="M44" s="60"/>
      <c r="N44" s="60"/>
      <c r="O44" s="60">
        <v>655.56</v>
      </c>
      <c r="P44" s="60"/>
      <c r="Q44" s="60">
        <v>200</v>
      </c>
      <c r="R44" s="60">
        <v>300</v>
      </c>
      <c r="S44" s="60">
        <v>500</v>
      </c>
      <c r="T44" s="36"/>
      <c r="U44" s="473"/>
      <c r="V44" s="473"/>
      <c r="W44" s="36">
        <v>341.87</v>
      </c>
      <c r="X44" s="36">
        <v>341.88</v>
      </c>
      <c r="Y44" s="60">
        <f>F44*0.09</f>
        <v>1230.75</v>
      </c>
      <c r="Z44" s="60">
        <f>F44*0.12</f>
        <v>1641</v>
      </c>
      <c r="AA44" s="60">
        <v>1210.9100000000001</v>
      </c>
      <c r="AB44" s="60">
        <v>1763.89</v>
      </c>
      <c r="AC44" s="60"/>
      <c r="AD44" s="60">
        <v>0</v>
      </c>
      <c r="AE44" s="60">
        <v>100</v>
      </c>
      <c r="AF44" s="56">
        <f>G44-SUM(N44:T44)-W44-Y44-SUM(AA44:AC44)-U44</f>
        <v>634.52000000000044</v>
      </c>
      <c r="AG44" s="502" t="s">
        <v>97</v>
      </c>
      <c r="AH44" s="534"/>
      <c r="AI44" s="532"/>
      <c r="AJ44" s="533"/>
    </row>
    <row r="45" spans="1:38" ht="20.100000000000001" customHeight="1" thickBot="1" x14ac:dyDescent="0.25">
      <c r="A45" s="222" t="s">
        <v>99</v>
      </c>
      <c r="B45" s="30"/>
      <c r="C45" s="210"/>
      <c r="D45" s="210"/>
      <c r="E45" s="210"/>
      <c r="F45" s="64">
        <f t="shared" ref="F45:AE45" si="15">SUM(F43:F44)</f>
        <v>27350</v>
      </c>
      <c r="G45" s="64">
        <f t="shared" si="15"/>
        <v>13675</v>
      </c>
      <c r="H45" s="64">
        <f t="shared" si="15"/>
        <v>0</v>
      </c>
      <c r="I45" s="64">
        <f t="shared" si="15"/>
        <v>0</v>
      </c>
      <c r="J45" s="64">
        <f t="shared" si="15"/>
        <v>0</v>
      </c>
      <c r="K45" s="64">
        <f t="shared" si="15"/>
        <v>0</v>
      </c>
      <c r="L45" s="64">
        <f t="shared" si="15"/>
        <v>0</v>
      </c>
      <c r="M45" s="64"/>
      <c r="N45" s="64">
        <f>SUM(N43:N44)</f>
        <v>0</v>
      </c>
      <c r="O45" s="64">
        <f t="shared" si="15"/>
        <v>655.56</v>
      </c>
      <c r="P45" s="64">
        <f>SUM(P43:P44)</f>
        <v>0</v>
      </c>
      <c r="Q45" s="64">
        <f>SUM(Q43:Q44)</f>
        <v>200</v>
      </c>
      <c r="R45" s="64">
        <f t="shared" ref="R45" si="16">SUM(R43:R44)</f>
        <v>300</v>
      </c>
      <c r="S45" s="64">
        <f>SUM(S43:S44)</f>
        <v>500</v>
      </c>
      <c r="T45" s="64">
        <f t="shared" si="15"/>
        <v>0</v>
      </c>
      <c r="U45" s="64">
        <f t="shared" si="15"/>
        <v>0</v>
      </c>
      <c r="V45" s="64">
        <f t="shared" si="15"/>
        <v>0</v>
      </c>
      <c r="W45" s="64">
        <f t="shared" si="15"/>
        <v>683.74</v>
      </c>
      <c r="X45" s="64">
        <f t="shared" si="15"/>
        <v>683.76</v>
      </c>
      <c r="Y45" s="64">
        <f t="shared" si="15"/>
        <v>2461.5</v>
      </c>
      <c r="Z45" s="64">
        <f t="shared" si="15"/>
        <v>3282</v>
      </c>
      <c r="AA45" s="64">
        <f>SUM(AA43:AA44)</f>
        <v>2199.66</v>
      </c>
      <c r="AB45" s="64">
        <f t="shared" si="15"/>
        <v>4039.2</v>
      </c>
      <c r="AC45" s="64">
        <f t="shared" si="15"/>
        <v>0</v>
      </c>
      <c r="AD45" s="64">
        <f t="shared" si="15"/>
        <v>0</v>
      </c>
      <c r="AE45" s="64">
        <f t="shared" si="15"/>
        <v>200</v>
      </c>
      <c r="AF45" s="472">
        <f>SUM(AF43:AF44)</f>
        <v>2635.3400000000006</v>
      </c>
      <c r="AG45" s="502" t="s">
        <v>99</v>
      </c>
      <c r="AH45" s="204"/>
      <c r="AI45" s="20" t="s">
        <v>37</v>
      </c>
      <c r="AJ45" s="529"/>
      <c r="AL45" s="529"/>
    </row>
    <row r="46" spans="1:38" ht="20.100000000000001" customHeight="1" thickTop="1" x14ac:dyDescent="0.2">
      <c r="A46" s="222" t="s">
        <v>46</v>
      </c>
      <c r="B46" s="194" t="s">
        <v>510</v>
      </c>
      <c r="C46" s="210"/>
      <c r="D46" s="210"/>
      <c r="E46" s="210"/>
      <c r="F46" s="55"/>
      <c r="G46" s="55" t="s">
        <v>37</v>
      </c>
      <c r="H46" s="55"/>
      <c r="I46" s="55"/>
      <c r="J46" s="55"/>
      <c r="K46" s="55" t="s">
        <v>37</v>
      </c>
      <c r="L46" s="55"/>
      <c r="M46" s="55"/>
      <c r="N46" s="55"/>
      <c r="O46" s="55"/>
      <c r="P46" s="55"/>
      <c r="Q46" s="55"/>
      <c r="R46" s="55"/>
      <c r="S46" s="55"/>
      <c r="T46" s="55"/>
      <c r="U46" s="55"/>
      <c r="V46" s="55"/>
      <c r="W46" s="55"/>
      <c r="X46" s="55"/>
      <c r="Y46" s="55"/>
      <c r="Z46" s="55"/>
      <c r="AA46" s="55"/>
      <c r="AB46" s="55"/>
      <c r="AC46" s="55"/>
      <c r="AD46" s="55"/>
      <c r="AE46" s="55"/>
      <c r="AF46" s="55"/>
      <c r="AG46" s="502" t="s">
        <v>46</v>
      </c>
      <c r="AH46" s="534"/>
      <c r="AI46" s="535"/>
    </row>
    <row r="47" spans="1:38" ht="20.100000000000001" customHeight="1" x14ac:dyDescent="0.2">
      <c r="A47" s="545" t="s">
        <v>47</v>
      </c>
      <c r="B47" s="30"/>
      <c r="C47" s="209" t="s">
        <v>546</v>
      </c>
      <c r="D47" s="935" t="s">
        <v>685</v>
      </c>
      <c r="E47" s="936"/>
      <c r="F47" s="54">
        <f>'[1]Reg.4(1-15)'!$F$47</f>
        <v>11952</v>
      </c>
      <c r="G47" s="54">
        <f>F47/2</f>
        <v>5976</v>
      </c>
      <c r="H47" s="56"/>
      <c r="I47" s="56"/>
      <c r="J47" s="56"/>
      <c r="K47" s="56"/>
      <c r="L47" s="56"/>
      <c r="M47" s="56"/>
      <c r="N47" s="56"/>
      <c r="O47" s="56">
        <v>587.16999999999996</v>
      </c>
      <c r="P47" s="56"/>
      <c r="Q47" s="56"/>
      <c r="R47" s="56"/>
      <c r="S47" s="56"/>
      <c r="T47" s="26"/>
      <c r="U47" s="56"/>
      <c r="V47" s="56"/>
      <c r="W47" s="26">
        <v>298.8</v>
      </c>
      <c r="X47" s="26">
        <v>298.8</v>
      </c>
      <c r="Y47" s="56">
        <f>F47*0.09</f>
        <v>1075.68</v>
      </c>
      <c r="Z47" s="56">
        <f>F47*0.12</f>
        <v>1434.24</v>
      </c>
      <c r="AA47" s="56">
        <v>1761.04</v>
      </c>
      <c r="AB47" s="56">
        <v>1800</v>
      </c>
      <c r="AC47" s="56"/>
      <c r="AD47" s="56"/>
      <c r="AE47" s="56">
        <v>100</v>
      </c>
      <c r="AF47" s="56">
        <f>G47-SUM(N47:T47)-W47-Y47-SUM(AA47:AC47)-U47</f>
        <v>453.30999999999949</v>
      </c>
      <c r="AG47" s="502" t="s">
        <v>47</v>
      </c>
      <c r="AH47" s="534"/>
      <c r="AI47" s="535"/>
    </row>
    <row r="48" spans="1:38" ht="20.100000000000001" customHeight="1" thickBot="1" x14ac:dyDescent="0.25">
      <c r="A48" s="222" t="s">
        <v>100</v>
      </c>
      <c r="B48" s="30"/>
      <c r="C48" s="209" t="s">
        <v>83</v>
      </c>
      <c r="D48" s="210" t="s">
        <v>208</v>
      </c>
      <c r="E48" s="210" t="s">
        <v>175</v>
      </c>
      <c r="F48" s="62">
        <f>'[1]Reg.4(1-15)'!$F$48</f>
        <v>13474</v>
      </c>
      <c r="G48" s="57">
        <f>F48/2</f>
        <v>6737</v>
      </c>
      <c r="H48" s="61"/>
      <c r="I48" s="61"/>
      <c r="J48" s="61"/>
      <c r="K48" s="61"/>
      <c r="L48" s="61"/>
      <c r="M48" s="61"/>
      <c r="N48" s="61"/>
      <c r="O48" s="61"/>
      <c r="P48" s="61"/>
      <c r="Q48" s="61"/>
      <c r="R48" s="61"/>
      <c r="S48" s="61"/>
      <c r="T48" s="26"/>
      <c r="U48" s="61"/>
      <c r="V48" s="61"/>
      <c r="W48" s="26">
        <v>336.85</v>
      </c>
      <c r="X48" s="26">
        <v>336.85</v>
      </c>
      <c r="Y48" s="55">
        <f>F48*0.09</f>
        <v>1212.6599999999999</v>
      </c>
      <c r="Z48" s="55">
        <f>F48*0.12</f>
        <v>1616.8799999999999</v>
      </c>
      <c r="AA48" s="61">
        <v>3945.94</v>
      </c>
      <c r="AB48" s="61"/>
      <c r="AC48" s="61"/>
      <c r="AD48" s="61"/>
      <c r="AE48" s="61">
        <v>100</v>
      </c>
      <c r="AF48" s="55">
        <f>G48-SUM(N48:T48)-W48-Y48-SUM(AA48:AC48)-U48</f>
        <v>1241.5499999999997</v>
      </c>
      <c r="AG48" s="502" t="s">
        <v>100</v>
      </c>
      <c r="AH48" s="534"/>
      <c r="AI48" s="535"/>
    </row>
    <row r="49" spans="1:36" ht="20.100000000000001" customHeight="1" thickBot="1" x14ac:dyDescent="0.25">
      <c r="A49" s="222" t="s">
        <v>101</v>
      </c>
      <c r="B49" s="30"/>
      <c r="C49" s="210"/>
      <c r="D49" s="210"/>
      <c r="E49" s="210"/>
      <c r="F49" s="472">
        <f>SUM(F47:F48)</f>
        <v>25426</v>
      </c>
      <c r="G49" s="472">
        <f t="shared" ref="G49:AF49" si="17">SUM(G47:G48)</f>
        <v>12713</v>
      </c>
      <c r="H49" s="472">
        <f t="shared" si="17"/>
        <v>0</v>
      </c>
      <c r="I49" s="472">
        <f t="shared" si="17"/>
        <v>0</v>
      </c>
      <c r="J49" s="472">
        <f t="shared" si="17"/>
        <v>0</v>
      </c>
      <c r="K49" s="472">
        <f t="shared" si="17"/>
        <v>0</v>
      </c>
      <c r="L49" s="472">
        <f t="shared" si="17"/>
        <v>0</v>
      </c>
      <c r="M49" s="472"/>
      <c r="N49" s="472">
        <f t="shared" si="17"/>
        <v>0</v>
      </c>
      <c r="O49" s="472">
        <f t="shared" si="17"/>
        <v>587.16999999999996</v>
      </c>
      <c r="P49" s="472">
        <f t="shared" si="17"/>
        <v>0</v>
      </c>
      <c r="Q49" s="472">
        <f t="shared" si="17"/>
        <v>0</v>
      </c>
      <c r="R49" s="472">
        <f t="shared" si="17"/>
        <v>0</v>
      </c>
      <c r="S49" s="472">
        <f t="shared" si="17"/>
        <v>0</v>
      </c>
      <c r="T49" s="472"/>
      <c r="U49" s="472">
        <f t="shared" si="17"/>
        <v>0</v>
      </c>
      <c r="V49" s="472">
        <f t="shared" si="17"/>
        <v>0</v>
      </c>
      <c r="W49" s="472">
        <f t="shared" si="17"/>
        <v>635.65000000000009</v>
      </c>
      <c r="X49" s="472">
        <f t="shared" si="17"/>
        <v>635.65000000000009</v>
      </c>
      <c r="Y49" s="472">
        <f t="shared" si="17"/>
        <v>2288.34</v>
      </c>
      <c r="Z49" s="472">
        <f t="shared" si="17"/>
        <v>3051.12</v>
      </c>
      <c r="AA49" s="472">
        <f t="shared" si="17"/>
        <v>5706.98</v>
      </c>
      <c r="AB49" s="472">
        <f t="shared" si="17"/>
        <v>1800</v>
      </c>
      <c r="AC49" s="472">
        <f t="shared" si="17"/>
        <v>0</v>
      </c>
      <c r="AD49" s="472">
        <f t="shared" si="17"/>
        <v>0</v>
      </c>
      <c r="AE49" s="472">
        <f t="shared" si="17"/>
        <v>200</v>
      </c>
      <c r="AF49" s="472">
        <f t="shared" si="17"/>
        <v>1694.8599999999992</v>
      </c>
      <c r="AG49" s="502" t="s">
        <v>101</v>
      </c>
      <c r="AH49" s="204"/>
      <c r="AI49" s="535"/>
    </row>
    <row r="50" spans="1:36" ht="20.100000000000001" customHeight="1" thickTop="1" x14ac:dyDescent="0.2">
      <c r="A50" s="545" t="s">
        <v>162</v>
      </c>
      <c r="B50" s="194" t="s">
        <v>428</v>
      </c>
      <c r="C50" s="210"/>
      <c r="D50" s="210"/>
      <c r="E50" s="210"/>
      <c r="F50" s="55" t="s">
        <v>37</v>
      </c>
      <c r="G50" s="55" t="s">
        <v>37</v>
      </c>
      <c r="H50" s="56"/>
      <c r="I50" s="56"/>
      <c r="J50" s="56"/>
      <c r="K50" s="56"/>
      <c r="L50" s="56"/>
      <c r="M50" s="56"/>
      <c r="N50" s="56"/>
      <c r="O50" s="56"/>
      <c r="P50" s="56"/>
      <c r="Q50" s="56"/>
      <c r="R50" s="56"/>
      <c r="S50" s="56"/>
      <c r="T50" s="56"/>
      <c r="U50" s="56"/>
      <c r="V50" s="56"/>
      <c r="W50" s="56"/>
      <c r="X50" s="56"/>
      <c r="Y50" s="56"/>
      <c r="Z50" s="56"/>
      <c r="AA50" s="56"/>
      <c r="AB50" s="45"/>
      <c r="AC50" s="56"/>
      <c r="AD50" s="56"/>
      <c r="AE50" s="56"/>
      <c r="AF50" s="55" t="s">
        <v>37</v>
      </c>
      <c r="AG50" s="502" t="s">
        <v>162</v>
      </c>
      <c r="AH50" s="203"/>
      <c r="AI50" s="16"/>
    </row>
    <row r="51" spans="1:36" ht="20.100000000000001" customHeight="1" x14ac:dyDescent="0.2">
      <c r="A51" s="222" t="s">
        <v>178</v>
      </c>
      <c r="B51" s="30"/>
      <c r="C51" s="209" t="s">
        <v>668</v>
      </c>
      <c r="D51" s="935" t="s">
        <v>685</v>
      </c>
      <c r="E51" s="936"/>
      <c r="F51" s="45">
        <f>'[1]Reg.4(1-15)'!$F$51</f>
        <v>17094</v>
      </c>
      <c r="G51" s="54">
        <f t="shared" ref="G51:G60" si="18">F51/2</f>
        <v>8547</v>
      </c>
      <c r="H51" s="56"/>
      <c r="I51" s="56"/>
      <c r="J51" s="56"/>
      <c r="K51" s="56"/>
      <c r="L51" s="56"/>
      <c r="M51" s="56"/>
      <c r="N51" s="56"/>
      <c r="O51" s="56">
        <v>655.36</v>
      </c>
      <c r="P51" s="56"/>
      <c r="Q51" s="56"/>
      <c r="R51" s="56"/>
      <c r="S51" s="56">
        <v>1174.49</v>
      </c>
      <c r="T51" s="26"/>
      <c r="U51" s="56"/>
      <c r="V51" s="56"/>
      <c r="W51" s="26">
        <v>427.35</v>
      </c>
      <c r="X51" s="26">
        <v>427.35</v>
      </c>
      <c r="Y51" s="56">
        <f t="shared" ref="Y51:Y60" si="19">F51*0.09</f>
        <v>1538.46</v>
      </c>
      <c r="Z51" s="56">
        <f t="shared" ref="Z51:Z60" si="20">F51*0.12</f>
        <v>2051.2799999999997</v>
      </c>
      <c r="AA51" s="56">
        <v>3156.75</v>
      </c>
      <c r="AB51" s="45"/>
      <c r="AC51" s="56"/>
      <c r="AD51" s="56"/>
      <c r="AE51" s="56">
        <v>100</v>
      </c>
      <c r="AF51" s="56">
        <f t="shared" ref="AF51:AF60" si="21">G51-SUM(N51:T51)-W51-Y51-SUM(AA51:AC51)-U51</f>
        <v>1594.5899999999992</v>
      </c>
      <c r="AG51" s="502" t="s">
        <v>178</v>
      </c>
      <c r="AH51" s="203"/>
      <c r="AI51" s="16"/>
    </row>
    <row r="52" spans="1:36" ht="20.100000000000001" customHeight="1" x14ac:dyDescent="0.2">
      <c r="A52" s="545" t="s">
        <v>179</v>
      </c>
      <c r="B52" s="30"/>
      <c r="C52" s="209" t="s">
        <v>499</v>
      </c>
      <c r="D52" s="210" t="s">
        <v>208</v>
      </c>
      <c r="E52" s="210" t="s">
        <v>175</v>
      </c>
      <c r="F52" s="45">
        <f>'[1]Reg.4(1-15)'!$F$52</f>
        <v>14414</v>
      </c>
      <c r="G52" s="54">
        <f t="shared" si="18"/>
        <v>7207</v>
      </c>
      <c r="H52" s="56"/>
      <c r="I52" s="56"/>
      <c r="J52" s="56"/>
      <c r="K52" s="56"/>
      <c r="L52" s="56"/>
      <c r="M52" s="56"/>
      <c r="N52" s="56"/>
      <c r="O52" s="56"/>
      <c r="P52" s="56"/>
      <c r="Q52" s="56"/>
      <c r="R52" s="56">
        <v>983.33</v>
      </c>
      <c r="S52" s="56">
        <v>840.78</v>
      </c>
      <c r="T52" s="26"/>
      <c r="U52" s="56"/>
      <c r="V52" s="56"/>
      <c r="W52" s="26">
        <v>360.35</v>
      </c>
      <c r="X52" s="26">
        <v>360.35</v>
      </c>
      <c r="Y52" s="56">
        <f t="shared" si="19"/>
        <v>1297.26</v>
      </c>
      <c r="Z52" s="56">
        <f t="shared" si="20"/>
        <v>1729.6799999999998</v>
      </c>
      <c r="AA52" s="56"/>
      <c r="AB52" s="45">
        <v>2260.0500000000002</v>
      </c>
      <c r="AC52" s="56"/>
      <c r="AD52" s="56"/>
      <c r="AE52" s="56">
        <v>100</v>
      </c>
      <c r="AF52" s="56">
        <f t="shared" si="21"/>
        <v>1465.2299999999987</v>
      </c>
      <c r="AG52" s="502" t="s">
        <v>179</v>
      </c>
      <c r="AH52" s="203"/>
      <c r="AI52" s="16"/>
    </row>
    <row r="53" spans="1:36" ht="20.100000000000001" customHeight="1" x14ac:dyDescent="0.2">
      <c r="A53" s="222" t="s">
        <v>180</v>
      </c>
      <c r="B53" s="30"/>
      <c r="C53" s="209" t="s">
        <v>499</v>
      </c>
      <c r="D53" s="210" t="s">
        <v>208</v>
      </c>
      <c r="E53" s="210" t="s">
        <v>175</v>
      </c>
      <c r="F53" s="54">
        <f>'[1]Reg.4(1-15)'!$F$53</f>
        <v>14308</v>
      </c>
      <c r="G53" s="54">
        <f t="shared" si="18"/>
        <v>7154</v>
      </c>
      <c r="H53" s="32"/>
      <c r="I53" s="32"/>
      <c r="J53" s="32"/>
      <c r="K53" s="32"/>
      <c r="L53" s="32"/>
      <c r="M53" s="32"/>
      <c r="N53" s="32"/>
      <c r="O53" s="56"/>
      <c r="P53" s="32">
        <v>583.33000000000004</v>
      </c>
      <c r="Q53" s="32"/>
      <c r="R53" s="32"/>
      <c r="S53" s="32"/>
      <c r="T53" s="26"/>
      <c r="U53" s="56"/>
      <c r="V53" s="56"/>
      <c r="W53" s="26">
        <v>357.7</v>
      </c>
      <c r="X53" s="26">
        <v>357.7</v>
      </c>
      <c r="Y53" s="56">
        <f t="shared" si="19"/>
        <v>1287.72</v>
      </c>
      <c r="Z53" s="56">
        <f t="shared" si="20"/>
        <v>1716.96</v>
      </c>
      <c r="AA53" s="32"/>
      <c r="AB53" s="45">
        <v>3336.66</v>
      </c>
      <c r="AC53" s="32">
        <v>687.32</v>
      </c>
      <c r="AD53" s="32"/>
      <c r="AE53" s="56">
        <v>100</v>
      </c>
      <c r="AF53" s="56">
        <f t="shared" si="21"/>
        <v>901.27</v>
      </c>
      <c r="AG53" s="502" t="s">
        <v>180</v>
      </c>
      <c r="AH53" s="204"/>
      <c r="AI53" s="20"/>
      <c r="AJ53" s="529"/>
    </row>
    <row r="54" spans="1:36" ht="20.100000000000001" customHeight="1" x14ac:dyDescent="0.2">
      <c r="A54" s="222" t="s">
        <v>181</v>
      </c>
      <c r="B54" s="30"/>
      <c r="C54" s="209" t="s">
        <v>499</v>
      </c>
      <c r="D54" s="210" t="s">
        <v>208</v>
      </c>
      <c r="E54" s="210" t="s">
        <v>175</v>
      </c>
      <c r="F54" s="54">
        <f>'[1]Reg.4(1-15)'!$F$54</f>
        <v>14308</v>
      </c>
      <c r="G54" s="54">
        <f t="shared" si="18"/>
        <v>7154</v>
      </c>
      <c r="H54" s="32"/>
      <c r="I54" s="32"/>
      <c r="J54" s="32"/>
      <c r="K54" s="32"/>
      <c r="L54" s="32"/>
      <c r="M54" s="32"/>
      <c r="N54" s="32"/>
      <c r="O54" s="32"/>
      <c r="P54" s="32"/>
      <c r="Q54" s="32"/>
      <c r="R54" s="32"/>
      <c r="S54" s="32"/>
      <c r="T54" s="26"/>
      <c r="U54" s="56"/>
      <c r="V54" s="56"/>
      <c r="W54" s="26">
        <v>357.7</v>
      </c>
      <c r="X54" s="26">
        <f>357.7</f>
        <v>357.7</v>
      </c>
      <c r="Y54" s="56">
        <f t="shared" si="19"/>
        <v>1287.72</v>
      </c>
      <c r="Z54" s="56">
        <f t="shared" si="20"/>
        <v>1716.96</v>
      </c>
      <c r="AA54" s="32"/>
      <c r="AB54" s="45"/>
      <c r="AC54" s="32"/>
      <c r="AD54" s="32"/>
      <c r="AE54" s="56">
        <v>100</v>
      </c>
      <c r="AF54" s="56">
        <f t="shared" si="21"/>
        <v>5508.58</v>
      </c>
      <c r="AG54" s="502" t="s">
        <v>181</v>
      </c>
      <c r="AH54" s="204"/>
      <c r="AI54" s="20"/>
      <c r="AJ54" s="529"/>
    </row>
    <row r="55" spans="1:36" ht="20.100000000000001" customHeight="1" x14ac:dyDescent="0.2">
      <c r="A55" s="545" t="s">
        <v>186</v>
      </c>
      <c r="B55" s="30"/>
      <c r="C55" s="209" t="s">
        <v>499</v>
      </c>
      <c r="D55" s="210" t="s">
        <v>208</v>
      </c>
      <c r="E55" s="210" t="s">
        <v>175</v>
      </c>
      <c r="F55" s="54">
        <f>'[1]Reg.4(1-15)'!$F$55</f>
        <v>14308</v>
      </c>
      <c r="G55" s="54">
        <f t="shared" si="18"/>
        <v>7154</v>
      </c>
      <c r="H55" s="32"/>
      <c r="I55" s="32"/>
      <c r="J55" s="32"/>
      <c r="K55" s="32"/>
      <c r="L55" s="32"/>
      <c r="M55" s="32"/>
      <c r="N55" s="32"/>
      <c r="O55" s="32"/>
      <c r="P55" s="32"/>
      <c r="Q55" s="32"/>
      <c r="R55" s="32"/>
      <c r="S55" s="32">
        <v>695.21</v>
      </c>
      <c r="T55" s="26"/>
      <c r="U55" s="56"/>
      <c r="V55" s="56"/>
      <c r="W55" s="26">
        <v>357.7</v>
      </c>
      <c r="X55" s="26">
        <v>357.7</v>
      </c>
      <c r="Y55" s="56">
        <f t="shared" si="19"/>
        <v>1287.72</v>
      </c>
      <c r="Z55" s="56">
        <f t="shared" si="20"/>
        <v>1716.96</v>
      </c>
      <c r="AA55" s="32"/>
      <c r="AB55" s="45">
        <v>2521.73</v>
      </c>
      <c r="AC55" s="32"/>
      <c r="AD55" s="32"/>
      <c r="AE55" s="56">
        <v>100</v>
      </c>
      <c r="AF55" s="56">
        <f t="shared" si="21"/>
        <v>2291.64</v>
      </c>
      <c r="AG55" s="502" t="s">
        <v>186</v>
      </c>
      <c r="AH55" s="204"/>
      <c r="AI55" s="20"/>
      <c r="AJ55" s="529"/>
    </row>
    <row r="56" spans="1:36" ht="20.100000000000001" customHeight="1" x14ac:dyDescent="0.2">
      <c r="A56" s="222" t="s">
        <v>189</v>
      </c>
      <c r="B56" s="44"/>
      <c r="C56" s="209" t="s">
        <v>499</v>
      </c>
      <c r="D56" s="210" t="s">
        <v>208</v>
      </c>
      <c r="E56" s="210" t="s">
        <v>175</v>
      </c>
      <c r="F56" s="54">
        <f>'[1]Reg.4(1-15)'!$F$56</f>
        <v>14308</v>
      </c>
      <c r="G56" s="54">
        <f t="shared" si="18"/>
        <v>7154</v>
      </c>
      <c r="H56" s="32"/>
      <c r="I56" s="32"/>
      <c r="J56" s="32"/>
      <c r="K56" s="32"/>
      <c r="L56" s="32"/>
      <c r="M56" s="32"/>
      <c r="N56" s="32"/>
      <c r="O56" s="32"/>
      <c r="P56" s="32"/>
      <c r="Q56" s="32"/>
      <c r="R56" s="32"/>
      <c r="S56" s="32"/>
      <c r="T56" s="26"/>
      <c r="U56" s="56"/>
      <c r="V56" s="56"/>
      <c r="W56" s="26">
        <v>357.7</v>
      </c>
      <c r="X56" s="26">
        <v>357.7</v>
      </c>
      <c r="Y56" s="56">
        <f t="shared" si="19"/>
        <v>1287.72</v>
      </c>
      <c r="Z56" s="56">
        <f t="shared" si="20"/>
        <v>1716.96</v>
      </c>
      <c r="AA56" s="32"/>
      <c r="AB56" s="45"/>
      <c r="AC56" s="32"/>
      <c r="AD56" s="32"/>
      <c r="AE56" s="56">
        <v>100</v>
      </c>
      <c r="AF56" s="56">
        <f t="shared" si="21"/>
        <v>5508.58</v>
      </c>
      <c r="AG56" s="502" t="s">
        <v>189</v>
      </c>
      <c r="AH56" s="204"/>
      <c r="AI56" s="20"/>
      <c r="AJ56" s="529"/>
    </row>
    <row r="57" spans="1:36" ht="20.100000000000001" customHeight="1" x14ac:dyDescent="0.2">
      <c r="A57" s="222" t="s">
        <v>190</v>
      </c>
      <c r="B57" s="30"/>
      <c r="C57" s="210" t="s">
        <v>446</v>
      </c>
      <c r="D57" s="210" t="s">
        <v>208</v>
      </c>
      <c r="E57" s="210" t="s">
        <v>175</v>
      </c>
      <c r="F57" s="54">
        <f>'[1]Reg.4(1-15)'!$F$57</f>
        <v>13474</v>
      </c>
      <c r="G57" s="54">
        <f t="shared" si="18"/>
        <v>6737</v>
      </c>
      <c r="H57" s="32"/>
      <c r="I57" s="32"/>
      <c r="J57" s="32"/>
      <c r="K57" s="32"/>
      <c r="L57" s="32"/>
      <c r="M57" s="32"/>
      <c r="N57" s="32"/>
      <c r="O57" s="32"/>
      <c r="P57" s="32"/>
      <c r="Q57" s="32"/>
      <c r="R57" s="32"/>
      <c r="S57" s="32"/>
      <c r="T57" s="26"/>
      <c r="U57" s="56"/>
      <c r="V57" s="56"/>
      <c r="W57" s="26">
        <v>336.85</v>
      </c>
      <c r="X57" s="26">
        <f>336.85</f>
        <v>336.85</v>
      </c>
      <c r="Y57" s="56">
        <f t="shared" si="19"/>
        <v>1212.6599999999999</v>
      </c>
      <c r="Z57" s="56">
        <f t="shared" si="20"/>
        <v>1616.8799999999999</v>
      </c>
      <c r="AA57" s="32"/>
      <c r="AB57" s="45"/>
      <c r="AC57" s="32"/>
      <c r="AD57" s="32"/>
      <c r="AE57" s="56">
        <v>100</v>
      </c>
      <c r="AF57" s="56">
        <f t="shared" si="21"/>
        <v>5187.49</v>
      </c>
      <c r="AG57" s="502" t="s">
        <v>190</v>
      </c>
      <c r="AH57" s="204"/>
      <c r="AI57" s="20"/>
      <c r="AJ57" s="529"/>
    </row>
    <row r="58" spans="1:36" ht="20.100000000000001" customHeight="1" x14ac:dyDescent="0.2">
      <c r="A58" s="545" t="s">
        <v>191</v>
      </c>
      <c r="B58" s="44"/>
      <c r="C58" s="210" t="s">
        <v>446</v>
      </c>
      <c r="D58" s="210" t="s">
        <v>208</v>
      </c>
      <c r="E58" s="210" t="s">
        <v>175</v>
      </c>
      <c r="F58" s="54">
        <f>'[1]Reg.4(1-15)'!$F$58</f>
        <v>13474</v>
      </c>
      <c r="G58" s="54">
        <f t="shared" si="18"/>
        <v>6737</v>
      </c>
      <c r="H58" s="32"/>
      <c r="I58" s="32"/>
      <c r="J58" s="32"/>
      <c r="K58" s="32"/>
      <c r="L58" s="32"/>
      <c r="M58" s="32"/>
      <c r="N58" s="32"/>
      <c r="O58" s="32"/>
      <c r="P58" s="32"/>
      <c r="Q58" s="32"/>
      <c r="R58" s="32"/>
      <c r="S58" s="32"/>
      <c r="T58" s="26"/>
      <c r="U58" s="56"/>
      <c r="V58" s="56"/>
      <c r="W58" s="26">
        <v>336.85</v>
      </c>
      <c r="X58" s="26">
        <f>336.85</f>
        <v>336.85</v>
      </c>
      <c r="Y58" s="56">
        <f t="shared" si="19"/>
        <v>1212.6599999999999</v>
      </c>
      <c r="Z58" s="56">
        <f t="shared" si="20"/>
        <v>1616.8799999999999</v>
      </c>
      <c r="AA58" s="32"/>
      <c r="AB58" s="45"/>
      <c r="AC58" s="32"/>
      <c r="AD58" s="32"/>
      <c r="AE58" s="56">
        <v>100</v>
      </c>
      <c r="AF58" s="56">
        <f t="shared" si="21"/>
        <v>5187.49</v>
      </c>
      <c r="AG58" s="502" t="s">
        <v>191</v>
      </c>
      <c r="AH58" s="204"/>
      <c r="AI58" s="20"/>
      <c r="AJ58" s="529"/>
    </row>
    <row r="59" spans="1:36" ht="20.100000000000001" customHeight="1" x14ac:dyDescent="0.2">
      <c r="A59" s="222" t="s">
        <v>192</v>
      </c>
      <c r="B59" s="44"/>
      <c r="C59" s="210" t="s">
        <v>446</v>
      </c>
      <c r="D59" s="210" t="s">
        <v>208</v>
      </c>
      <c r="E59" s="210" t="s">
        <v>175</v>
      </c>
      <c r="F59" s="54">
        <f>'[1]Reg.4(1-15)'!$F$59</f>
        <v>13474</v>
      </c>
      <c r="G59" s="54">
        <f t="shared" si="18"/>
        <v>6737</v>
      </c>
      <c r="H59" s="32"/>
      <c r="I59" s="32"/>
      <c r="J59" s="32"/>
      <c r="K59" s="32"/>
      <c r="L59" s="32"/>
      <c r="M59" s="32"/>
      <c r="N59" s="32"/>
      <c r="O59" s="32"/>
      <c r="P59" s="32"/>
      <c r="Q59" s="32"/>
      <c r="R59" s="32"/>
      <c r="S59" s="32"/>
      <c r="T59" s="26"/>
      <c r="U59" s="56"/>
      <c r="V59" s="56"/>
      <c r="W59" s="26">
        <v>336.85</v>
      </c>
      <c r="X59" s="26">
        <f>336.85</f>
        <v>336.85</v>
      </c>
      <c r="Y59" s="56">
        <f t="shared" si="19"/>
        <v>1212.6599999999999</v>
      </c>
      <c r="Z59" s="56">
        <f t="shared" si="20"/>
        <v>1616.8799999999999</v>
      </c>
      <c r="AA59" s="32"/>
      <c r="AB59" s="45"/>
      <c r="AC59" s="32"/>
      <c r="AD59" s="32"/>
      <c r="AE59" s="56">
        <v>100</v>
      </c>
      <c r="AF59" s="56">
        <f t="shared" si="21"/>
        <v>5187.49</v>
      </c>
      <c r="AG59" s="502" t="s">
        <v>192</v>
      </c>
      <c r="AH59" s="204"/>
      <c r="AI59" s="20"/>
      <c r="AJ59" s="529"/>
    </row>
    <row r="60" spans="1:36" ht="20.100000000000001" customHeight="1" thickBot="1" x14ac:dyDescent="0.25">
      <c r="A60" s="222" t="s">
        <v>193</v>
      </c>
      <c r="B60" s="44"/>
      <c r="C60" s="210" t="s">
        <v>446</v>
      </c>
      <c r="D60" s="210" t="s">
        <v>208</v>
      </c>
      <c r="E60" s="210" t="s">
        <v>175</v>
      </c>
      <c r="F60" s="62">
        <f>'[1]Reg.4(1-15)'!$F$60</f>
        <v>13474</v>
      </c>
      <c r="G60" s="486">
        <f t="shared" si="18"/>
        <v>6737</v>
      </c>
      <c r="H60" s="714"/>
      <c r="I60" s="714"/>
      <c r="J60" s="714"/>
      <c r="K60" s="714"/>
      <c r="L60" s="714"/>
      <c r="M60" s="714"/>
      <c r="N60" s="714"/>
      <c r="O60" s="714"/>
      <c r="P60" s="714"/>
      <c r="Q60" s="714"/>
      <c r="R60" s="714"/>
      <c r="S60" s="714"/>
      <c r="T60" s="26"/>
      <c r="U60" s="61"/>
      <c r="V60" s="61"/>
      <c r="W60" s="26">
        <v>336.85</v>
      </c>
      <c r="X60" s="26">
        <f>336.85</f>
        <v>336.85</v>
      </c>
      <c r="Y60" s="56">
        <f t="shared" si="19"/>
        <v>1212.6599999999999</v>
      </c>
      <c r="Z60" s="56">
        <f t="shared" si="20"/>
        <v>1616.8799999999999</v>
      </c>
      <c r="AA60" s="714"/>
      <c r="AB60" s="368"/>
      <c r="AC60" s="714"/>
      <c r="AD60" s="714"/>
      <c r="AE60" s="60">
        <v>100</v>
      </c>
      <c r="AF60" s="60">
        <f t="shared" si="21"/>
        <v>5187.49</v>
      </c>
      <c r="AG60" s="502" t="s">
        <v>193</v>
      </c>
      <c r="AH60" s="204"/>
      <c r="AI60" s="20"/>
      <c r="AJ60" s="529"/>
    </row>
    <row r="61" spans="1:36" ht="20.100000000000001" customHeight="1" thickBot="1" x14ac:dyDescent="0.25">
      <c r="A61" s="545" t="s">
        <v>194</v>
      </c>
      <c r="B61" s="30"/>
      <c r="C61" s="210"/>
      <c r="D61" s="210"/>
      <c r="E61" s="210"/>
      <c r="F61" s="472">
        <f t="shared" ref="F61:AF61" si="22">SUM(F51:F60)</f>
        <v>142636</v>
      </c>
      <c r="G61" s="472">
        <f t="shared" si="22"/>
        <v>71318</v>
      </c>
      <c r="H61" s="472">
        <f t="shared" si="22"/>
        <v>0</v>
      </c>
      <c r="I61" s="472">
        <f t="shared" si="22"/>
        <v>0</v>
      </c>
      <c r="J61" s="472">
        <f t="shared" si="22"/>
        <v>0</v>
      </c>
      <c r="K61" s="472">
        <f t="shared" si="22"/>
        <v>0</v>
      </c>
      <c r="L61" s="472">
        <f t="shared" si="22"/>
        <v>0</v>
      </c>
      <c r="M61" s="472">
        <f t="shared" si="22"/>
        <v>0</v>
      </c>
      <c r="N61" s="472">
        <f t="shared" si="22"/>
        <v>0</v>
      </c>
      <c r="O61" s="472">
        <f t="shared" si="22"/>
        <v>655.36</v>
      </c>
      <c r="P61" s="472">
        <f t="shared" si="22"/>
        <v>583.33000000000004</v>
      </c>
      <c r="Q61" s="472">
        <f t="shared" si="22"/>
        <v>0</v>
      </c>
      <c r="R61" s="472">
        <f t="shared" si="22"/>
        <v>983.33</v>
      </c>
      <c r="S61" s="472">
        <f t="shared" si="22"/>
        <v>2710.48</v>
      </c>
      <c r="T61" s="472">
        <f t="shared" si="22"/>
        <v>0</v>
      </c>
      <c r="U61" s="472">
        <f t="shared" si="22"/>
        <v>0</v>
      </c>
      <c r="V61" s="472">
        <f t="shared" si="22"/>
        <v>0</v>
      </c>
      <c r="W61" s="472">
        <f t="shared" si="22"/>
        <v>3565.8999999999996</v>
      </c>
      <c r="X61" s="472">
        <f t="shared" si="22"/>
        <v>3565.8999999999996</v>
      </c>
      <c r="Y61" s="472">
        <f t="shared" si="22"/>
        <v>12837.240000000002</v>
      </c>
      <c r="Z61" s="472">
        <f t="shared" si="22"/>
        <v>17116.319999999996</v>
      </c>
      <c r="AA61" s="472">
        <f t="shared" si="22"/>
        <v>3156.75</v>
      </c>
      <c r="AB61" s="472">
        <f t="shared" si="22"/>
        <v>8118.4400000000005</v>
      </c>
      <c r="AC61" s="472">
        <f t="shared" si="22"/>
        <v>687.32</v>
      </c>
      <c r="AD61" s="472">
        <f t="shared" si="22"/>
        <v>0</v>
      </c>
      <c r="AE61" s="472">
        <f t="shared" si="22"/>
        <v>1000</v>
      </c>
      <c r="AF61" s="472">
        <f t="shared" si="22"/>
        <v>38019.849999999991</v>
      </c>
      <c r="AG61" s="502" t="s">
        <v>194</v>
      </c>
      <c r="AH61" s="204"/>
      <c r="AI61" s="20"/>
      <c r="AJ61" s="529"/>
    </row>
    <row r="62" spans="1:36" ht="20.100000000000001" customHeight="1" thickTop="1" thickBot="1" x14ac:dyDescent="0.25">
      <c r="A62" s="48" t="s">
        <v>195</v>
      </c>
      <c r="B62" s="40" t="s">
        <v>373</v>
      </c>
      <c r="C62" s="536"/>
      <c r="D62" s="211"/>
      <c r="E62" s="536"/>
      <c r="F62" s="64">
        <f t="shared" ref="F62:AB62" si="23">F61+F49+F45+F41+F32+F23</f>
        <v>787901</v>
      </c>
      <c r="G62" s="64">
        <f t="shared" si="23"/>
        <v>393950.5</v>
      </c>
      <c r="H62" s="64">
        <f t="shared" si="23"/>
        <v>0</v>
      </c>
      <c r="I62" s="64">
        <f t="shared" si="23"/>
        <v>0</v>
      </c>
      <c r="J62" s="64">
        <f t="shared" si="23"/>
        <v>0</v>
      </c>
      <c r="K62" s="64">
        <f t="shared" si="23"/>
        <v>0</v>
      </c>
      <c r="L62" s="64">
        <f t="shared" si="23"/>
        <v>0</v>
      </c>
      <c r="M62" s="64">
        <f t="shared" si="23"/>
        <v>0</v>
      </c>
      <c r="N62" s="64">
        <f t="shared" si="23"/>
        <v>373.86</v>
      </c>
      <c r="O62" s="64">
        <f t="shared" si="23"/>
        <v>7580.0899999999992</v>
      </c>
      <c r="P62" s="64">
        <f t="shared" si="23"/>
        <v>4663.880000000001</v>
      </c>
      <c r="Q62" s="64">
        <f t="shared" si="23"/>
        <v>200</v>
      </c>
      <c r="R62" s="64">
        <f t="shared" si="23"/>
        <v>5216.67</v>
      </c>
      <c r="S62" s="64">
        <f t="shared" si="23"/>
        <v>18858.04</v>
      </c>
      <c r="T62" s="64">
        <f t="shared" si="23"/>
        <v>0</v>
      </c>
      <c r="U62" s="64">
        <f t="shared" si="23"/>
        <v>0</v>
      </c>
      <c r="V62" s="64">
        <f t="shared" si="23"/>
        <v>0</v>
      </c>
      <c r="W62" s="64">
        <f t="shared" si="23"/>
        <v>19697.440000000002</v>
      </c>
      <c r="X62" s="64">
        <f t="shared" si="23"/>
        <v>19697.61</v>
      </c>
      <c r="Y62" s="64">
        <f t="shared" si="23"/>
        <v>70911.09</v>
      </c>
      <c r="Z62" s="64">
        <f t="shared" si="23"/>
        <v>94548.12</v>
      </c>
      <c r="AA62" s="64">
        <f t="shared" si="23"/>
        <v>52997.899999999994</v>
      </c>
      <c r="AB62" s="64">
        <f t="shared" si="23"/>
        <v>34065.399999999994</v>
      </c>
      <c r="AC62" s="64">
        <f>AC61+AC49+AC45+AC41+AC32+AC23</f>
        <v>6051.08</v>
      </c>
      <c r="AD62" s="64">
        <f>AD61+AD49+AD45+AD41+AD32+AD23</f>
        <v>0</v>
      </c>
      <c r="AE62" s="64">
        <f>AE61+AE49+AE45+AE41+AE32+AE23</f>
        <v>3900</v>
      </c>
      <c r="AF62" s="64">
        <f>AF61+AF49+AF45+AF41+AF32+AF23</f>
        <v>173335.05</v>
      </c>
      <c r="AG62" s="514" t="s">
        <v>195</v>
      </c>
      <c r="AH62" s="206"/>
      <c r="AI62" s="49"/>
    </row>
    <row r="63" spans="1:36" ht="5.25" customHeight="1" thickTop="1" x14ac:dyDescent="0.25">
      <c r="F63" s="469"/>
      <c r="G63" s="469"/>
      <c r="H63" s="469"/>
      <c r="I63" s="469"/>
      <c r="J63" s="469"/>
      <c r="K63" s="469"/>
      <c r="L63" s="469"/>
      <c r="M63" s="469"/>
      <c r="N63" s="469"/>
      <c r="O63" s="469" t="s">
        <v>102</v>
      </c>
      <c r="P63" s="469"/>
      <c r="Q63" s="469"/>
      <c r="R63" s="469"/>
      <c r="S63" s="469"/>
      <c r="T63" s="469"/>
      <c r="U63" s="469"/>
      <c r="V63" s="469"/>
      <c r="W63" s="469"/>
      <c r="X63" s="469"/>
      <c r="Y63" s="469"/>
      <c r="Z63" s="469"/>
      <c r="AA63" s="469"/>
      <c r="AB63" s="490"/>
      <c r="AC63" s="469"/>
      <c r="AD63" s="469"/>
      <c r="AE63" s="469"/>
      <c r="AF63" s="469"/>
      <c r="AG63" s="469"/>
      <c r="AH63" s="18"/>
    </row>
    <row r="64" spans="1:36" ht="5.25" customHeight="1" x14ac:dyDescent="0.2">
      <c r="AE64" s="1038" t="s">
        <v>48</v>
      </c>
      <c r="AF64" s="1038"/>
      <c r="AG64" s="1038"/>
      <c r="AH64" s="1038"/>
      <c r="AI64" s="1038"/>
    </row>
    <row r="65" spans="1:36" ht="11.25" customHeight="1" x14ac:dyDescent="0.2">
      <c r="A65" s="826" t="s">
        <v>49</v>
      </c>
      <c r="B65" s="826"/>
      <c r="C65" s="826"/>
      <c r="D65" s="826"/>
      <c r="E65" s="251"/>
      <c r="F65" s="253"/>
      <c r="H65" s="1" t="s">
        <v>50</v>
      </c>
      <c r="K65" s="1" t="s">
        <v>37</v>
      </c>
      <c r="Q65" s="17"/>
      <c r="R65" s="17"/>
      <c r="S65" s="17"/>
      <c r="T65" s="17" t="s">
        <v>363</v>
      </c>
      <c r="U65" s="17"/>
      <c r="V65" s="17"/>
      <c r="W65" s="685"/>
      <c r="Z65" s="17"/>
      <c r="AE65" s="1038"/>
      <c r="AF65" s="1038"/>
      <c r="AG65" s="1038"/>
      <c r="AH65" s="1038"/>
      <c r="AI65" s="1038"/>
    </row>
    <row r="66" spans="1:36" ht="11.25" customHeight="1" x14ac:dyDescent="0.2">
      <c r="A66" s="826"/>
      <c r="B66" s="826"/>
      <c r="C66" s="826"/>
      <c r="D66" s="826"/>
      <c r="E66" s="251"/>
      <c r="F66" s="253"/>
      <c r="W66" s="685"/>
      <c r="AE66" s="1038"/>
      <c r="AF66" s="1038"/>
      <c r="AG66" s="1038"/>
      <c r="AH66" s="1038"/>
      <c r="AI66" s="1038"/>
    </row>
    <row r="67" spans="1:36" ht="12.75" x14ac:dyDescent="0.2">
      <c r="A67" s="826"/>
      <c r="B67" s="826"/>
      <c r="C67" s="826"/>
      <c r="D67" s="826"/>
      <c r="E67" s="251"/>
      <c r="F67" s="251"/>
      <c r="I67" s="1039"/>
      <c r="J67" s="1039"/>
      <c r="K67" s="1039"/>
      <c r="L67" s="1039"/>
      <c r="M67" s="1039"/>
      <c r="N67" s="1039"/>
      <c r="O67" s="1039"/>
      <c r="P67" s="1039"/>
      <c r="Q67" s="1039"/>
      <c r="R67" s="1039"/>
      <c r="S67" s="1039"/>
      <c r="T67" s="1039"/>
      <c r="U67" s="686"/>
      <c r="V67" s="686"/>
      <c r="W67" s="685"/>
      <c r="X67" s="35"/>
      <c r="Y67" s="35"/>
      <c r="AE67" s="1038"/>
      <c r="AF67" s="1038"/>
      <c r="AG67" s="1038"/>
      <c r="AH67" s="1038"/>
      <c r="AI67" s="1038"/>
    </row>
    <row r="68" spans="1:36" ht="12.75" x14ac:dyDescent="0.2">
      <c r="I68" s="824"/>
      <c r="J68" s="824"/>
      <c r="K68" s="824"/>
      <c r="L68" s="824"/>
      <c r="M68" s="824"/>
      <c r="N68" s="824"/>
      <c r="O68" s="824"/>
      <c r="P68" s="824"/>
      <c r="Q68" s="824"/>
      <c r="R68" s="824"/>
      <c r="S68" s="824"/>
      <c r="T68" s="824"/>
      <c r="U68" s="306"/>
      <c r="V68" s="306"/>
      <c r="W68" s="35"/>
      <c r="AE68" s="1038"/>
      <c r="AF68" s="1038"/>
      <c r="AG68" s="1038"/>
      <c r="AH68" s="1038"/>
      <c r="AI68" s="1038"/>
    </row>
    <row r="69" spans="1:36" ht="14.25" x14ac:dyDescent="0.2">
      <c r="D69" s="488" t="s">
        <v>673</v>
      </c>
      <c r="E69" s="488"/>
      <c r="F69" s="488"/>
      <c r="G69" s="522"/>
      <c r="I69" s="824"/>
      <c r="J69" s="824"/>
      <c r="K69" s="824"/>
      <c r="L69" s="824"/>
      <c r="M69" s="824"/>
      <c r="N69" s="824"/>
      <c r="O69" s="824"/>
      <c r="P69" s="824"/>
      <c r="Q69" s="824"/>
      <c r="R69" s="824"/>
      <c r="S69" s="824"/>
      <c r="T69" s="824"/>
      <c r="U69" s="306"/>
      <c r="V69" s="306"/>
      <c r="W69" s="921" t="s">
        <v>673</v>
      </c>
      <c r="X69" s="921"/>
      <c r="Y69" s="921"/>
      <c r="AE69" s="1038"/>
      <c r="AF69" s="1038"/>
      <c r="AG69" s="1038"/>
      <c r="AH69" s="1038"/>
      <c r="AI69" s="1038"/>
    </row>
    <row r="70" spans="1:36" ht="12.75" x14ac:dyDescent="0.2">
      <c r="D70" s="824" t="s">
        <v>649</v>
      </c>
      <c r="E70" s="824"/>
      <c r="F70" s="824"/>
      <c r="W70" s="824" t="s">
        <v>79</v>
      </c>
      <c r="X70" s="824"/>
      <c r="Y70" s="824"/>
      <c r="AE70" s="1038"/>
      <c r="AF70" s="1038"/>
      <c r="AG70" s="1038"/>
      <c r="AH70" s="1038"/>
      <c r="AI70" s="1038"/>
    </row>
    <row r="71" spans="1:36" ht="12.75" x14ac:dyDescent="0.2">
      <c r="R71" s="88"/>
      <c r="AH71" s="18"/>
    </row>
    <row r="72" spans="1:36" ht="12.75" x14ac:dyDescent="0.2">
      <c r="A72" s="17" t="s">
        <v>52</v>
      </c>
      <c r="R72" s="88"/>
      <c r="AE72" s="525"/>
      <c r="AF72" s="1028" t="s">
        <v>111</v>
      </c>
      <c r="AG72" s="1028"/>
      <c r="AH72" s="1028"/>
      <c r="AI72" s="525"/>
    </row>
    <row r="73" spans="1:36" ht="12.75" x14ac:dyDescent="0.2">
      <c r="R73" s="88"/>
      <c r="AF73" s="999" t="s">
        <v>634</v>
      </c>
      <c r="AG73" s="999"/>
      <c r="AH73" s="999"/>
    </row>
    <row r="74" spans="1:36" ht="13.5" customHeight="1" x14ac:dyDescent="0.2">
      <c r="E74" s="1" t="s">
        <v>53</v>
      </c>
      <c r="R74" s="201"/>
      <c r="AE74" s="825" t="s">
        <v>55</v>
      </c>
      <c r="AF74" s="825"/>
      <c r="AG74" s="825"/>
      <c r="AH74" s="825"/>
      <c r="AI74" s="825"/>
    </row>
    <row r="75" spans="1:36" x14ac:dyDescent="0.2">
      <c r="A75" s="17" t="s">
        <v>54</v>
      </c>
      <c r="X75" s="35"/>
      <c r="AE75" s="825"/>
      <c r="AF75" s="825"/>
      <c r="AG75" s="825"/>
      <c r="AH75" s="825"/>
      <c r="AI75" s="825"/>
    </row>
    <row r="76" spans="1:36" ht="11.25" customHeight="1" x14ac:dyDescent="0.2">
      <c r="AE76" s="825"/>
      <c r="AF76" s="825"/>
      <c r="AG76" s="825"/>
      <c r="AH76" s="825"/>
      <c r="AI76" s="825"/>
    </row>
    <row r="77" spans="1:36" ht="11.25" customHeight="1" x14ac:dyDescent="0.2">
      <c r="C77" s="1" t="s">
        <v>56</v>
      </c>
      <c r="E77" s="1" t="s">
        <v>57</v>
      </c>
      <c r="AE77" s="825"/>
      <c r="AF77" s="825"/>
      <c r="AG77" s="825"/>
      <c r="AH77" s="825"/>
      <c r="AI77" s="825"/>
    </row>
    <row r="78" spans="1:36" ht="11.25" customHeight="1" x14ac:dyDescent="0.2">
      <c r="AE78"/>
      <c r="AF78"/>
      <c r="AG78"/>
      <c r="AH78"/>
    </row>
    <row r="79" spans="1:36" ht="11.25" customHeight="1" x14ac:dyDescent="0.2">
      <c r="C79" s="1000" t="s">
        <v>58</v>
      </c>
      <c r="D79" s="1000"/>
      <c r="E79" s="1000"/>
      <c r="AE79" s="538"/>
      <c r="AF79" s="538" t="s">
        <v>184</v>
      </c>
      <c r="AG79" s="525"/>
      <c r="AH79" s="538"/>
      <c r="AI79" s="19"/>
    </row>
    <row r="80" spans="1:36" ht="12.75" customHeight="1" x14ac:dyDescent="0.2">
      <c r="AF80" s="999" t="s">
        <v>185</v>
      </c>
      <c r="AG80" s="999"/>
      <c r="AH80" s="999"/>
      <c r="AJ80" s="19"/>
    </row>
    <row r="88" spans="4:5" ht="12.75" x14ac:dyDescent="0.2">
      <c r="D88" s="539"/>
      <c r="E88" s="539"/>
    </row>
  </sheetData>
  <mergeCells count="64">
    <mergeCell ref="AF72:AH72"/>
    <mergeCell ref="AF73:AH73"/>
    <mergeCell ref="AE74:AI77"/>
    <mergeCell ref="C79:E79"/>
    <mergeCell ref="AF80:AH80"/>
    <mergeCell ref="AE64:AI70"/>
    <mergeCell ref="A65:D67"/>
    <mergeCell ref="I67:T67"/>
    <mergeCell ref="I68:T68"/>
    <mergeCell ref="I69:T69"/>
    <mergeCell ref="W69:Y69"/>
    <mergeCell ref="D70:F70"/>
    <mergeCell ref="W70:Y70"/>
    <mergeCell ref="D12:E12"/>
    <mergeCell ref="D25:E25"/>
    <mergeCell ref="D34:E34"/>
    <mergeCell ref="D43:E43"/>
    <mergeCell ref="D47:E47"/>
    <mergeCell ref="D51:E51"/>
    <mergeCell ref="AH6:AH8"/>
    <mergeCell ref="AI6:AI8"/>
    <mergeCell ref="U7:V7"/>
    <mergeCell ref="W7:W8"/>
    <mergeCell ref="X7:X8"/>
    <mergeCell ref="AC7:AC9"/>
    <mergeCell ref="AD7:AD9"/>
    <mergeCell ref="U8:U9"/>
    <mergeCell ref="V8:V9"/>
    <mergeCell ref="Y8:Y9"/>
    <mergeCell ref="AG5:AG9"/>
    <mergeCell ref="F6:F7"/>
    <mergeCell ref="K6:K9"/>
    <mergeCell ref="L6:L9"/>
    <mergeCell ref="N6:N9"/>
    <mergeCell ref="AC5:AD6"/>
    <mergeCell ref="W5:X6"/>
    <mergeCell ref="Y5:Z5"/>
    <mergeCell ref="O6:O9"/>
    <mergeCell ref="P6:P9"/>
    <mergeCell ref="Q6:Q9"/>
    <mergeCell ref="R6:R9"/>
    <mergeCell ref="S6:S9"/>
    <mergeCell ref="A1:AI1"/>
    <mergeCell ref="A2:AI3"/>
    <mergeCell ref="A4:A7"/>
    <mergeCell ref="B4:B9"/>
    <mergeCell ref="C4:C9"/>
    <mergeCell ref="D4:E4"/>
    <mergeCell ref="F4:F5"/>
    <mergeCell ref="G4:G7"/>
    <mergeCell ref="H4:AE4"/>
    <mergeCell ref="D5:D7"/>
    <mergeCell ref="AF5:AF9"/>
    <mergeCell ref="AE6:AE9"/>
    <mergeCell ref="E5:E7"/>
    <mergeCell ref="AA5:AA9"/>
    <mergeCell ref="AB5:AB9"/>
    <mergeCell ref="H5:H8"/>
    <mergeCell ref="I5:I8"/>
    <mergeCell ref="T6:T9"/>
    <mergeCell ref="Y6:Z7"/>
    <mergeCell ref="Z8:Z9"/>
    <mergeCell ref="N5:T5"/>
    <mergeCell ref="M5:M9"/>
  </mergeCells>
  <phoneticPr fontId="4" type="noConversion"/>
  <pageMargins left="1.2" right="0.7" top="0.75" bottom="0.75" header="0.3" footer="0.3"/>
  <pageSetup paperSize="8" scale="55" orientation="landscape"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L63"/>
  <sheetViews>
    <sheetView zoomScale="98" zoomScaleNormal="98" workbookViewId="0">
      <pane xSplit="8" ySplit="11" topLeftCell="W12" activePane="bottomRight" state="frozen"/>
      <selection pane="topRight" activeCell="I1" sqref="I1"/>
      <selection pane="bottomLeft" activeCell="A12" sqref="A12"/>
      <selection pane="bottomRight" activeCell="B36" sqref="B36:B41"/>
    </sheetView>
  </sheetViews>
  <sheetFormatPr defaultColWidth="9.140625" defaultRowHeight="11.25" x14ac:dyDescent="0.2"/>
  <cols>
    <col min="1" max="1" width="3" style="105" customWidth="1"/>
    <col min="2" max="2" width="26.42578125" style="17" customWidth="1"/>
    <col min="3" max="3" width="16.85546875" style="1" customWidth="1"/>
    <col min="4" max="5" width="7.85546875" style="1" customWidth="1"/>
    <col min="6" max="6" width="13.28515625" style="1" customWidth="1"/>
    <col min="7" max="7" width="13" style="1" customWidth="1"/>
    <col min="8" max="8" width="13.42578125" style="1" customWidth="1"/>
    <col min="9" max="9" width="11.85546875" style="1" customWidth="1"/>
    <col min="10" max="10" width="10.85546875" style="1" customWidth="1"/>
    <col min="11" max="11" width="9.42578125" style="1" customWidth="1"/>
    <col min="12" max="12" width="7.5703125" style="1" hidden="1" customWidth="1"/>
    <col min="13" max="13" width="9.85546875" style="1" customWidth="1"/>
    <col min="14" max="14" width="10.140625" style="1" customWidth="1"/>
    <col min="15" max="16" width="9.85546875" style="1" customWidth="1"/>
    <col min="17" max="18" width="11" style="1" customWidth="1"/>
    <col min="19" max="19" width="10.140625" style="1" customWidth="1"/>
    <col min="20" max="20" width="10.140625" style="1" hidden="1" customWidth="1"/>
    <col min="21" max="21" width="11.42578125" style="1" hidden="1" customWidth="1"/>
    <col min="22" max="22" width="11.85546875" style="1" hidden="1" customWidth="1"/>
    <col min="23" max="23" width="12" style="1" customWidth="1"/>
    <col min="24" max="24" width="11.28515625" style="1" customWidth="1"/>
    <col min="25" max="25" width="11.85546875" style="1" customWidth="1"/>
    <col min="26" max="26" width="12.85546875" style="1" customWidth="1"/>
    <col min="27" max="28" width="10.7109375" style="1" customWidth="1"/>
    <col min="29" max="29" width="10" style="1" customWidth="1"/>
    <col min="30" max="30" width="9" style="1" customWidth="1"/>
    <col min="31" max="31" width="9.85546875" style="1" customWidth="1"/>
    <col min="32" max="32" width="12.85546875" style="1" customWidth="1"/>
    <col min="33" max="33" width="2.85546875" style="1" customWidth="1"/>
    <col min="34" max="34" width="14.7109375" style="1" customWidth="1"/>
    <col min="35" max="35" width="8.5703125" style="1" customWidth="1"/>
    <col min="36" max="36" width="12.7109375" style="1" customWidth="1"/>
    <col min="37" max="16384" width="9.140625" style="1"/>
  </cols>
  <sheetData>
    <row r="1" spans="1:38"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3"/>
      <c r="AI1" s="863"/>
    </row>
    <row r="2" spans="1:38" x14ac:dyDescent="0.2">
      <c r="A2" s="864" t="s">
        <v>166</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c r="AH2" s="945"/>
      <c r="AI2" s="945"/>
    </row>
    <row r="3" spans="1:38"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c r="AH3" s="946"/>
      <c r="AI3" s="946"/>
    </row>
    <row r="4" spans="1:38" s="4" customFormat="1" ht="24" customHeight="1" thickTop="1" x14ac:dyDescent="0.15">
      <c r="A4" s="866" t="s">
        <v>1</v>
      </c>
      <c r="B4" s="1006" t="s">
        <v>2</v>
      </c>
      <c r="C4" s="1041" t="s">
        <v>3</v>
      </c>
      <c r="D4" s="871" t="s">
        <v>4</v>
      </c>
      <c r="E4" s="871"/>
      <c r="F4" s="1007"/>
      <c r="G4" s="866" t="s">
        <v>5</v>
      </c>
      <c r="H4" s="987" t="s">
        <v>6</v>
      </c>
      <c r="I4" s="988"/>
      <c r="J4" s="988"/>
      <c r="K4" s="988"/>
      <c r="L4" s="988"/>
      <c r="M4" s="988"/>
      <c r="N4" s="988"/>
      <c r="O4" s="988"/>
      <c r="P4" s="988"/>
      <c r="Q4" s="988"/>
      <c r="R4" s="988"/>
      <c r="S4" s="988"/>
      <c r="T4" s="988"/>
      <c r="U4" s="988"/>
      <c r="V4" s="988"/>
      <c r="W4" s="988"/>
      <c r="X4" s="988"/>
      <c r="Y4" s="988"/>
      <c r="Z4" s="988"/>
      <c r="AA4" s="988"/>
      <c r="AB4" s="988"/>
      <c r="AC4" s="989"/>
      <c r="AD4" s="989"/>
      <c r="AE4" s="990"/>
      <c r="AF4" s="3"/>
      <c r="AG4" s="3"/>
      <c r="AH4" s="3"/>
      <c r="AI4" s="3"/>
    </row>
    <row r="5" spans="1:38" s="8" customFormat="1" ht="13.5" customHeight="1" x14ac:dyDescent="0.15">
      <c r="A5" s="1005"/>
      <c r="B5" s="1040"/>
      <c r="C5" s="857"/>
      <c r="D5" s="1042" t="s">
        <v>7</v>
      </c>
      <c r="E5" s="1043" t="s">
        <v>8</v>
      </c>
      <c r="F5" s="1008"/>
      <c r="G5" s="874"/>
      <c r="H5" s="957" t="s">
        <v>698</v>
      </c>
      <c r="I5" s="956" t="s">
        <v>13</v>
      </c>
      <c r="J5" s="956"/>
      <c r="K5" s="956"/>
      <c r="L5" s="956"/>
      <c r="M5" s="956"/>
      <c r="N5" s="956"/>
      <c r="O5" s="956"/>
      <c r="P5" s="956"/>
      <c r="Q5" s="956"/>
      <c r="R5" s="956"/>
      <c r="S5" s="998"/>
      <c r="T5" s="641"/>
      <c r="V5" s="642"/>
      <c r="W5" s="955" t="s">
        <v>230</v>
      </c>
      <c r="X5" s="955"/>
      <c r="Y5" s="992" t="s">
        <v>238</v>
      </c>
      <c r="Z5" s="993"/>
      <c r="AA5" s="972" t="s">
        <v>12</v>
      </c>
      <c r="AB5" s="972" t="s">
        <v>183</v>
      </c>
      <c r="AC5" s="1047" t="s">
        <v>593</v>
      </c>
      <c r="AD5" s="1048"/>
      <c r="AE5" s="687" t="s">
        <v>238</v>
      </c>
      <c r="AF5" s="838" t="s">
        <v>14</v>
      </c>
      <c r="AG5" s="838" t="s">
        <v>15</v>
      </c>
      <c r="AH5" s="7"/>
      <c r="AI5" s="7"/>
    </row>
    <row r="6" spans="1:38" s="8" customFormat="1" ht="13.5" customHeight="1" x14ac:dyDescent="0.15">
      <c r="A6" s="1005"/>
      <c r="B6" s="1040"/>
      <c r="C6" s="857"/>
      <c r="D6" s="958"/>
      <c r="E6" s="958"/>
      <c r="F6" s="973" t="s">
        <v>610</v>
      </c>
      <c r="G6" s="839"/>
      <c r="H6" s="949"/>
      <c r="I6" s="1012" t="s">
        <v>233</v>
      </c>
      <c r="J6" s="900" t="s">
        <v>235</v>
      </c>
      <c r="K6" s="949" t="s">
        <v>221</v>
      </c>
      <c r="L6" s="859" t="s">
        <v>594</v>
      </c>
      <c r="M6" s="859" t="s">
        <v>242</v>
      </c>
      <c r="N6" s="859" t="s">
        <v>515</v>
      </c>
      <c r="O6" s="949" t="s">
        <v>664</v>
      </c>
      <c r="P6" s="900" t="s">
        <v>549</v>
      </c>
      <c r="Q6" s="949" t="s">
        <v>23</v>
      </c>
      <c r="R6" s="949" t="s">
        <v>679</v>
      </c>
      <c r="S6" s="949" t="s">
        <v>514</v>
      </c>
      <c r="T6" s="688"/>
      <c r="U6" s="689"/>
      <c r="V6" s="645"/>
      <c r="W6" s="955"/>
      <c r="X6" s="955"/>
      <c r="Y6" s="1009" t="s">
        <v>232</v>
      </c>
      <c r="Z6" s="1053"/>
      <c r="AA6" s="857"/>
      <c r="AB6" s="857"/>
      <c r="AC6" s="1049"/>
      <c r="AD6" s="1050"/>
      <c r="AE6" s="900" t="s">
        <v>32</v>
      </c>
      <c r="AF6" s="838"/>
      <c r="AG6" s="838"/>
      <c r="AH6" s="838" t="s">
        <v>25</v>
      </c>
      <c r="AI6" s="838" t="s">
        <v>26</v>
      </c>
    </row>
    <row r="7" spans="1:38" s="8" customFormat="1" ht="13.5" customHeight="1" x14ac:dyDescent="0.15">
      <c r="A7" s="1005"/>
      <c r="B7" s="1040"/>
      <c r="C7" s="857"/>
      <c r="D7" s="958"/>
      <c r="E7" s="958"/>
      <c r="F7" s="974"/>
      <c r="G7" s="839"/>
      <c r="H7" s="950"/>
      <c r="I7" s="1012"/>
      <c r="J7" s="916"/>
      <c r="K7" s="1011"/>
      <c r="L7" s="859"/>
      <c r="M7" s="857"/>
      <c r="N7" s="857"/>
      <c r="O7" s="949"/>
      <c r="P7" s="900"/>
      <c r="Q7" s="949"/>
      <c r="R7" s="949"/>
      <c r="S7" s="949"/>
      <c r="T7" s="688"/>
      <c r="U7" s="1055" t="s">
        <v>615</v>
      </c>
      <c r="V7" s="1056"/>
      <c r="W7" s="1044" t="s">
        <v>27</v>
      </c>
      <c r="X7" s="1046" t="s">
        <v>28</v>
      </c>
      <c r="Y7" s="1015"/>
      <c r="Z7" s="1054"/>
      <c r="AA7" s="857"/>
      <c r="AB7" s="857"/>
      <c r="AC7" s="972" t="s">
        <v>23</v>
      </c>
      <c r="AD7" s="972" t="s">
        <v>248</v>
      </c>
      <c r="AE7" s="900"/>
      <c r="AF7" s="838"/>
      <c r="AG7" s="838"/>
      <c r="AH7" s="970"/>
      <c r="AI7" s="838"/>
    </row>
    <row r="8" spans="1:38" s="8" customFormat="1" ht="13.5" customHeight="1" x14ac:dyDescent="0.2">
      <c r="A8" s="10"/>
      <c r="B8" s="1040"/>
      <c r="C8" s="858"/>
      <c r="D8" s="11"/>
      <c r="E8" s="107"/>
      <c r="F8" s="4"/>
      <c r="G8" s="495"/>
      <c r="H8" s="950"/>
      <c r="I8" s="1012"/>
      <c r="J8" s="916"/>
      <c r="K8" s="1011"/>
      <c r="L8" s="859"/>
      <c r="M8" s="1011"/>
      <c r="N8" s="1011"/>
      <c r="O8" s="949"/>
      <c r="P8" s="900"/>
      <c r="Q8" s="949"/>
      <c r="R8" s="949"/>
      <c r="S8" s="949"/>
      <c r="T8" s="640"/>
      <c r="U8" s="949" t="s">
        <v>378</v>
      </c>
      <c r="V8" s="949" t="s">
        <v>379</v>
      </c>
      <c r="W8" s="1045"/>
      <c r="X8" s="1045"/>
      <c r="Y8" s="851" t="s">
        <v>27</v>
      </c>
      <c r="Z8" s="852" t="s">
        <v>33</v>
      </c>
      <c r="AA8" s="857"/>
      <c r="AB8" s="857"/>
      <c r="AC8" s="857"/>
      <c r="AD8" s="857"/>
      <c r="AE8" s="900"/>
      <c r="AF8" s="838"/>
      <c r="AG8" s="970"/>
      <c r="AH8" s="970"/>
      <c r="AI8" s="838"/>
    </row>
    <row r="9" spans="1:38" s="8" customFormat="1" ht="13.5" customHeight="1" x14ac:dyDescent="0.2">
      <c r="A9" s="10"/>
      <c r="B9" s="1040"/>
      <c r="C9" s="858"/>
      <c r="D9" s="11"/>
      <c r="E9" s="107"/>
      <c r="F9" s="4"/>
      <c r="G9" s="495"/>
      <c r="H9" s="690"/>
      <c r="I9" s="1012"/>
      <c r="J9" s="916"/>
      <c r="K9" s="1011"/>
      <c r="L9" s="859"/>
      <c r="M9" s="1011"/>
      <c r="N9" s="1011"/>
      <c r="O9" s="949"/>
      <c r="P9" s="900"/>
      <c r="Q9" s="949"/>
      <c r="R9" s="949"/>
      <c r="S9" s="949"/>
      <c r="T9" s="640"/>
      <c r="U9" s="949"/>
      <c r="V9" s="949"/>
      <c r="W9" s="1011"/>
      <c r="X9" s="1011"/>
      <c r="Y9" s="838"/>
      <c r="Z9" s="853"/>
      <c r="AA9" s="857"/>
      <c r="AB9" s="857"/>
      <c r="AC9" s="857"/>
      <c r="AD9" s="857"/>
      <c r="AE9" s="900"/>
      <c r="AF9" s="838"/>
      <c r="AG9" s="970"/>
      <c r="AH9" s="7"/>
      <c r="AI9" s="7"/>
    </row>
    <row r="10" spans="1:38" s="15" customFormat="1" ht="13.5" customHeight="1" thickBot="1" x14ac:dyDescent="0.25">
      <c r="A10" s="13">
        <v>1</v>
      </c>
      <c r="B10" s="13">
        <v>2</v>
      </c>
      <c r="C10" s="13">
        <v>3</v>
      </c>
      <c r="D10" s="13">
        <v>4</v>
      </c>
      <c r="E10" s="13">
        <v>5</v>
      </c>
      <c r="F10" s="13">
        <v>6</v>
      </c>
      <c r="G10" s="13">
        <v>7</v>
      </c>
      <c r="H10" s="13">
        <v>9</v>
      </c>
      <c r="I10" s="691">
        <v>8</v>
      </c>
      <c r="J10" s="13">
        <v>9</v>
      </c>
      <c r="K10" s="13">
        <v>10</v>
      </c>
      <c r="L10" s="13">
        <v>11</v>
      </c>
      <c r="M10" s="13">
        <v>11</v>
      </c>
      <c r="N10" s="13">
        <v>12</v>
      </c>
      <c r="O10" s="13">
        <v>13</v>
      </c>
      <c r="P10" s="13">
        <v>14</v>
      </c>
      <c r="Q10" s="13">
        <v>15</v>
      </c>
      <c r="R10" s="13"/>
      <c r="S10" s="13">
        <v>16</v>
      </c>
      <c r="T10" s="13"/>
      <c r="U10" s="13"/>
      <c r="V10" s="13"/>
      <c r="W10" s="13">
        <v>17</v>
      </c>
      <c r="X10" s="13">
        <v>18</v>
      </c>
      <c r="Y10" s="14">
        <v>19</v>
      </c>
      <c r="Z10" s="14">
        <v>20</v>
      </c>
      <c r="AA10" s="13">
        <v>21</v>
      </c>
      <c r="AB10" s="13">
        <v>22</v>
      </c>
      <c r="AC10" s="13">
        <v>23</v>
      </c>
      <c r="AD10" s="13">
        <v>24</v>
      </c>
      <c r="AE10" s="13">
        <v>25</v>
      </c>
      <c r="AF10" s="13">
        <v>27</v>
      </c>
      <c r="AG10" s="13">
        <v>28</v>
      </c>
      <c r="AH10" s="13">
        <v>29</v>
      </c>
      <c r="AI10" s="13">
        <v>30</v>
      </c>
    </row>
    <row r="11" spans="1:38" ht="21.95" customHeight="1" thickTop="1" x14ac:dyDescent="0.2">
      <c r="A11" s="527"/>
      <c r="B11" s="194" t="s">
        <v>641</v>
      </c>
      <c r="C11" s="209"/>
      <c r="D11" s="1051"/>
      <c r="E11" s="1052"/>
      <c r="F11" s="551"/>
      <c r="G11" s="551"/>
      <c r="H11" s="553"/>
      <c r="I11" s="26"/>
      <c r="J11" s="26"/>
      <c r="K11" s="26"/>
      <c r="L11" s="26"/>
      <c r="M11" s="26"/>
      <c r="N11" s="26"/>
      <c r="O11" s="26"/>
      <c r="P11" s="26"/>
      <c r="Q11" s="26"/>
      <c r="R11" s="26"/>
      <c r="S11" s="26"/>
      <c r="T11" s="26"/>
      <c r="U11" s="26"/>
      <c r="V11" s="26"/>
      <c r="W11" s="26"/>
      <c r="X11" s="26"/>
      <c r="Y11" s="26"/>
      <c r="Z11" s="26"/>
      <c r="AA11" s="26"/>
      <c r="AB11" s="26"/>
      <c r="AC11" s="26"/>
      <c r="AD11" s="26"/>
      <c r="AE11" s="26"/>
      <c r="AF11" s="553"/>
      <c r="AG11" s="502"/>
      <c r="AH11" s="513"/>
      <c r="AI11" s="554"/>
    </row>
    <row r="12" spans="1:38" ht="21.95" customHeight="1" x14ac:dyDescent="0.2">
      <c r="A12" s="545" t="s">
        <v>38</v>
      </c>
      <c r="B12" s="30"/>
      <c r="C12" s="210" t="s">
        <v>383</v>
      </c>
      <c r="D12" s="935" t="s">
        <v>685</v>
      </c>
      <c r="E12" s="936"/>
      <c r="F12" s="54">
        <v>94968</v>
      </c>
      <c r="G12" s="54">
        <f>F12/2</f>
        <v>47484</v>
      </c>
      <c r="H12" s="56"/>
      <c r="I12" s="55"/>
      <c r="J12" s="55"/>
      <c r="K12" s="55"/>
      <c r="L12" s="55"/>
      <c r="M12" s="56">
        <v>127</v>
      </c>
      <c r="N12" s="612"/>
      <c r="O12" s="55"/>
      <c r="P12" s="55"/>
      <c r="Q12" s="617"/>
      <c r="R12" s="612"/>
      <c r="S12" s="55"/>
      <c r="T12" s="55"/>
      <c r="U12" s="55"/>
      <c r="V12" s="55"/>
      <c r="W12" s="26">
        <v>2374.1999999999998</v>
      </c>
      <c r="X12" s="56">
        <f>W12</f>
        <v>2374.1999999999998</v>
      </c>
      <c r="Y12" s="56">
        <f>F12*0.09</f>
        <v>8547.119999999999</v>
      </c>
      <c r="Z12" s="56">
        <f>F12*0.12</f>
        <v>11396.16</v>
      </c>
      <c r="AA12" s="55">
        <v>10000</v>
      </c>
      <c r="AB12" s="55"/>
      <c r="AC12" s="55"/>
      <c r="AD12" s="55"/>
      <c r="AE12" s="56">
        <v>100</v>
      </c>
      <c r="AF12" s="56">
        <f>G12-SUM(I12:S12)-W12-Y12-SUM(AA12:AD12)-U12</f>
        <v>26435.680000000008</v>
      </c>
      <c r="AG12" s="502" t="s">
        <v>38</v>
      </c>
      <c r="AH12" s="692"/>
      <c r="AI12" s="558"/>
      <c r="AL12" s="88"/>
    </row>
    <row r="13" spans="1:38" ht="21.95" customHeight="1" x14ac:dyDescent="0.2">
      <c r="A13" s="545" t="s">
        <v>127</v>
      </c>
      <c r="B13" s="30"/>
      <c r="C13" s="210" t="s">
        <v>697</v>
      </c>
      <c r="D13" s="32" t="s">
        <v>595</v>
      </c>
      <c r="E13" s="32" t="s">
        <v>159</v>
      </c>
      <c r="F13" s="57">
        <v>31470</v>
      </c>
      <c r="G13" s="54">
        <f>F13/2</f>
        <v>15735</v>
      </c>
      <c r="H13" s="55">
        <v>2000</v>
      </c>
      <c r="I13" s="55"/>
      <c r="J13" s="55"/>
      <c r="K13" s="55"/>
      <c r="L13" s="55"/>
      <c r="M13" s="55"/>
      <c r="N13" s="612"/>
      <c r="O13" s="55"/>
      <c r="P13" s="55"/>
      <c r="Q13" s="612"/>
      <c r="R13" s="612"/>
      <c r="S13" s="55"/>
      <c r="T13" s="55"/>
      <c r="U13" s="55"/>
      <c r="V13" s="55"/>
      <c r="W13" s="25">
        <v>786.75</v>
      </c>
      <c r="X13" s="58">
        <v>786.75</v>
      </c>
      <c r="Y13" s="56">
        <f>F13*0.09</f>
        <v>2832.2999999999997</v>
      </c>
      <c r="Z13" s="56">
        <f>F13*0.12</f>
        <v>3776.3999999999996</v>
      </c>
      <c r="AA13" s="55"/>
      <c r="AB13" s="55"/>
      <c r="AC13" s="55"/>
      <c r="AD13" s="55"/>
      <c r="AE13" s="56">
        <v>100</v>
      </c>
      <c r="AF13" s="56">
        <f>G13-SUM(I13:S13)-W13-Y13-SUM(AA13:AD13)-U13+H13</f>
        <v>14115.95</v>
      </c>
      <c r="AG13" s="502" t="s">
        <v>127</v>
      </c>
      <c r="AH13" s="692"/>
      <c r="AI13" s="558"/>
      <c r="AL13" s="88"/>
    </row>
    <row r="14" spans="1:38" ht="21.95" customHeight="1" x14ac:dyDescent="0.2">
      <c r="A14" s="545" t="s">
        <v>128</v>
      </c>
      <c r="B14" s="44"/>
      <c r="C14" s="210" t="s">
        <v>513</v>
      </c>
      <c r="D14" s="32" t="s">
        <v>595</v>
      </c>
      <c r="E14" s="32" t="s">
        <v>159</v>
      </c>
      <c r="F14" s="57">
        <v>25520</v>
      </c>
      <c r="G14" s="54">
        <f>F14/2</f>
        <v>12760</v>
      </c>
      <c r="H14" s="55"/>
      <c r="I14" s="55"/>
      <c r="J14" s="55"/>
      <c r="K14" s="55"/>
      <c r="L14" s="55"/>
      <c r="M14" s="55"/>
      <c r="N14" s="612"/>
      <c r="O14" s="55"/>
      <c r="P14" s="55"/>
      <c r="Q14" s="612"/>
      <c r="R14" s="612"/>
      <c r="S14" s="55"/>
      <c r="T14" s="55"/>
      <c r="U14" s="55"/>
      <c r="V14" s="55"/>
      <c r="W14" s="55">
        <v>638</v>
      </c>
      <c r="X14" s="56">
        <v>638</v>
      </c>
      <c r="Y14" s="56">
        <f>F14*0.09</f>
        <v>2296.7999999999997</v>
      </c>
      <c r="Z14" s="56">
        <f>F14*0.12</f>
        <v>3062.4</v>
      </c>
      <c r="AA14" s="55"/>
      <c r="AB14" s="55"/>
      <c r="AC14" s="55"/>
      <c r="AD14" s="55"/>
      <c r="AE14" s="56">
        <v>100</v>
      </c>
      <c r="AF14" s="56">
        <f>G14-SUM(I14:S14)-W14-Y14-SUM(AA14:AD14)-U14</f>
        <v>9825.2000000000007</v>
      </c>
      <c r="AG14" s="502" t="s">
        <v>128</v>
      </c>
      <c r="AH14" s="692"/>
      <c r="AI14" s="558"/>
      <c r="AL14" s="88"/>
    </row>
    <row r="15" spans="1:38" ht="24" customHeight="1" x14ac:dyDescent="0.2">
      <c r="A15" s="545" t="s">
        <v>130</v>
      </c>
      <c r="B15" s="30"/>
      <c r="C15" s="210" t="s">
        <v>684</v>
      </c>
      <c r="D15" s="32" t="s">
        <v>595</v>
      </c>
      <c r="E15" s="32" t="s">
        <v>159</v>
      </c>
      <c r="F15" s="56">
        <v>13474</v>
      </c>
      <c r="G15" s="54">
        <f>F15/2</f>
        <v>6737</v>
      </c>
      <c r="H15" s="25">
        <v>2000</v>
      </c>
      <c r="I15" s="25"/>
      <c r="J15" s="25"/>
      <c r="K15" s="25"/>
      <c r="L15" s="25"/>
      <c r="M15" s="25"/>
      <c r="N15" s="25"/>
      <c r="O15" s="25"/>
      <c r="P15" s="25"/>
      <c r="Q15" s="25"/>
      <c r="R15" s="25"/>
      <c r="S15" s="25"/>
      <c r="T15" s="25"/>
      <c r="U15" s="25"/>
      <c r="V15" s="25"/>
      <c r="W15" s="56">
        <v>336.85</v>
      </c>
      <c r="X15" s="55">
        <v>336.85</v>
      </c>
      <c r="Y15" s="56">
        <f>F15*0.09</f>
        <v>1212.6599999999999</v>
      </c>
      <c r="Z15" s="56">
        <f>F15*0.12</f>
        <v>1616.8799999999999</v>
      </c>
      <c r="AA15" s="25"/>
      <c r="AB15" s="25"/>
      <c r="AC15" s="25"/>
      <c r="AD15" s="25"/>
      <c r="AE15" s="55">
        <v>100</v>
      </c>
      <c r="AF15" s="56">
        <f>G15-SUM(I15:S15)-W15-Y15-SUM(AA15:AD15)-U15+H15</f>
        <v>7187.49</v>
      </c>
      <c r="AG15" s="502" t="s">
        <v>130</v>
      </c>
      <c r="AH15" s="508"/>
      <c r="AI15" s="16"/>
    </row>
    <row r="16" spans="1:38" ht="24" customHeight="1" thickBot="1" x14ac:dyDescent="0.25">
      <c r="A16" s="545" t="s">
        <v>129</v>
      </c>
      <c r="B16" s="30"/>
      <c r="C16" s="210" t="s">
        <v>546</v>
      </c>
      <c r="D16" s="32" t="s">
        <v>595</v>
      </c>
      <c r="E16" s="32" t="s">
        <v>159</v>
      </c>
      <c r="F16" s="191">
        <v>12039</v>
      </c>
      <c r="G16" s="57">
        <f t="shared" ref="G16" si="0">F16/2</f>
        <v>6019.5</v>
      </c>
      <c r="H16" s="25"/>
      <c r="I16" s="25"/>
      <c r="J16" s="25"/>
      <c r="K16" s="25"/>
      <c r="L16" s="25"/>
      <c r="M16" s="25"/>
      <c r="N16" s="25"/>
      <c r="O16" s="25"/>
      <c r="P16" s="25"/>
      <c r="Q16" s="25"/>
      <c r="R16" s="25"/>
      <c r="S16" s="25">
        <v>0</v>
      </c>
      <c r="T16" s="25"/>
      <c r="U16" s="25"/>
      <c r="V16" s="25"/>
      <c r="W16" s="715">
        <v>300.97000000000003</v>
      </c>
      <c r="X16" s="473">
        <v>300.98</v>
      </c>
      <c r="Y16" s="55">
        <f>F16*0.09</f>
        <v>1083.51</v>
      </c>
      <c r="Z16" s="55">
        <f>F16*0.12</f>
        <v>1444.6799999999998</v>
      </c>
      <c r="AA16" s="25"/>
      <c r="AB16" s="25"/>
      <c r="AC16" s="25">
        <v>455</v>
      </c>
      <c r="AD16" s="25"/>
      <c r="AE16" s="55">
        <v>100</v>
      </c>
      <c r="AF16" s="56">
        <f>G16-SUM(I16:S16)-W16-Y16-SUM(AA16:AD16)-U16</f>
        <v>4180.0199999999995</v>
      </c>
      <c r="AG16" s="502" t="s">
        <v>129</v>
      </c>
      <c r="AH16" s="508"/>
      <c r="AI16" s="16"/>
    </row>
    <row r="17" spans="1:38" ht="21.95" customHeight="1" thickBot="1" x14ac:dyDescent="0.25">
      <c r="A17" s="545" t="s">
        <v>131</v>
      </c>
      <c r="B17" s="30" t="s">
        <v>37</v>
      </c>
      <c r="C17" s="210" t="s">
        <v>37</v>
      </c>
      <c r="D17" s="210"/>
      <c r="E17" s="210"/>
      <c r="F17" s="472">
        <f>SUM(F12:F16)</f>
        <v>177471</v>
      </c>
      <c r="G17" s="472">
        <f t="shared" ref="G17:AE17" si="1">SUM(G12:G16)</f>
        <v>88735.5</v>
      </c>
      <c r="H17" s="472">
        <f t="shared" si="1"/>
        <v>4000</v>
      </c>
      <c r="I17" s="472">
        <f t="shared" si="1"/>
        <v>0</v>
      </c>
      <c r="J17" s="472">
        <f t="shared" si="1"/>
        <v>0</v>
      </c>
      <c r="K17" s="472">
        <f t="shared" si="1"/>
        <v>0</v>
      </c>
      <c r="L17" s="472">
        <f t="shared" si="1"/>
        <v>0</v>
      </c>
      <c r="M17" s="472">
        <f t="shared" si="1"/>
        <v>127</v>
      </c>
      <c r="N17" s="472">
        <f t="shared" si="1"/>
        <v>0</v>
      </c>
      <c r="O17" s="472">
        <f t="shared" si="1"/>
        <v>0</v>
      </c>
      <c r="P17" s="472">
        <f t="shared" si="1"/>
        <v>0</v>
      </c>
      <c r="Q17" s="472">
        <f t="shared" si="1"/>
        <v>0</v>
      </c>
      <c r="R17" s="472">
        <f t="shared" si="1"/>
        <v>0</v>
      </c>
      <c r="S17" s="472">
        <f t="shared" si="1"/>
        <v>0</v>
      </c>
      <c r="T17" s="472">
        <f t="shared" si="1"/>
        <v>0</v>
      </c>
      <c r="U17" s="472">
        <f t="shared" si="1"/>
        <v>0</v>
      </c>
      <c r="V17" s="472">
        <f t="shared" si="1"/>
        <v>0</v>
      </c>
      <c r="W17" s="472">
        <f t="shared" si="1"/>
        <v>4436.7700000000004</v>
      </c>
      <c r="X17" s="472">
        <f t="shared" si="1"/>
        <v>4436.7800000000007</v>
      </c>
      <c r="Y17" s="472">
        <f t="shared" si="1"/>
        <v>15972.389999999998</v>
      </c>
      <c r="Z17" s="472">
        <f t="shared" si="1"/>
        <v>21296.52</v>
      </c>
      <c r="AA17" s="472">
        <f t="shared" si="1"/>
        <v>10000</v>
      </c>
      <c r="AB17" s="472">
        <f t="shared" si="1"/>
        <v>0</v>
      </c>
      <c r="AC17" s="472">
        <f t="shared" si="1"/>
        <v>455</v>
      </c>
      <c r="AD17" s="472">
        <f t="shared" si="1"/>
        <v>0</v>
      </c>
      <c r="AE17" s="472">
        <f t="shared" si="1"/>
        <v>500</v>
      </c>
      <c r="AF17" s="472">
        <f>SUM(AF12:AF16)</f>
        <v>61744.34</v>
      </c>
      <c r="AG17" s="502" t="s">
        <v>131</v>
      </c>
      <c r="AH17" s="508"/>
      <c r="AI17" s="16"/>
    </row>
    <row r="18" spans="1:38" ht="21.95" customHeight="1" thickTop="1" x14ac:dyDescent="0.2">
      <c r="A18" s="545" t="s">
        <v>132</v>
      </c>
      <c r="B18" s="194" t="s">
        <v>39</v>
      </c>
      <c r="C18" s="210" t="s">
        <v>37</v>
      </c>
      <c r="D18" s="210"/>
      <c r="E18" s="210"/>
      <c r="F18" s="56" t="s">
        <v>37</v>
      </c>
      <c r="G18" s="56"/>
      <c r="H18" s="56" t="s">
        <v>37</v>
      </c>
      <c r="I18" s="56" t="s">
        <v>37</v>
      </c>
      <c r="J18" s="56" t="s">
        <v>37</v>
      </c>
      <c r="K18" s="56"/>
      <c r="L18" s="56"/>
      <c r="M18" s="56" t="s">
        <v>37</v>
      </c>
      <c r="N18" s="56" t="s">
        <v>37</v>
      </c>
      <c r="O18" s="56" t="s">
        <v>37</v>
      </c>
      <c r="P18" s="56"/>
      <c r="Q18" s="56"/>
      <c r="R18" s="56"/>
      <c r="S18" s="56" t="s">
        <v>37</v>
      </c>
      <c r="T18" s="56"/>
      <c r="U18" s="56"/>
      <c r="V18" s="56"/>
      <c r="W18" s="56"/>
      <c r="X18" s="56" t="s">
        <v>37</v>
      </c>
      <c r="Y18" s="56" t="s">
        <v>37</v>
      </c>
      <c r="Z18" s="56" t="s">
        <v>37</v>
      </c>
      <c r="AA18" s="56"/>
      <c r="AB18" s="56"/>
      <c r="AC18" s="56" t="s">
        <v>37</v>
      </c>
      <c r="AD18" s="56"/>
      <c r="AE18" s="56"/>
      <c r="AF18" s="55" t="s">
        <v>37</v>
      </c>
      <c r="AG18" s="502" t="s">
        <v>132</v>
      </c>
      <c r="AH18" s="508"/>
      <c r="AI18" s="16"/>
    </row>
    <row r="19" spans="1:38" ht="21.95" customHeight="1" x14ac:dyDescent="0.2">
      <c r="A19" s="545" t="s">
        <v>133</v>
      </c>
      <c r="B19" s="30"/>
      <c r="C19" s="32" t="s">
        <v>40</v>
      </c>
      <c r="D19" s="935" t="s">
        <v>685</v>
      </c>
      <c r="E19" s="936"/>
      <c r="F19" s="54">
        <f>'[1]SB(1-15)'!$F$20</f>
        <v>84763</v>
      </c>
      <c r="G19" s="54">
        <f>F19/2</f>
        <v>42381.5</v>
      </c>
      <c r="H19" s="55"/>
      <c r="I19" s="55"/>
      <c r="J19" s="55"/>
      <c r="K19" s="55"/>
      <c r="L19" s="55"/>
      <c r="M19" s="55"/>
      <c r="N19" s="55"/>
      <c r="O19" s="55"/>
      <c r="P19" s="55"/>
      <c r="Q19" s="56"/>
      <c r="R19" s="55"/>
      <c r="S19" s="55"/>
      <c r="T19" s="55"/>
      <c r="U19" s="55"/>
      <c r="V19" s="55"/>
      <c r="W19" s="56">
        <v>2119.0700000000002</v>
      </c>
      <c r="X19" s="56">
        <v>2119.08</v>
      </c>
      <c r="Y19" s="56">
        <f t="shared" ref="Y19:Y24" si="2">F19*0.09</f>
        <v>7628.67</v>
      </c>
      <c r="Z19" s="56">
        <f t="shared" ref="Z19:Z24" si="3">F19*0.12</f>
        <v>10171.56</v>
      </c>
      <c r="AA19" s="55"/>
      <c r="AB19" s="55"/>
      <c r="AC19" s="55"/>
      <c r="AD19" s="55"/>
      <c r="AE19" s="56">
        <v>100</v>
      </c>
      <c r="AF19" s="56">
        <f t="shared" ref="AF19:AF33" si="4">G19-SUM(I19:S19)-W19-Y19-SUM(AA19:AD19)-U19</f>
        <v>32633.760000000002</v>
      </c>
      <c r="AG19" s="502" t="s">
        <v>133</v>
      </c>
      <c r="AH19" s="692"/>
      <c r="AI19" s="558"/>
      <c r="AL19" s="88"/>
    </row>
    <row r="20" spans="1:38" ht="21.95" customHeight="1" x14ac:dyDescent="0.2">
      <c r="A20" s="545" t="s">
        <v>65</v>
      </c>
      <c r="B20" s="30"/>
      <c r="C20" s="32" t="s">
        <v>40</v>
      </c>
      <c r="D20" s="32" t="s">
        <v>595</v>
      </c>
      <c r="E20" s="32" t="s">
        <v>159</v>
      </c>
      <c r="F20" s="54">
        <f>'[1]SB(1-15)'!$F$21</f>
        <v>83457</v>
      </c>
      <c r="G20" s="54">
        <f>F20/2</f>
        <v>41728.5</v>
      </c>
      <c r="H20" s="55"/>
      <c r="I20" s="55"/>
      <c r="J20" s="55"/>
      <c r="K20" s="55"/>
      <c r="L20" s="55"/>
      <c r="M20" s="55"/>
      <c r="N20" s="55"/>
      <c r="O20" s="55"/>
      <c r="P20" s="55"/>
      <c r="Q20" s="56"/>
      <c r="R20" s="55"/>
      <c r="S20" s="55"/>
      <c r="T20" s="55"/>
      <c r="U20" s="55"/>
      <c r="V20" s="55"/>
      <c r="W20" s="26">
        <v>2086.42</v>
      </c>
      <c r="X20" s="56">
        <v>2086.4299999999998</v>
      </c>
      <c r="Y20" s="56">
        <f t="shared" si="2"/>
        <v>7511.13</v>
      </c>
      <c r="Z20" s="56">
        <f t="shared" si="3"/>
        <v>10014.84</v>
      </c>
      <c r="AA20" s="55">
        <v>10000</v>
      </c>
      <c r="AB20" s="55"/>
      <c r="AC20" s="55"/>
      <c r="AD20" s="55"/>
      <c r="AE20" s="56">
        <v>100</v>
      </c>
      <c r="AF20" s="56">
        <f>G20-SUM(I20:S20)-W20-Y20-SUM(AA20:AD20)-U20</f>
        <v>22130.95</v>
      </c>
      <c r="AG20" s="502" t="s">
        <v>65</v>
      </c>
      <c r="AH20" s="692"/>
      <c r="AI20" s="558"/>
      <c r="AL20" s="88"/>
    </row>
    <row r="21" spans="1:38" ht="21.95" customHeight="1" x14ac:dyDescent="0.2">
      <c r="A21" s="545" t="s">
        <v>134</v>
      </c>
      <c r="B21" s="30"/>
      <c r="C21" s="32" t="s">
        <v>40</v>
      </c>
      <c r="D21" s="32" t="s">
        <v>595</v>
      </c>
      <c r="E21" s="32" t="s">
        <v>159</v>
      </c>
      <c r="F21" s="54">
        <f>'[1]SB(1-15)'!$F$22</f>
        <v>83457</v>
      </c>
      <c r="G21" s="54">
        <f>F21/2</f>
        <v>41728.5</v>
      </c>
      <c r="H21" s="55"/>
      <c r="I21" s="55"/>
      <c r="J21" s="55"/>
      <c r="K21" s="55"/>
      <c r="L21" s="55"/>
      <c r="M21" s="55"/>
      <c r="N21" s="55"/>
      <c r="O21" s="55"/>
      <c r="P21" s="55"/>
      <c r="Q21" s="56"/>
      <c r="R21" s="55"/>
      <c r="S21" s="55"/>
      <c r="T21" s="55"/>
      <c r="U21" s="55"/>
      <c r="V21" s="55"/>
      <c r="W21" s="26">
        <v>2086.42</v>
      </c>
      <c r="X21" s="56">
        <v>2086.4299999999998</v>
      </c>
      <c r="Y21" s="56">
        <f t="shared" si="2"/>
        <v>7511.13</v>
      </c>
      <c r="Z21" s="56">
        <f t="shared" si="3"/>
        <v>10014.84</v>
      </c>
      <c r="AA21" s="55"/>
      <c r="AB21" s="55"/>
      <c r="AC21" s="55"/>
      <c r="AD21" s="55"/>
      <c r="AE21" s="56">
        <v>100</v>
      </c>
      <c r="AF21" s="56">
        <f t="shared" si="4"/>
        <v>32130.95</v>
      </c>
      <c r="AG21" s="502" t="s">
        <v>134</v>
      </c>
      <c r="AH21" s="513"/>
      <c r="AI21" s="535"/>
    </row>
    <row r="22" spans="1:38" ht="21.95" customHeight="1" x14ac:dyDescent="0.2">
      <c r="A22" s="545" t="s">
        <v>135</v>
      </c>
      <c r="B22" s="44"/>
      <c r="C22" s="32" t="s">
        <v>40</v>
      </c>
      <c r="D22" s="32" t="s">
        <v>595</v>
      </c>
      <c r="E22" s="32" t="s">
        <v>159</v>
      </c>
      <c r="F22" s="54">
        <f>'[1]SB(1-15)'!$F$23</f>
        <v>87440</v>
      </c>
      <c r="G22" s="54">
        <f t="shared" ref="G22:G27" si="5">F22/2</f>
        <v>43720</v>
      </c>
      <c r="H22" s="55"/>
      <c r="I22" s="55"/>
      <c r="J22" s="55"/>
      <c r="K22" s="55"/>
      <c r="L22" s="55"/>
      <c r="M22" s="55"/>
      <c r="N22" s="56"/>
      <c r="O22" s="55"/>
      <c r="P22" s="55"/>
      <c r="Q22" s="56"/>
      <c r="R22" s="55"/>
      <c r="S22" s="55"/>
      <c r="T22" s="55"/>
      <c r="U22" s="55"/>
      <c r="V22" s="55"/>
      <c r="W22" s="26">
        <v>2186</v>
      </c>
      <c r="X22" s="26">
        <v>2186</v>
      </c>
      <c r="Y22" s="56">
        <f t="shared" si="2"/>
        <v>7869.5999999999995</v>
      </c>
      <c r="Z22" s="56">
        <f t="shared" si="3"/>
        <v>10492.8</v>
      </c>
      <c r="AA22" s="55"/>
      <c r="AB22" s="55"/>
      <c r="AC22" s="55"/>
      <c r="AD22" s="55"/>
      <c r="AE22" s="56">
        <v>100</v>
      </c>
      <c r="AF22" s="56">
        <f t="shared" si="4"/>
        <v>33664.400000000001</v>
      </c>
      <c r="AG22" s="502" t="s">
        <v>135</v>
      </c>
      <c r="AH22" s="692"/>
      <c r="AI22" s="558"/>
      <c r="AL22" s="88"/>
    </row>
    <row r="23" spans="1:38" ht="21.95" customHeight="1" x14ac:dyDescent="0.2">
      <c r="A23" s="545" t="s">
        <v>136</v>
      </c>
      <c r="B23" s="44"/>
      <c r="C23" s="32" t="s">
        <v>40</v>
      </c>
      <c r="D23" s="32" t="s">
        <v>595</v>
      </c>
      <c r="E23" s="32" t="s">
        <v>159</v>
      </c>
      <c r="F23" s="54">
        <f>'[1]SB(1-15)'!$F$24</f>
        <v>87440</v>
      </c>
      <c r="G23" s="54">
        <f t="shared" si="5"/>
        <v>43720</v>
      </c>
      <c r="H23" s="55"/>
      <c r="I23" s="55"/>
      <c r="J23" s="55"/>
      <c r="K23" s="55"/>
      <c r="L23" s="55"/>
      <c r="M23" s="55"/>
      <c r="N23" s="55"/>
      <c r="O23" s="55"/>
      <c r="P23" s="55"/>
      <c r="Q23" s="56"/>
      <c r="R23" s="55">
        <v>3255.22</v>
      </c>
      <c r="S23" s="55"/>
      <c r="T23" s="55"/>
      <c r="U23" s="55"/>
      <c r="V23" s="55"/>
      <c r="W23" s="26">
        <v>2186</v>
      </c>
      <c r="X23" s="26">
        <v>2186</v>
      </c>
      <c r="Y23" s="56">
        <f t="shared" si="2"/>
        <v>7869.5999999999995</v>
      </c>
      <c r="Z23" s="56">
        <f t="shared" si="3"/>
        <v>10492.8</v>
      </c>
      <c r="AA23" s="55"/>
      <c r="AB23" s="55"/>
      <c r="AC23" s="55"/>
      <c r="AD23" s="55"/>
      <c r="AE23" s="56">
        <v>100</v>
      </c>
      <c r="AF23" s="56">
        <f>G23-SUM(I23:S23)-W23-Y23-SUM(AA23:AD23)-U23</f>
        <v>30409.18</v>
      </c>
      <c r="AG23" s="502" t="s">
        <v>136</v>
      </c>
      <c r="AH23" s="692"/>
      <c r="AI23" s="730"/>
      <c r="AL23" s="88"/>
    </row>
    <row r="24" spans="1:38" ht="21.95" customHeight="1" x14ac:dyDescent="0.2">
      <c r="A24" s="545" t="s">
        <v>137</v>
      </c>
      <c r="B24" s="30"/>
      <c r="C24" s="32" t="s">
        <v>40</v>
      </c>
      <c r="D24" s="32" t="s">
        <v>595</v>
      </c>
      <c r="E24" s="32" t="s">
        <v>159</v>
      </c>
      <c r="F24" s="54">
        <f>'[1]SB(1-15)'!$F$25</f>
        <v>83457</v>
      </c>
      <c r="G24" s="54">
        <f t="shared" si="5"/>
        <v>41728.5</v>
      </c>
      <c r="H24" s="55"/>
      <c r="I24" s="55"/>
      <c r="J24" s="55"/>
      <c r="K24" s="55"/>
      <c r="L24" s="55"/>
      <c r="M24" s="55"/>
      <c r="N24" s="55"/>
      <c r="O24" s="55"/>
      <c r="P24" s="55"/>
      <c r="Q24" s="56"/>
      <c r="R24" s="55"/>
      <c r="S24" s="55"/>
      <c r="T24" s="55"/>
      <c r="U24" s="55"/>
      <c r="V24" s="55"/>
      <c r="W24" s="26">
        <v>2086.42</v>
      </c>
      <c r="X24" s="56">
        <v>2086.4299999999998</v>
      </c>
      <c r="Y24" s="56">
        <f t="shared" si="2"/>
        <v>7511.13</v>
      </c>
      <c r="Z24" s="56">
        <f t="shared" si="3"/>
        <v>10014.84</v>
      </c>
      <c r="AA24" s="55"/>
      <c r="AB24" s="55"/>
      <c r="AC24" s="55"/>
      <c r="AD24" s="55"/>
      <c r="AE24" s="56">
        <v>100</v>
      </c>
      <c r="AF24" s="56">
        <f>G24-SUM(I24:S24)-W24-Y24-SUM(AA24:AD24)-U24</f>
        <v>32130.95</v>
      </c>
      <c r="AG24" s="502" t="s">
        <v>137</v>
      </c>
      <c r="AH24" s="513"/>
      <c r="AI24" s="535"/>
    </row>
    <row r="25" spans="1:38" ht="21.95" customHeight="1" x14ac:dyDescent="0.2">
      <c r="A25" s="545" t="s">
        <v>138</v>
      </c>
      <c r="B25" s="44"/>
      <c r="C25" s="32" t="s">
        <v>40</v>
      </c>
      <c r="D25" s="32" t="s">
        <v>595</v>
      </c>
      <c r="E25" s="32" t="s">
        <v>159</v>
      </c>
      <c r="F25" s="54">
        <f>'[1]SB(1-15)'!$F$26</f>
        <v>87440</v>
      </c>
      <c r="G25" s="54">
        <f t="shared" si="5"/>
        <v>43720</v>
      </c>
      <c r="H25" s="55"/>
      <c r="I25" s="55"/>
      <c r="J25" s="55"/>
      <c r="K25" s="55"/>
      <c r="L25" s="55"/>
      <c r="M25" s="55"/>
      <c r="N25" s="55"/>
      <c r="O25" s="55"/>
      <c r="P25" s="55"/>
      <c r="Q25" s="56"/>
      <c r="R25" s="55"/>
      <c r="S25" s="55"/>
      <c r="T25" s="55"/>
      <c r="U25" s="55"/>
      <c r="V25" s="55"/>
      <c r="W25" s="26"/>
      <c r="X25" s="56"/>
      <c r="Y25" s="56"/>
      <c r="Z25" s="56"/>
      <c r="AA25" s="55"/>
      <c r="AB25" s="55"/>
      <c r="AC25" s="55"/>
      <c r="AD25" s="55"/>
      <c r="AE25" s="56"/>
      <c r="AF25" s="56">
        <f t="shared" si="4"/>
        <v>43720</v>
      </c>
      <c r="AG25" s="502" t="s">
        <v>138</v>
      </c>
      <c r="AH25" s="513"/>
      <c r="AI25" s="535"/>
    </row>
    <row r="26" spans="1:38" ht="21.95" customHeight="1" x14ac:dyDescent="0.2">
      <c r="A26" s="545" t="s">
        <v>139</v>
      </c>
      <c r="B26" s="30"/>
      <c r="C26" s="32" t="s">
        <v>40</v>
      </c>
      <c r="D26" s="32" t="s">
        <v>595</v>
      </c>
      <c r="E26" s="32" t="s">
        <v>159</v>
      </c>
      <c r="F26" s="54">
        <f>'[1]SB(1-15)'!$F$27</f>
        <v>83457</v>
      </c>
      <c r="G26" s="54">
        <f t="shared" si="5"/>
        <v>41728.5</v>
      </c>
      <c r="H26" s="56"/>
      <c r="I26" s="56"/>
      <c r="J26" s="56"/>
      <c r="K26" s="56"/>
      <c r="L26" s="56"/>
      <c r="M26" s="56"/>
      <c r="N26" s="56"/>
      <c r="O26" s="56"/>
      <c r="P26" s="56"/>
      <c r="Q26" s="56"/>
      <c r="R26" s="56"/>
      <c r="S26" s="56"/>
      <c r="T26" s="56"/>
      <c r="U26" s="56"/>
      <c r="V26" s="56"/>
      <c r="W26" s="26">
        <v>2086.42</v>
      </c>
      <c r="X26" s="56">
        <v>2086.4299999999998</v>
      </c>
      <c r="Y26" s="56">
        <f t="shared" ref="Y26:Y33" si="6">F26*0.09</f>
        <v>7511.13</v>
      </c>
      <c r="Z26" s="56">
        <f t="shared" ref="Z26:Z33" si="7">F26*0.12</f>
        <v>10014.84</v>
      </c>
      <c r="AA26" s="56"/>
      <c r="AB26" s="56"/>
      <c r="AC26" s="56"/>
      <c r="AD26" s="56"/>
      <c r="AE26" s="56">
        <v>100</v>
      </c>
      <c r="AF26" s="56">
        <f t="shared" si="4"/>
        <v>32130.95</v>
      </c>
      <c r="AG26" s="502" t="s">
        <v>139</v>
      </c>
      <c r="AH26" s="513"/>
      <c r="AI26" s="535"/>
    </row>
    <row r="27" spans="1:38" ht="21.95" customHeight="1" x14ac:dyDescent="0.2">
      <c r="A27" s="545" t="s">
        <v>140</v>
      </c>
      <c r="B27" s="30"/>
      <c r="C27" s="32" t="s">
        <v>40</v>
      </c>
      <c r="D27" s="32" t="s">
        <v>595</v>
      </c>
      <c r="E27" s="32" t="s">
        <v>159</v>
      </c>
      <c r="F27" s="54">
        <f>'[1]SB(1-15)'!$F$28</f>
        <v>83457</v>
      </c>
      <c r="G27" s="57">
        <f t="shared" si="5"/>
        <v>41728.5</v>
      </c>
      <c r="H27" s="61"/>
      <c r="I27" s="61"/>
      <c r="J27" s="61"/>
      <c r="K27" s="61"/>
      <c r="L27" s="61"/>
      <c r="M27" s="61"/>
      <c r="N27" s="61"/>
      <c r="O27" s="61"/>
      <c r="P27" s="61"/>
      <c r="Q27" s="55"/>
      <c r="R27" s="61"/>
      <c r="S27" s="61"/>
      <c r="T27" s="55"/>
      <c r="U27" s="55"/>
      <c r="V27" s="55"/>
      <c r="W27" s="26">
        <v>2086.42</v>
      </c>
      <c r="X27" s="56">
        <v>2086.4299999999998</v>
      </c>
      <c r="Y27" s="55">
        <f t="shared" si="6"/>
        <v>7511.13</v>
      </c>
      <c r="Z27" s="55">
        <f t="shared" si="7"/>
        <v>10014.84</v>
      </c>
      <c r="AA27" s="61"/>
      <c r="AB27" s="61"/>
      <c r="AC27" s="61"/>
      <c r="AD27" s="61"/>
      <c r="AE27" s="56">
        <v>100</v>
      </c>
      <c r="AF27" s="56">
        <f t="shared" si="4"/>
        <v>32130.95</v>
      </c>
      <c r="AG27" s="502" t="s">
        <v>140</v>
      </c>
      <c r="AH27" s="513"/>
      <c r="AI27" s="535"/>
    </row>
    <row r="28" spans="1:38" ht="21.95" customHeight="1" x14ac:dyDescent="0.2">
      <c r="A28" s="545" t="s">
        <v>141</v>
      </c>
      <c r="B28" s="30"/>
      <c r="C28" s="32" t="s">
        <v>651</v>
      </c>
      <c r="D28" s="32" t="s">
        <v>595</v>
      </c>
      <c r="E28" s="32" t="s">
        <v>159</v>
      </c>
      <c r="F28" s="59">
        <f>'[1]SB(1-15)'!$F$29</f>
        <v>44057</v>
      </c>
      <c r="G28" s="59">
        <f t="shared" ref="G28:G31" si="8">F28/2</f>
        <v>22028.5</v>
      </c>
      <c r="H28" s="58"/>
      <c r="I28" s="58"/>
      <c r="J28" s="58">
        <v>655.56</v>
      </c>
      <c r="K28" s="58"/>
      <c r="L28" s="58"/>
      <c r="M28" s="58"/>
      <c r="N28" s="58"/>
      <c r="O28" s="58">
        <v>1166.6600000000001</v>
      </c>
      <c r="P28" s="58"/>
      <c r="Q28" s="56"/>
      <c r="R28" s="58"/>
      <c r="S28" s="58">
        <v>3853.78</v>
      </c>
      <c r="T28" s="56"/>
      <c r="U28" s="56"/>
      <c r="V28" s="56"/>
      <c r="W28" s="56">
        <v>1101.42</v>
      </c>
      <c r="X28" s="56">
        <v>1101.43</v>
      </c>
      <c r="Y28" s="56">
        <f t="shared" si="6"/>
        <v>3965.1299999999997</v>
      </c>
      <c r="Z28" s="56">
        <f t="shared" si="7"/>
        <v>5286.84</v>
      </c>
      <c r="AA28" s="58">
        <v>4662.08</v>
      </c>
      <c r="AB28" s="58">
        <v>0</v>
      </c>
      <c r="AC28" s="58">
        <v>3370.92</v>
      </c>
      <c r="AD28" s="58"/>
      <c r="AE28" s="58">
        <v>100</v>
      </c>
      <c r="AF28" s="56">
        <f t="shared" si="4"/>
        <v>3252.9500000000007</v>
      </c>
      <c r="AG28" s="502" t="s">
        <v>141</v>
      </c>
      <c r="AH28" s="557"/>
      <c r="AI28" s="558" t="s">
        <v>37</v>
      </c>
      <c r="AJ28" s="35"/>
    </row>
    <row r="29" spans="1:38" ht="21.95" customHeight="1" x14ac:dyDescent="0.2">
      <c r="A29" s="545" t="s">
        <v>142</v>
      </c>
      <c r="B29" s="30"/>
      <c r="C29" s="210" t="s">
        <v>473</v>
      </c>
      <c r="D29" s="32" t="s">
        <v>595</v>
      </c>
      <c r="E29" s="32" t="s">
        <v>159</v>
      </c>
      <c r="F29" s="59">
        <f>'[1]SB(1-15)'!$F$30</f>
        <v>22097</v>
      </c>
      <c r="G29" s="59">
        <f t="shared" si="8"/>
        <v>11048.5</v>
      </c>
      <c r="H29" s="58"/>
      <c r="I29" s="58"/>
      <c r="J29" s="58"/>
      <c r="K29" s="58"/>
      <c r="L29" s="58"/>
      <c r="M29" s="58"/>
      <c r="N29" s="58"/>
      <c r="O29" s="58">
        <v>1166.67</v>
      </c>
      <c r="P29" s="58"/>
      <c r="Q29" s="56">
        <v>1953.51</v>
      </c>
      <c r="R29" s="58"/>
      <c r="S29" s="58"/>
      <c r="T29" s="55"/>
      <c r="U29" s="55"/>
      <c r="V29" s="55"/>
      <c r="W29" s="56">
        <v>552.41999999999996</v>
      </c>
      <c r="X29" s="56">
        <v>552.42999999999995</v>
      </c>
      <c r="Y29" s="56">
        <f t="shared" si="6"/>
        <v>1988.73</v>
      </c>
      <c r="Z29" s="56">
        <f t="shared" si="7"/>
        <v>2651.64</v>
      </c>
      <c r="AA29" s="58"/>
      <c r="AB29" s="58">
        <v>0</v>
      </c>
      <c r="AC29" s="58"/>
      <c r="AD29" s="58"/>
      <c r="AE29" s="58">
        <v>100</v>
      </c>
      <c r="AF29" s="56">
        <f t="shared" si="4"/>
        <v>5387.17</v>
      </c>
      <c r="AG29" s="502" t="s">
        <v>142</v>
      </c>
      <c r="AH29" s="557"/>
      <c r="AI29" s="558"/>
      <c r="AJ29" s="35"/>
    </row>
    <row r="30" spans="1:38" ht="21.95" customHeight="1" x14ac:dyDescent="0.2">
      <c r="A30" s="545" t="s">
        <v>143</v>
      </c>
      <c r="B30" s="44"/>
      <c r="C30" s="32" t="s">
        <v>499</v>
      </c>
      <c r="D30" s="32" t="s">
        <v>595</v>
      </c>
      <c r="E30" s="32" t="s">
        <v>159</v>
      </c>
      <c r="F30" s="59">
        <f>'[1]SB(1-15)'!$F$31</f>
        <v>14308</v>
      </c>
      <c r="G30" s="59">
        <f t="shared" si="8"/>
        <v>7154</v>
      </c>
      <c r="H30" s="58"/>
      <c r="I30" s="56"/>
      <c r="J30" s="56"/>
      <c r="K30" s="56"/>
      <c r="L30" s="56"/>
      <c r="M30" s="56"/>
      <c r="N30" s="56"/>
      <c r="O30" s="56"/>
      <c r="P30" s="56"/>
      <c r="Q30" s="56"/>
      <c r="R30" s="56"/>
      <c r="S30" s="56"/>
      <c r="T30" s="56"/>
      <c r="U30" s="56"/>
      <c r="V30" s="56"/>
      <c r="W30" s="58">
        <v>357.7</v>
      </c>
      <c r="X30" s="58">
        <v>357.7</v>
      </c>
      <c r="Y30" s="56">
        <f t="shared" si="6"/>
        <v>1287.72</v>
      </c>
      <c r="Z30" s="56">
        <f t="shared" si="7"/>
        <v>1716.96</v>
      </c>
      <c r="AA30" s="56"/>
      <c r="AB30" s="56">
        <v>2735.84</v>
      </c>
      <c r="AC30" s="56"/>
      <c r="AD30" s="56"/>
      <c r="AE30" s="56">
        <v>100</v>
      </c>
      <c r="AF30" s="56">
        <f t="shared" si="4"/>
        <v>2772.74</v>
      </c>
      <c r="AG30" s="502" t="s">
        <v>143</v>
      </c>
      <c r="AH30" s="557"/>
      <c r="AI30" s="558"/>
    </row>
    <row r="31" spans="1:38" ht="21.95" customHeight="1" x14ac:dyDescent="0.2">
      <c r="A31" s="545" t="s">
        <v>144</v>
      </c>
      <c r="B31" s="44"/>
      <c r="C31" s="32" t="s">
        <v>499</v>
      </c>
      <c r="D31" s="32" t="s">
        <v>595</v>
      </c>
      <c r="E31" s="32" t="s">
        <v>159</v>
      </c>
      <c r="F31" s="59">
        <f>'[1]SB(1-15)'!$F$32</f>
        <v>14308</v>
      </c>
      <c r="G31" s="59">
        <f t="shared" si="8"/>
        <v>7154</v>
      </c>
      <c r="H31" s="58"/>
      <c r="I31" s="56"/>
      <c r="J31" s="56"/>
      <c r="K31" s="56"/>
      <c r="L31" s="56"/>
      <c r="M31" s="56"/>
      <c r="N31" s="56"/>
      <c r="O31" s="56"/>
      <c r="P31" s="56"/>
      <c r="Q31" s="56"/>
      <c r="R31" s="56"/>
      <c r="S31" s="56"/>
      <c r="T31" s="56"/>
      <c r="U31" s="56"/>
      <c r="V31" s="56"/>
      <c r="W31" s="58">
        <v>357.7</v>
      </c>
      <c r="X31" s="58">
        <v>357.7</v>
      </c>
      <c r="Y31" s="56">
        <f t="shared" si="6"/>
        <v>1287.72</v>
      </c>
      <c r="Z31" s="56">
        <f t="shared" si="7"/>
        <v>1716.96</v>
      </c>
      <c r="AA31" s="56"/>
      <c r="AB31" s="56">
        <v>2844.13</v>
      </c>
      <c r="AC31" s="56"/>
      <c r="AD31" s="56"/>
      <c r="AE31" s="56">
        <v>100</v>
      </c>
      <c r="AF31" s="56">
        <f t="shared" si="4"/>
        <v>2664.45</v>
      </c>
      <c r="AG31" s="502" t="s">
        <v>144</v>
      </c>
      <c r="AH31" s="557"/>
      <c r="AI31" s="558"/>
    </row>
    <row r="32" spans="1:38" ht="21.95" customHeight="1" x14ac:dyDescent="0.2">
      <c r="A32" s="545" t="s">
        <v>145</v>
      </c>
      <c r="B32" s="30"/>
      <c r="C32" s="210" t="s">
        <v>446</v>
      </c>
      <c r="D32" s="32" t="s">
        <v>595</v>
      </c>
      <c r="E32" s="32" t="s">
        <v>159</v>
      </c>
      <c r="F32" s="54">
        <f>'[1]SB(1-15)'!$F$33</f>
        <v>13575</v>
      </c>
      <c r="G32" s="54">
        <f>F32/2</f>
        <v>6787.5</v>
      </c>
      <c r="H32" s="56"/>
      <c r="I32" s="56"/>
      <c r="J32" s="56">
        <v>311.12</v>
      </c>
      <c r="K32" s="56"/>
      <c r="L32" s="56"/>
      <c r="M32" s="56"/>
      <c r="N32" s="56"/>
      <c r="O32" s="56"/>
      <c r="P32" s="56"/>
      <c r="Q32" s="56">
        <v>354.89</v>
      </c>
      <c r="R32" s="56"/>
      <c r="S32" s="56"/>
      <c r="T32" s="56"/>
      <c r="U32" s="56"/>
      <c r="V32" s="56"/>
      <c r="W32" s="56">
        <v>339.37</v>
      </c>
      <c r="X32" s="56">
        <v>339.38</v>
      </c>
      <c r="Y32" s="56">
        <f t="shared" si="6"/>
        <v>1221.75</v>
      </c>
      <c r="Z32" s="56">
        <f t="shared" si="7"/>
        <v>1629</v>
      </c>
      <c r="AA32" s="56">
        <v>1735.42</v>
      </c>
      <c r="AB32" s="56">
        <v>1300</v>
      </c>
      <c r="AC32" s="56">
        <v>1000</v>
      </c>
      <c r="AD32" s="56"/>
      <c r="AE32" s="56">
        <v>100</v>
      </c>
      <c r="AF32" s="56">
        <f t="shared" si="4"/>
        <v>524.94999999999982</v>
      </c>
      <c r="AG32" s="502" t="s">
        <v>145</v>
      </c>
      <c r="AH32" s="508"/>
      <c r="AI32" s="16"/>
      <c r="AJ32" s="18"/>
    </row>
    <row r="33" spans="1:36" ht="21.95" customHeight="1" thickBot="1" x14ac:dyDescent="0.25">
      <c r="A33" s="545" t="s">
        <v>146</v>
      </c>
      <c r="B33" s="30"/>
      <c r="C33" s="210" t="s">
        <v>446</v>
      </c>
      <c r="D33" s="32" t="s">
        <v>595</v>
      </c>
      <c r="E33" s="32" t="s">
        <v>159</v>
      </c>
      <c r="F33" s="62">
        <f>'[1]SB(1-15)'!$F$34</f>
        <v>13474</v>
      </c>
      <c r="G33" s="62">
        <f>F33/2</f>
        <v>6737</v>
      </c>
      <c r="H33" s="61"/>
      <c r="I33" s="61"/>
      <c r="J33" s="61"/>
      <c r="K33" s="61"/>
      <c r="L33" s="61"/>
      <c r="M33" s="61"/>
      <c r="N33" s="61"/>
      <c r="O33" s="61"/>
      <c r="P33" s="61"/>
      <c r="Q33" s="61"/>
      <c r="R33" s="61"/>
      <c r="S33" s="61"/>
      <c r="T33" s="61"/>
      <c r="U33" s="61"/>
      <c r="V33" s="61"/>
      <c r="W33" s="61">
        <v>336.85</v>
      </c>
      <c r="X33" s="61">
        <v>336.85</v>
      </c>
      <c r="Y33" s="61">
        <f t="shared" si="6"/>
        <v>1212.6599999999999</v>
      </c>
      <c r="Z33" s="61">
        <f t="shared" si="7"/>
        <v>1616.8799999999999</v>
      </c>
      <c r="AA33" s="61"/>
      <c r="AB33" s="61"/>
      <c r="AC33" s="61"/>
      <c r="AD33" s="61"/>
      <c r="AE33" s="56">
        <v>100</v>
      </c>
      <c r="AF33" s="56">
        <f t="shared" si="4"/>
        <v>5187.49</v>
      </c>
      <c r="AG33" s="502" t="s">
        <v>146</v>
      </c>
      <c r="AH33" s="508"/>
      <c r="AI33" s="16"/>
      <c r="AJ33" s="18"/>
    </row>
    <row r="34" spans="1:36" ht="21.95" customHeight="1" thickBot="1" x14ac:dyDescent="0.25">
      <c r="A34" s="545" t="s">
        <v>147</v>
      </c>
      <c r="B34" s="30" t="s">
        <v>37</v>
      </c>
      <c r="C34" s="210"/>
      <c r="D34" s="210"/>
      <c r="E34" s="210"/>
      <c r="F34" s="472">
        <f>SUM(F19:F33)</f>
        <v>886187</v>
      </c>
      <c r="G34" s="472">
        <f>SUM(G19:G33)</f>
        <v>443093.5</v>
      </c>
      <c r="H34" s="472">
        <f>SUM(H19:H33)</f>
        <v>0</v>
      </c>
      <c r="I34" s="472">
        <f>SUM(I19:I33)</f>
        <v>0</v>
      </c>
      <c r="J34" s="472">
        <f t="shared" ref="J34:AF34" si="9">SUM(J19:J33)</f>
        <v>966.68</v>
      </c>
      <c r="K34" s="472">
        <f t="shared" si="9"/>
        <v>0</v>
      </c>
      <c r="L34" s="472">
        <f t="shared" si="9"/>
        <v>0</v>
      </c>
      <c r="M34" s="472">
        <f t="shared" si="9"/>
        <v>0</v>
      </c>
      <c r="N34" s="472">
        <f t="shared" si="9"/>
        <v>0</v>
      </c>
      <c r="O34" s="472">
        <f t="shared" si="9"/>
        <v>2333.33</v>
      </c>
      <c r="P34" s="472">
        <f t="shared" si="9"/>
        <v>0</v>
      </c>
      <c r="Q34" s="472">
        <f t="shared" si="9"/>
        <v>2308.4</v>
      </c>
      <c r="R34" s="472">
        <f t="shared" si="9"/>
        <v>3255.22</v>
      </c>
      <c r="S34" s="472">
        <f t="shared" si="9"/>
        <v>3853.78</v>
      </c>
      <c r="T34" s="472">
        <f t="shared" si="9"/>
        <v>0</v>
      </c>
      <c r="U34" s="472">
        <f t="shared" si="9"/>
        <v>0</v>
      </c>
      <c r="V34" s="472">
        <f t="shared" si="9"/>
        <v>0</v>
      </c>
      <c r="W34" s="472">
        <f t="shared" si="9"/>
        <v>19968.629999999994</v>
      </c>
      <c r="X34" s="472">
        <f t="shared" si="9"/>
        <v>19968.72</v>
      </c>
      <c r="Y34" s="472">
        <f t="shared" si="9"/>
        <v>71887.23</v>
      </c>
      <c r="Z34" s="472">
        <f t="shared" si="9"/>
        <v>95849.64</v>
      </c>
      <c r="AA34" s="472">
        <f t="shared" si="9"/>
        <v>16397.5</v>
      </c>
      <c r="AB34" s="472">
        <f t="shared" si="9"/>
        <v>6879.97</v>
      </c>
      <c r="AC34" s="472">
        <f t="shared" si="9"/>
        <v>4370.92</v>
      </c>
      <c r="AD34" s="472">
        <f t="shared" si="9"/>
        <v>0</v>
      </c>
      <c r="AE34" s="472">
        <f t="shared" si="9"/>
        <v>1400</v>
      </c>
      <c r="AF34" s="472">
        <f t="shared" si="9"/>
        <v>310871.84000000003</v>
      </c>
      <c r="AG34" s="502" t="s">
        <v>147</v>
      </c>
      <c r="AH34" s="508" t="s">
        <v>37</v>
      </c>
      <c r="AI34" s="16"/>
    </row>
    <row r="35" spans="1:36" ht="21.95" customHeight="1" thickTop="1" x14ac:dyDescent="0.2">
      <c r="A35" s="545" t="s">
        <v>148</v>
      </c>
      <c r="B35" s="194" t="s">
        <v>43</v>
      </c>
      <c r="C35" s="210" t="s">
        <v>37</v>
      </c>
      <c r="D35" s="576" t="s">
        <v>37</v>
      </c>
      <c r="E35" s="43"/>
      <c r="F35" s="56" t="s">
        <v>37</v>
      </c>
      <c r="G35" s="56" t="s">
        <v>37</v>
      </c>
      <c r="H35" s="56" t="s">
        <v>37</v>
      </c>
      <c r="I35" s="56"/>
      <c r="J35" s="56" t="s">
        <v>37</v>
      </c>
      <c r="K35" s="56" t="s">
        <v>37</v>
      </c>
      <c r="L35" s="56"/>
      <c r="M35" s="56"/>
      <c r="N35" s="56"/>
      <c r="O35" s="56"/>
      <c r="P35" s="56"/>
      <c r="Q35" s="56"/>
      <c r="R35" s="56"/>
      <c r="S35" s="56"/>
      <c r="T35" s="56"/>
      <c r="U35" s="56"/>
      <c r="V35" s="56"/>
      <c r="W35" s="56"/>
      <c r="X35" s="55">
        <f t="shared" ref="X35" si="10">W35</f>
        <v>0</v>
      </c>
      <c r="Y35" s="56" t="s">
        <v>37</v>
      </c>
      <c r="Z35" s="56" t="s">
        <v>37</v>
      </c>
      <c r="AA35" s="56"/>
      <c r="AB35" s="56"/>
      <c r="AC35" s="56"/>
      <c r="AD35" s="56"/>
      <c r="AE35" s="56"/>
      <c r="AF35" s="55" t="s">
        <v>37</v>
      </c>
      <c r="AG35" s="502" t="s">
        <v>148</v>
      </c>
      <c r="AH35" s="508"/>
      <c r="AI35" s="16"/>
    </row>
    <row r="36" spans="1:36" ht="21.95" customHeight="1" x14ac:dyDescent="0.2">
      <c r="A36" s="545" t="s">
        <v>149</v>
      </c>
      <c r="B36" s="30"/>
      <c r="C36" s="210" t="s">
        <v>45</v>
      </c>
      <c r="D36" s="935" t="s">
        <v>685</v>
      </c>
      <c r="E36" s="936"/>
      <c r="F36" s="54">
        <f>'[1]SB(1-15)'!$F$37</f>
        <v>93016</v>
      </c>
      <c r="G36" s="54">
        <f t="shared" ref="G36:G37" si="11">F36/2</f>
        <v>46508</v>
      </c>
      <c r="H36" s="56"/>
      <c r="I36" s="56"/>
      <c r="J36" s="56"/>
      <c r="K36" s="56"/>
      <c r="L36" s="56"/>
      <c r="M36" s="56"/>
      <c r="N36" s="56"/>
      <c r="O36" s="56"/>
      <c r="P36" s="56"/>
      <c r="Q36" s="56">
        <v>7957.69</v>
      </c>
      <c r="R36" s="56"/>
      <c r="S36" s="56">
        <v>4817.22</v>
      </c>
      <c r="T36" s="56"/>
      <c r="U36" s="56"/>
      <c r="V36" s="56"/>
      <c r="W36" s="56">
        <v>2325.4</v>
      </c>
      <c r="X36" s="56">
        <v>2325.4</v>
      </c>
      <c r="Y36" s="56">
        <f t="shared" ref="Y36:Y41" si="12">F36*0.09</f>
        <v>8371.44</v>
      </c>
      <c r="Z36" s="56">
        <f t="shared" ref="Z36:Z41" si="13">F36*0.12</f>
        <v>11161.92</v>
      </c>
      <c r="AA36" s="56"/>
      <c r="AB36" s="56">
        <v>11657.07</v>
      </c>
      <c r="AC36" s="56">
        <v>2055.8200000000002</v>
      </c>
      <c r="AD36" s="56"/>
      <c r="AE36" s="56">
        <v>100</v>
      </c>
      <c r="AF36" s="56">
        <f t="shared" ref="AF36:AF41" si="14">G36-SUM(I36:S36)-W36-Y36-SUM(AA36:AD36)-U36</f>
        <v>9323.3599999999933</v>
      </c>
      <c r="AG36" s="502" t="s">
        <v>149</v>
      </c>
      <c r="AH36" s="508"/>
      <c r="AI36" s="16"/>
      <c r="AJ36" s="18"/>
    </row>
    <row r="37" spans="1:36" ht="21.95" customHeight="1" x14ac:dyDescent="0.2">
      <c r="A37" s="545" t="s">
        <v>150</v>
      </c>
      <c r="B37" s="30"/>
      <c r="C37" s="210" t="s">
        <v>427</v>
      </c>
      <c r="D37" s="32" t="s">
        <v>595</v>
      </c>
      <c r="E37" s="32" t="s">
        <v>159</v>
      </c>
      <c r="F37" s="54">
        <f>'[1]SB(1-15)'!$F$38</f>
        <v>22097</v>
      </c>
      <c r="G37" s="54">
        <f t="shared" si="11"/>
        <v>11048.5</v>
      </c>
      <c r="H37" s="56"/>
      <c r="I37" s="56"/>
      <c r="J37" s="56"/>
      <c r="K37" s="56"/>
      <c r="L37" s="56"/>
      <c r="M37" s="56"/>
      <c r="N37" s="56"/>
      <c r="O37" s="56"/>
      <c r="P37" s="56"/>
      <c r="Q37" s="56"/>
      <c r="R37" s="56"/>
      <c r="S37" s="56"/>
      <c r="T37" s="55"/>
      <c r="U37" s="55"/>
      <c r="V37" s="55"/>
      <c r="W37" s="56">
        <v>552.41999999999996</v>
      </c>
      <c r="X37" s="56">
        <v>552.42999999999995</v>
      </c>
      <c r="Y37" s="56">
        <f t="shared" si="12"/>
        <v>1988.73</v>
      </c>
      <c r="Z37" s="56">
        <f t="shared" si="13"/>
        <v>2651.64</v>
      </c>
      <c r="AA37" s="56"/>
      <c r="AB37" s="56"/>
      <c r="AC37" s="56"/>
      <c r="AD37" s="56"/>
      <c r="AE37" s="56">
        <v>100</v>
      </c>
      <c r="AF37" s="56">
        <f t="shared" si="14"/>
        <v>8507.35</v>
      </c>
      <c r="AG37" s="502" t="s">
        <v>150</v>
      </c>
      <c r="AH37" s="508"/>
      <c r="AI37" s="16"/>
      <c r="AJ37" s="18"/>
    </row>
    <row r="38" spans="1:36" ht="21.95" customHeight="1" x14ac:dyDescent="0.2">
      <c r="A38" s="545" t="s">
        <v>151</v>
      </c>
      <c r="B38" s="30"/>
      <c r="C38" s="210" t="s">
        <v>473</v>
      </c>
      <c r="D38" s="32" t="s">
        <v>595</v>
      </c>
      <c r="E38" s="32" t="s">
        <v>159</v>
      </c>
      <c r="F38" s="54">
        <f>'[1]SB(1-15)'!$F$39</f>
        <v>21748</v>
      </c>
      <c r="G38" s="54">
        <f>F38/2</f>
        <v>10874</v>
      </c>
      <c r="H38" s="56"/>
      <c r="I38" s="55"/>
      <c r="J38" s="55"/>
      <c r="K38" s="55"/>
      <c r="L38" s="55"/>
      <c r="M38" s="55"/>
      <c r="N38" s="55"/>
      <c r="O38" s="58">
        <v>1166.67</v>
      </c>
      <c r="P38" s="55"/>
      <c r="Q38" s="55"/>
      <c r="R38" s="55"/>
      <c r="S38" s="55"/>
      <c r="T38" s="55"/>
      <c r="U38" s="55"/>
      <c r="V38" s="55"/>
      <c r="W38" s="56">
        <v>543.70000000000005</v>
      </c>
      <c r="X38" s="56">
        <v>543.70000000000005</v>
      </c>
      <c r="Y38" s="56">
        <f t="shared" si="12"/>
        <v>1957.32</v>
      </c>
      <c r="Z38" s="56">
        <f t="shared" si="13"/>
        <v>2609.7599999999998</v>
      </c>
      <c r="AA38" s="25">
        <v>4103.3100000000004</v>
      </c>
      <c r="AB38" s="55"/>
      <c r="AC38" s="55"/>
      <c r="AD38" s="55">
        <v>0</v>
      </c>
      <c r="AE38" s="55">
        <v>100</v>
      </c>
      <c r="AF38" s="56">
        <f t="shared" si="14"/>
        <v>3102.9999999999991</v>
      </c>
      <c r="AG38" s="502" t="s">
        <v>151</v>
      </c>
      <c r="AH38" s="513"/>
      <c r="AI38" s="554"/>
    </row>
    <row r="39" spans="1:36" ht="21.95" customHeight="1" x14ac:dyDescent="0.2">
      <c r="A39" s="545" t="s">
        <v>152</v>
      </c>
      <c r="B39" s="30"/>
      <c r="C39" s="210" t="s">
        <v>473</v>
      </c>
      <c r="D39" s="32" t="s">
        <v>595</v>
      </c>
      <c r="E39" s="32" t="s">
        <v>159</v>
      </c>
      <c r="F39" s="54">
        <f>'[1]SB(1-15)'!$F$40</f>
        <v>21748</v>
      </c>
      <c r="G39" s="59">
        <f>F39/2</f>
        <v>10874</v>
      </c>
      <c r="H39" s="61"/>
      <c r="I39" s="56">
        <v>298.27</v>
      </c>
      <c r="J39" s="56"/>
      <c r="K39" s="56"/>
      <c r="L39" s="56"/>
      <c r="M39" s="56"/>
      <c r="N39" s="56"/>
      <c r="O39" s="56">
        <v>700</v>
      </c>
      <c r="P39" s="56"/>
      <c r="Q39" s="56"/>
      <c r="R39" s="56"/>
      <c r="S39" s="56"/>
      <c r="T39" s="56"/>
      <c r="U39" s="56"/>
      <c r="V39" s="56"/>
      <c r="W39" s="56">
        <v>543.70000000000005</v>
      </c>
      <c r="X39" s="56">
        <v>543.70000000000005</v>
      </c>
      <c r="Y39" s="56">
        <f t="shared" si="12"/>
        <v>1957.32</v>
      </c>
      <c r="Z39" s="56">
        <f t="shared" si="13"/>
        <v>2609.7599999999998</v>
      </c>
      <c r="AA39" s="56"/>
      <c r="AB39" s="56">
        <v>0</v>
      </c>
      <c r="AC39" s="56"/>
      <c r="AD39" s="56"/>
      <c r="AE39" s="56">
        <v>100</v>
      </c>
      <c r="AF39" s="56">
        <f t="shared" si="14"/>
        <v>7374.7099999999991</v>
      </c>
      <c r="AG39" s="502" t="s">
        <v>152</v>
      </c>
      <c r="AH39" s="557"/>
      <c r="AI39" s="558"/>
    </row>
    <row r="40" spans="1:36" ht="21.95" customHeight="1" x14ac:dyDescent="0.2">
      <c r="A40" s="545" t="s">
        <v>153</v>
      </c>
      <c r="B40" s="30"/>
      <c r="C40" s="210" t="s">
        <v>654</v>
      </c>
      <c r="D40" s="32" t="s">
        <v>595</v>
      </c>
      <c r="E40" s="32" t="s">
        <v>159</v>
      </c>
      <c r="F40" s="54">
        <f>'[1]SB(1-15)'!$F$41</f>
        <v>18231</v>
      </c>
      <c r="G40" s="54">
        <f>F40/2</f>
        <v>9115.5</v>
      </c>
      <c r="H40" s="56"/>
      <c r="I40" s="56"/>
      <c r="J40" s="56">
        <v>655.56</v>
      </c>
      <c r="K40" s="56"/>
      <c r="L40" s="56"/>
      <c r="M40" s="56"/>
      <c r="N40" s="56"/>
      <c r="O40" s="56">
        <v>1166.67</v>
      </c>
      <c r="P40" s="56">
        <v>600</v>
      </c>
      <c r="Q40" s="56">
        <v>1139.94</v>
      </c>
      <c r="R40" s="56"/>
      <c r="S40" s="56"/>
      <c r="T40" s="56"/>
      <c r="U40" s="56"/>
      <c r="V40" s="56"/>
      <c r="W40" s="56">
        <v>455.77</v>
      </c>
      <c r="X40" s="56">
        <v>455.78</v>
      </c>
      <c r="Y40" s="56">
        <f t="shared" si="12"/>
        <v>1640.79</v>
      </c>
      <c r="Z40" s="56">
        <f t="shared" si="13"/>
        <v>2187.7199999999998</v>
      </c>
      <c r="AA40" s="56">
        <v>849.17</v>
      </c>
      <c r="AB40" s="56">
        <v>640.49</v>
      </c>
      <c r="AC40" s="56">
        <v>908.85</v>
      </c>
      <c r="AD40" s="56">
        <v>670.3</v>
      </c>
      <c r="AE40" s="56">
        <v>100</v>
      </c>
      <c r="AF40" s="56">
        <f t="shared" si="14"/>
        <v>387.96000000000004</v>
      </c>
      <c r="AG40" s="502" t="s">
        <v>153</v>
      </c>
      <c r="AH40" s="557"/>
      <c r="AI40" s="558"/>
    </row>
    <row r="41" spans="1:36" ht="21.95" customHeight="1" thickBot="1" x14ac:dyDescent="0.25">
      <c r="A41" s="545" t="s">
        <v>154</v>
      </c>
      <c r="B41" s="30"/>
      <c r="C41" s="256" t="s">
        <v>609</v>
      </c>
      <c r="D41" s="32" t="s">
        <v>595</v>
      </c>
      <c r="E41" s="32" t="s">
        <v>159</v>
      </c>
      <c r="F41" s="470">
        <f>'[1]SB(1-15)'!$F$42</f>
        <v>16233</v>
      </c>
      <c r="G41" s="470">
        <f t="shared" ref="G41" si="15">F41/2</f>
        <v>8116.5</v>
      </c>
      <c r="H41" s="60"/>
      <c r="I41" s="60"/>
      <c r="J41" s="60"/>
      <c r="K41" s="60"/>
      <c r="L41" s="60"/>
      <c r="M41" s="60"/>
      <c r="N41" s="60"/>
      <c r="O41" s="60"/>
      <c r="P41" s="60"/>
      <c r="Q41" s="60"/>
      <c r="R41" s="60"/>
      <c r="S41" s="60"/>
      <c r="T41" s="60"/>
      <c r="U41" s="60"/>
      <c r="V41" s="60"/>
      <c r="W41" s="60">
        <v>405.82</v>
      </c>
      <c r="X41" s="60">
        <v>405.83</v>
      </c>
      <c r="Y41" s="60">
        <f t="shared" si="12"/>
        <v>1460.97</v>
      </c>
      <c r="Z41" s="60">
        <f t="shared" si="13"/>
        <v>1947.96</v>
      </c>
      <c r="AA41" s="60"/>
      <c r="AB41" s="60"/>
      <c r="AC41" s="60"/>
      <c r="AD41" s="60"/>
      <c r="AE41" s="60">
        <v>100</v>
      </c>
      <c r="AF41" s="60">
        <f t="shared" si="14"/>
        <v>6249.71</v>
      </c>
      <c r="AG41" s="502" t="s">
        <v>154</v>
      </c>
      <c r="AH41" s="508"/>
      <c r="AI41" s="16"/>
      <c r="AJ41" s="18"/>
    </row>
    <row r="42" spans="1:36" ht="21.95" customHeight="1" thickBot="1" x14ac:dyDescent="0.25">
      <c r="A42" s="545" t="s">
        <v>155</v>
      </c>
      <c r="B42" s="30" t="s">
        <v>37</v>
      </c>
      <c r="C42" s="210" t="s">
        <v>37</v>
      </c>
      <c r="D42" s="209" t="s">
        <v>37</v>
      </c>
      <c r="E42" s="209" t="s">
        <v>37</v>
      </c>
      <c r="F42" s="64">
        <f>SUM(F36:F41)</f>
        <v>193073</v>
      </c>
      <c r="G42" s="64">
        <f t="shared" ref="G42:AE42" si="16">SUM(G36:G41)</f>
        <v>96536.5</v>
      </c>
      <c r="H42" s="64">
        <f t="shared" si="16"/>
        <v>0</v>
      </c>
      <c r="I42" s="64">
        <f t="shared" si="16"/>
        <v>298.27</v>
      </c>
      <c r="J42" s="64">
        <f t="shared" si="16"/>
        <v>655.56</v>
      </c>
      <c r="K42" s="64">
        <f t="shared" si="16"/>
        <v>0</v>
      </c>
      <c r="L42" s="64">
        <f t="shared" si="16"/>
        <v>0</v>
      </c>
      <c r="M42" s="64">
        <f t="shared" si="16"/>
        <v>0</v>
      </c>
      <c r="N42" s="64">
        <f t="shared" si="16"/>
        <v>0</v>
      </c>
      <c r="O42" s="64">
        <f t="shared" si="16"/>
        <v>3033.34</v>
      </c>
      <c r="P42" s="64">
        <f t="shared" si="16"/>
        <v>600</v>
      </c>
      <c r="Q42" s="64">
        <f t="shared" si="16"/>
        <v>9097.6299999999992</v>
      </c>
      <c r="R42" s="64">
        <f t="shared" si="16"/>
        <v>0</v>
      </c>
      <c r="S42" s="64">
        <f t="shared" si="16"/>
        <v>4817.22</v>
      </c>
      <c r="T42" s="64">
        <f t="shared" si="16"/>
        <v>0</v>
      </c>
      <c r="U42" s="64">
        <f t="shared" si="16"/>
        <v>0</v>
      </c>
      <c r="V42" s="64">
        <f t="shared" si="16"/>
        <v>0</v>
      </c>
      <c r="W42" s="64">
        <f t="shared" si="16"/>
        <v>4826.8099999999995</v>
      </c>
      <c r="X42" s="64">
        <f t="shared" si="16"/>
        <v>4826.8399999999992</v>
      </c>
      <c r="Y42" s="64">
        <f t="shared" si="16"/>
        <v>17376.57</v>
      </c>
      <c r="Z42" s="64">
        <f t="shared" si="16"/>
        <v>23168.76</v>
      </c>
      <c r="AA42" s="64">
        <f t="shared" si="16"/>
        <v>4952.4800000000005</v>
      </c>
      <c r="AB42" s="64">
        <f t="shared" si="16"/>
        <v>12297.56</v>
      </c>
      <c r="AC42" s="64">
        <f t="shared" si="16"/>
        <v>2964.67</v>
      </c>
      <c r="AD42" s="64">
        <f t="shared" si="16"/>
        <v>670.3</v>
      </c>
      <c r="AE42" s="64">
        <f t="shared" si="16"/>
        <v>600</v>
      </c>
      <c r="AF42" s="64">
        <f>SUM(AF36:AF41)</f>
        <v>34946.089999999989</v>
      </c>
      <c r="AG42" s="502" t="s">
        <v>155</v>
      </c>
      <c r="AH42" s="508" t="s">
        <v>37</v>
      </c>
      <c r="AI42" s="16"/>
    </row>
    <row r="43" spans="1:36" ht="21.95" customHeight="1" thickTop="1" x14ac:dyDescent="0.2">
      <c r="A43" s="545" t="s">
        <v>156</v>
      </c>
      <c r="B43" s="30" t="s">
        <v>37</v>
      </c>
      <c r="C43" s="210" t="s">
        <v>37</v>
      </c>
      <c r="D43" s="210"/>
      <c r="E43" s="210"/>
      <c r="F43" s="55" t="s">
        <v>37</v>
      </c>
      <c r="G43" s="55" t="s">
        <v>37</v>
      </c>
      <c r="H43" s="55"/>
      <c r="I43" s="55"/>
      <c r="J43" s="55" t="s">
        <v>37</v>
      </c>
      <c r="K43" s="55" t="s">
        <v>37</v>
      </c>
      <c r="L43" s="55"/>
      <c r="M43" s="55" t="s">
        <v>37</v>
      </c>
      <c r="N43" s="55" t="s">
        <v>37</v>
      </c>
      <c r="O43" s="55" t="s">
        <v>37</v>
      </c>
      <c r="P43" s="55"/>
      <c r="Q43" s="55"/>
      <c r="R43" s="55"/>
      <c r="S43" s="55" t="s">
        <v>37</v>
      </c>
      <c r="T43" s="55"/>
      <c r="U43" s="55"/>
      <c r="V43" s="55"/>
      <c r="W43" s="55"/>
      <c r="X43" s="55"/>
      <c r="Y43" s="55" t="s">
        <v>37</v>
      </c>
      <c r="Z43" s="55" t="s">
        <v>37</v>
      </c>
      <c r="AA43" s="55"/>
      <c r="AB43" s="55"/>
      <c r="AC43" s="55"/>
      <c r="AD43" s="55"/>
      <c r="AE43" s="55"/>
      <c r="AF43" s="55" t="s">
        <v>37</v>
      </c>
      <c r="AG43" s="502" t="s">
        <v>156</v>
      </c>
      <c r="AH43" s="508"/>
      <c r="AI43" s="16"/>
    </row>
    <row r="44" spans="1:36" ht="21.95" customHeight="1" thickBot="1" x14ac:dyDescent="0.25">
      <c r="A44" s="48" t="s">
        <v>157</v>
      </c>
      <c r="B44" s="40" t="s">
        <v>373</v>
      </c>
      <c r="C44" s="211"/>
      <c r="D44" s="211"/>
      <c r="E44" s="211"/>
      <c r="F44" s="478">
        <f>F42+F34+F17</f>
        <v>1256731</v>
      </c>
      <c r="G44" s="478">
        <f t="shared" ref="G44:AE44" si="17">G42+G34+G17</f>
        <v>628365.5</v>
      </c>
      <c r="H44" s="478">
        <f t="shared" si="17"/>
        <v>4000</v>
      </c>
      <c r="I44" s="478">
        <f t="shared" si="17"/>
        <v>298.27</v>
      </c>
      <c r="J44" s="478">
        <f t="shared" si="17"/>
        <v>1622.2399999999998</v>
      </c>
      <c r="K44" s="478">
        <f t="shared" si="17"/>
        <v>0</v>
      </c>
      <c r="L44" s="478">
        <f t="shared" si="17"/>
        <v>0</v>
      </c>
      <c r="M44" s="478">
        <f t="shared" si="17"/>
        <v>127</v>
      </c>
      <c r="N44" s="478">
        <f t="shared" si="17"/>
        <v>0</v>
      </c>
      <c r="O44" s="478">
        <f t="shared" si="17"/>
        <v>5366.67</v>
      </c>
      <c r="P44" s="478">
        <f t="shared" si="17"/>
        <v>600</v>
      </c>
      <c r="Q44" s="478">
        <f t="shared" si="17"/>
        <v>11406.029999999999</v>
      </c>
      <c r="R44" s="478">
        <f t="shared" si="17"/>
        <v>3255.22</v>
      </c>
      <c r="S44" s="478">
        <f t="shared" si="17"/>
        <v>8671</v>
      </c>
      <c r="T44" s="478">
        <f t="shared" si="17"/>
        <v>0</v>
      </c>
      <c r="U44" s="478">
        <f t="shared" si="17"/>
        <v>0</v>
      </c>
      <c r="V44" s="478">
        <f t="shared" si="17"/>
        <v>0</v>
      </c>
      <c r="W44" s="478">
        <f t="shared" si="17"/>
        <v>29232.209999999995</v>
      </c>
      <c r="X44" s="478">
        <f t="shared" si="17"/>
        <v>29232.340000000004</v>
      </c>
      <c r="Y44" s="478">
        <f t="shared" si="17"/>
        <v>105236.18999999999</v>
      </c>
      <c r="Z44" s="478">
        <f t="shared" si="17"/>
        <v>140314.91999999998</v>
      </c>
      <c r="AA44" s="478">
        <f t="shared" si="17"/>
        <v>31349.98</v>
      </c>
      <c r="AB44" s="478">
        <f t="shared" si="17"/>
        <v>19177.53</v>
      </c>
      <c r="AC44" s="478">
        <f t="shared" si="17"/>
        <v>7790.59</v>
      </c>
      <c r="AD44" s="478">
        <f t="shared" si="17"/>
        <v>670.3</v>
      </c>
      <c r="AE44" s="478">
        <f t="shared" si="17"/>
        <v>2500</v>
      </c>
      <c r="AF44" s="478">
        <f>AF42+AF34+AF17</f>
        <v>407562.27</v>
      </c>
      <c r="AG44" s="514" t="s">
        <v>157</v>
      </c>
      <c r="AH44" s="564"/>
      <c r="AI44" s="565" t="s">
        <v>37</v>
      </c>
    </row>
    <row r="45" spans="1:36" ht="9.75" customHeight="1" thickTop="1" x14ac:dyDescent="0.2">
      <c r="K45" s="1" t="s">
        <v>37</v>
      </c>
      <c r="AH45" s="18"/>
    </row>
    <row r="46" spans="1:36" ht="6.75" customHeight="1" x14ac:dyDescent="0.2">
      <c r="AE46" s="889" t="s">
        <v>48</v>
      </c>
      <c r="AF46" s="967"/>
      <c r="AG46" s="967"/>
      <c r="AH46" s="967"/>
    </row>
    <row r="47" spans="1:36" ht="11.25" customHeight="1" x14ac:dyDescent="0.2">
      <c r="A47" s="889" t="s">
        <v>49</v>
      </c>
      <c r="B47" s="889"/>
      <c r="C47" s="889"/>
      <c r="D47" s="889"/>
      <c r="E47" s="889"/>
      <c r="F47" s="889"/>
      <c r="G47" s="685"/>
      <c r="W47" s="35"/>
      <c r="AE47" s="967"/>
      <c r="AF47" s="967"/>
      <c r="AG47" s="967"/>
      <c r="AH47" s="967"/>
    </row>
    <row r="48" spans="1:36" x14ac:dyDescent="0.2">
      <c r="A48" s="889"/>
      <c r="B48" s="889"/>
      <c r="C48" s="889"/>
      <c r="D48" s="889"/>
      <c r="E48" s="889"/>
      <c r="F48" s="889"/>
      <c r="M48" s="17"/>
      <c r="N48" s="17"/>
      <c r="O48" s="17"/>
      <c r="P48" s="17"/>
      <c r="Q48" s="17"/>
      <c r="R48" s="17"/>
      <c r="S48" s="17" t="s">
        <v>363</v>
      </c>
      <c r="T48" s="17"/>
      <c r="U48" s="17"/>
      <c r="V48" s="17"/>
      <c r="W48" s="701"/>
      <c r="AE48" s="967"/>
      <c r="AF48" s="967"/>
      <c r="AG48" s="967"/>
      <c r="AH48" s="967"/>
    </row>
    <row r="49" spans="1:35" ht="12.75" x14ac:dyDescent="0.2">
      <c r="A49" s="889"/>
      <c r="B49" s="889"/>
      <c r="C49" s="889"/>
      <c r="D49" s="889"/>
      <c r="E49" s="889"/>
      <c r="F49" s="889"/>
      <c r="I49" s="488"/>
      <c r="J49" s="488"/>
      <c r="K49" s="488"/>
      <c r="L49" s="488"/>
      <c r="M49" s="488"/>
      <c r="N49" s="488"/>
      <c r="O49" s="488"/>
      <c r="P49" s="488"/>
      <c r="Q49" s="488"/>
      <c r="R49" s="488"/>
      <c r="S49" s="488"/>
      <c r="T49" s="488"/>
      <c r="U49" s="488"/>
      <c r="V49" s="488"/>
      <c r="W49" s="35"/>
      <c r="AE49" s="967"/>
      <c r="AF49" s="967"/>
      <c r="AG49" s="967"/>
      <c r="AH49" s="967"/>
    </row>
    <row r="50" spans="1:35" ht="12.75" x14ac:dyDescent="0.2">
      <c r="I50" s="201"/>
      <c r="J50" s="201"/>
      <c r="K50" s="201"/>
      <c r="L50" s="201"/>
      <c r="M50" s="201"/>
      <c r="N50" s="201"/>
      <c r="O50" s="201"/>
      <c r="P50" s="201"/>
      <c r="Q50" s="201"/>
      <c r="R50" s="201"/>
      <c r="S50" s="201"/>
      <c r="T50" s="201"/>
      <c r="U50" s="201"/>
      <c r="V50" s="201"/>
      <c r="AA50" s="1" t="s">
        <v>37</v>
      </c>
      <c r="AE50" s="967"/>
      <c r="AF50" s="967"/>
      <c r="AG50" s="967"/>
      <c r="AH50" s="967"/>
    </row>
    <row r="51" spans="1:35" ht="12.75" x14ac:dyDescent="0.2">
      <c r="C51" s="921" t="s">
        <v>678</v>
      </c>
      <c r="D51" s="921"/>
      <c r="E51" s="921"/>
      <c r="F51" s="921"/>
      <c r="I51" s="201"/>
      <c r="J51" s="201"/>
      <c r="K51" s="201"/>
      <c r="L51" s="201"/>
      <c r="M51" s="201"/>
      <c r="N51" s="201"/>
      <c r="O51" s="201"/>
      <c r="P51" s="201"/>
      <c r="Q51" s="201"/>
      <c r="R51" s="201"/>
      <c r="S51" s="201"/>
      <c r="T51" s="201"/>
      <c r="U51" s="201"/>
      <c r="V51" s="201"/>
      <c r="W51" s="921" t="s">
        <v>678</v>
      </c>
      <c r="X51" s="921"/>
      <c r="Y51" s="921"/>
      <c r="AE51" s="967"/>
      <c r="AF51" s="967"/>
      <c r="AG51" s="967"/>
      <c r="AH51" s="967"/>
    </row>
    <row r="52" spans="1:35" ht="12.75" x14ac:dyDescent="0.2">
      <c r="C52" s="824" t="s">
        <v>383</v>
      </c>
      <c r="D52" s="824"/>
      <c r="E52" s="824"/>
      <c r="F52" s="824"/>
      <c r="M52" s="88"/>
      <c r="W52" s="824" t="s">
        <v>383</v>
      </c>
      <c r="X52" s="824"/>
      <c r="Y52" s="824"/>
      <c r="Z52" s="35" t="s">
        <v>37</v>
      </c>
      <c r="AE52" s="967"/>
      <c r="AF52" s="967"/>
      <c r="AG52" s="967"/>
      <c r="AH52" s="967"/>
    </row>
    <row r="53" spans="1:35" ht="12.75" x14ac:dyDescent="0.2">
      <c r="M53" s="88"/>
      <c r="W53" s="824" t="s">
        <v>51</v>
      </c>
      <c r="X53" s="824"/>
      <c r="Y53" s="824"/>
      <c r="AA53" s="35" t="s">
        <v>37</v>
      </c>
      <c r="AF53" s="1059" t="s">
        <v>111</v>
      </c>
      <c r="AG53" s="1059"/>
      <c r="AH53" s="1059"/>
    </row>
    <row r="54" spans="1:35" ht="12.75" x14ac:dyDescent="0.2">
      <c r="A54" s="17" t="s">
        <v>52</v>
      </c>
      <c r="M54" s="88"/>
      <c r="AE54" s="525"/>
      <c r="AF54" s="1057" t="s">
        <v>105</v>
      </c>
      <c r="AG54" s="1057"/>
      <c r="AH54" s="1057"/>
    </row>
    <row r="55" spans="1:35" ht="12.75" x14ac:dyDescent="0.2">
      <c r="M55" s="201"/>
      <c r="AE55" s="524"/>
      <c r="AF55" s="524"/>
      <c r="AG55" s="524"/>
      <c r="AH55" s="524"/>
    </row>
    <row r="56" spans="1:35" ht="12.75" x14ac:dyDescent="0.2">
      <c r="E56" s="1" t="s">
        <v>53</v>
      </c>
      <c r="M56" s="201"/>
      <c r="AE56" s="888" t="s">
        <v>55</v>
      </c>
      <c r="AF56" s="1058"/>
      <c r="AG56" s="1058"/>
      <c r="AH56" s="1058"/>
    </row>
    <row r="57" spans="1:35" x14ac:dyDescent="0.2">
      <c r="AE57" s="1058"/>
      <c r="AF57" s="1058"/>
      <c r="AG57" s="1058"/>
      <c r="AH57" s="1058"/>
    </row>
    <row r="58" spans="1:35" ht="11.25" customHeight="1" x14ac:dyDescent="0.2">
      <c r="A58" s="17" t="s">
        <v>54</v>
      </c>
      <c r="AE58" s="1058"/>
      <c r="AF58" s="1058"/>
      <c r="AG58" s="1058"/>
      <c r="AH58" s="1058"/>
    </row>
    <row r="59" spans="1:35" x14ac:dyDescent="0.2">
      <c r="AE59" s="1058"/>
      <c r="AF59" s="1058"/>
      <c r="AG59" s="1058"/>
      <c r="AH59" s="1058"/>
    </row>
    <row r="60" spans="1:35" x14ac:dyDescent="0.2">
      <c r="C60" s="1" t="s">
        <v>56</v>
      </c>
      <c r="E60" s="1" t="s">
        <v>57</v>
      </c>
      <c r="AE60" s="1058"/>
      <c r="AF60" s="1058"/>
      <c r="AG60" s="1058"/>
      <c r="AH60" s="1058"/>
    </row>
    <row r="62" spans="1:35" ht="12.75" customHeight="1" x14ac:dyDescent="0.2">
      <c r="AE62" s="525"/>
      <c r="AF62" s="1057" t="s">
        <v>184</v>
      </c>
      <c r="AG62" s="1057"/>
      <c r="AH62" s="1057"/>
      <c r="AI62" s="19"/>
    </row>
    <row r="63" spans="1:35" ht="12.75" customHeight="1" x14ac:dyDescent="0.2">
      <c r="C63" s="1000" t="s">
        <v>58</v>
      </c>
      <c r="D63" s="1000"/>
      <c r="E63" s="1000"/>
      <c r="AF63" s="999" t="s">
        <v>185</v>
      </c>
      <c r="AG63" s="999"/>
      <c r="AH63" s="999"/>
    </row>
  </sheetData>
  <mergeCells count="62">
    <mergeCell ref="D12:E12"/>
    <mergeCell ref="AF62:AH62"/>
    <mergeCell ref="AF63:AH63"/>
    <mergeCell ref="AE56:AH60"/>
    <mergeCell ref="AE46:AH52"/>
    <mergeCell ref="AF53:AH53"/>
    <mergeCell ref="AF54:AH54"/>
    <mergeCell ref="W52:Y52"/>
    <mergeCell ref="W53:Y53"/>
    <mergeCell ref="D19:E19"/>
    <mergeCell ref="J6:J9"/>
    <mergeCell ref="I6:I9"/>
    <mergeCell ref="K6:K9"/>
    <mergeCell ref="F6:F7"/>
    <mergeCell ref="V8:V9"/>
    <mergeCell ref="P6:P9"/>
    <mergeCell ref="U7:V7"/>
    <mergeCell ref="L6:L9"/>
    <mergeCell ref="U8:U9"/>
    <mergeCell ref="Q6:Q9"/>
    <mergeCell ref="R6:R9"/>
    <mergeCell ref="AH6:AH8"/>
    <mergeCell ref="C63:E63"/>
    <mergeCell ref="Z8:Z9"/>
    <mergeCell ref="D11:E11"/>
    <mergeCell ref="D36:E36"/>
    <mergeCell ref="A47:F49"/>
    <mergeCell ref="C51:F51"/>
    <mergeCell ref="W51:Y51"/>
    <mergeCell ref="C52:F52"/>
    <mergeCell ref="S6:S9"/>
    <mergeCell ref="Y6:Z7"/>
    <mergeCell ref="N6:N9"/>
    <mergeCell ref="O6:O9"/>
    <mergeCell ref="H5:H8"/>
    <mergeCell ref="I5:S5"/>
    <mergeCell ref="AG5:AG9"/>
    <mergeCell ref="Y5:Z5"/>
    <mergeCell ref="AA5:AA9"/>
    <mergeCell ref="W5:X6"/>
    <mergeCell ref="AE6:AE9"/>
    <mergeCell ref="AD7:AD9"/>
    <mergeCell ref="Y8:Y9"/>
    <mergeCell ref="AB5:AB9"/>
    <mergeCell ref="AC5:AD6"/>
    <mergeCell ref="AC7:AC9"/>
    <mergeCell ref="AF5:AF9"/>
    <mergeCell ref="A1:AI1"/>
    <mergeCell ref="A2:AI3"/>
    <mergeCell ref="A4:A7"/>
    <mergeCell ref="B4:B9"/>
    <mergeCell ref="C4:C9"/>
    <mergeCell ref="D4:E4"/>
    <mergeCell ref="F4:F5"/>
    <mergeCell ref="G4:G7"/>
    <mergeCell ref="H4:AE4"/>
    <mergeCell ref="D5:D7"/>
    <mergeCell ref="M6:M9"/>
    <mergeCell ref="E5:E7"/>
    <mergeCell ref="AI6:AI8"/>
    <mergeCell ref="W7:W9"/>
    <mergeCell ref="X7:X9"/>
  </mergeCells>
  <phoneticPr fontId="4" type="noConversion"/>
  <pageMargins left="0.41929133899999999" right="0.196850393700787" top="0.74803149606299202" bottom="0.511811023622047" header="0.31496062992126" footer="0.31496062992126"/>
  <pageSetup paperSize="8" scale="60" orientation="landscape" r:id="rId1"/>
  <colBreaks count="1" manualBreakCount="1">
    <brk id="35" max="1048575" man="1"/>
  </col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FF7C80"/>
  </sheetPr>
  <dimension ref="A1:AK90"/>
  <sheetViews>
    <sheetView zoomScale="98" zoomScaleNormal="98" workbookViewId="0">
      <selection activeCell="C51" sqref="C51"/>
    </sheetView>
  </sheetViews>
  <sheetFormatPr defaultColWidth="9.140625" defaultRowHeight="11.25" x14ac:dyDescent="0.2"/>
  <cols>
    <col min="1" max="1" width="4.140625" style="1" customWidth="1"/>
    <col min="2" max="2" width="3" style="105" customWidth="1"/>
    <col min="3" max="3" width="28.28515625" style="17" customWidth="1"/>
    <col min="4" max="4" width="17.5703125" style="1" customWidth="1"/>
    <col min="5" max="5" width="9.7109375" style="1" customWidth="1"/>
    <col min="6" max="6" width="8.85546875" style="1" customWidth="1"/>
    <col min="7" max="7" width="13.7109375" style="176" customWidth="1"/>
    <col min="8" max="8" width="12.7109375" style="1" customWidth="1"/>
    <col min="9" max="10" width="12.7109375" style="1" hidden="1" customWidth="1"/>
    <col min="11" max="11" width="12.7109375" style="1" customWidth="1"/>
    <col min="12" max="12" width="11.5703125" style="1" customWidth="1"/>
    <col min="13" max="13" width="10.5703125" style="1" customWidth="1"/>
    <col min="14" max="14" width="10.140625" style="1" customWidth="1"/>
    <col min="15" max="15" width="10.7109375" style="1" customWidth="1"/>
    <col min="16" max="16" width="8.85546875" style="1" customWidth="1"/>
    <col min="17" max="17" width="8.28515625" style="1" hidden="1" customWidth="1"/>
    <col min="18" max="18" width="10.42578125" style="1" customWidth="1"/>
    <col min="19" max="19" width="11.85546875" style="1" customWidth="1"/>
    <col min="20" max="20" width="11.5703125" style="1" customWidth="1"/>
    <col min="21" max="21" width="10.42578125" style="1" hidden="1" customWidth="1"/>
    <col min="22" max="22" width="11.5703125" style="1" hidden="1" customWidth="1"/>
    <col min="23" max="23" width="11.5703125" style="1" customWidth="1"/>
    <col min="24" max="24" width="11.7109375" style="1" customWidth="1"/>
    <col min="25" max="25" width="12.28515625" style="1" customWidth="1"/>
    <col min="26" max="26" width="13.140625" style="1" customWidth="1"/>
    <col min="27" max="27" width="10.28515625" style="1" customWidth="1"/>
    <col min="28" max="28" width="10.7109375" style="1" customWidth="1"/>
    <col min="29" max="29" width="11.42578125" style="1" customWidth="1"/>
    <col min="30" max="30" width="12.42578125" style="1" customWidth="1"/>
    <col min="31" max="31" width="3" style="1" customWidth="1"/>
    <col min="32" max="32" width="15.7109375" style="1" customWidth="1"/>
    <col min="33" max="33" width="9" style="1" customWidth="1"/>
    <col min="34" max="16384" width="9.140625" style="1"/>
  </cols>
  <sheetData>
    <row r="1" spans="2:33" ht="26.25" x14ac:dyDescent="0.4">
      <c r="B1" s="944" t="s">
        <v>59</v>
      </c>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row>
    <row r="2" spans="2:33" x14ac:dyDescent="0.2">
      <c r="B2" s="945" t="s">
        <v>164</v>
      </c>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row>
    <row r="3" spans="2:33" ht="15.75" customHeight="1" thickBot="1" x14ac:dyDescent="0.25">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row>
    <row r="4" spans="2:33" s="4" customFormat="1" ht="24" customHeight="1" thickTop="1" x14ac:dyDescent="0.3">
      <c r="B4" s="494" t="s">
        <v>1</v>
      </c>
      <c r="C4" s="980" t="s">
        <v>2</v>
      </c>
      <c r="D4" s="948" t="s">
        <v>3</v>
      </c>
      <c r="E4" s="871" t="s">
        <v>4</v>
      </c>
      <c r="F4" s="871"/>
      <c r="G4" s="872"/>
      <c r="H4" s="866" t="s">
        <v>5</v>
      </c>
      <c r="I4" s="1069" t="s">
        <v>674</v>
      </c>
      <c r="J4" s="1069" t="s">
        <v>675</v>
      </c>
      <c r="K4" s="314"/>
      <c r="L4" s="887" t="s">
        <v>6</v>
      </c>
      <c r="M4" s="887"/>
      <c r="N4" s="887"/>
      <c r="O4" s="887"/>
      <c r="P4" s="887"/>
      <c r="Q4" s="887"/>
      <c r="R4" s="887"/>
      <c r="S4" s="887"/>
      <c r="T4" s="887"/>
      <c r="U4" s="887"/>
      <c r="V4" s="887"/>
      <c r="W4" s="887"/>
      <c r="X4" s="887"/>
      <c r="Y4" s="887"/>
      <c r="Z4" s="887"/>
      <c r="AA4" s="887"/>
      <c r="AB4" s="887"/>
      <c r="AC4" s="887"/>
      <c r="AD4" s="3"/>
      <c r="AE4" s="3"/>
      <c r="AF4" s="3"/>
      <c r="AG4" s="3"/>
    </row>
    <row r="5" spans="2:33" s="8" customFormat="1" ht="13.5" customHeight="1" x14ac:dyDescent="0.15">
      <c r="B5" s="10"/>
      <c r="C5" s="981"/>
      <c r="D5" s="949"/>
      <c r="E5" s="851" t="s">
        <v>7</v>
      </c>
      <c r="F5" s="852" t="s">
        <v>8</v>
      </c>
      <c r="G5" s="873"/>
      <c r="H5" s="874"/>
      <c r="I5" s="1070"/>
      <c r="J5" s="1070"/>
      <c r="K5" s="1072" t="s">
        <v>240</v>
      </c>
      <c r="L5" s="1073"/>
      <c r="M5" s="1073"/>
      <c r="N5" s="1073"/>
      <c r="O5" s="1073"/>
      <c r="P5" s="1073"/>
      <c r="Q5" s="1073"/>
      <c r="R5" s="1073"/>
      <c r="S5" s="1073"/>
      <c r="T5" s="1073"/>
      <c r="U5" s="956" t="s">
        <v>238</v>
      </c>
      <c r="V5" s="956"/>
      <c r="W5" s="1062" t="s">
        <v>525</v>
      </c>
      <c r="X5" s="1047" t="s">
        <v>524</v>
      </c>
      <c r="Y5" s="1019"/>
      <c r="Z5" s="1019"/>
      <c r="AA5" s="1048"/>
      <c r="AB5" s="972" t="s">
        <v>12</v>
      </c>
      <c r="AC5" s="972" t="s">
        <v>183</v>
      </c>
      <c r="AD5" s="1068" t="s">
        <v>14</v>
      </c>
      <c r="AE5" s="1064" t="s">
        <v>15</v>
      </c>
      <c r="AF5" s="7"/>
      <c r="AG5" s="7"/>
    </row>
    <row r="6" spans="2:33" s="8" customFormat="1" ht="13.5" customHeight="1" x14ac:dyDescent="0.15">
      <c r="B6" s="10"/>
      <c r="C6" s="981"/>
      <c r="D6" s="949"/>
      <c r="E6" s="867"/>
      <c r="F6" s="867"/>
      <c r="G6" s="973" t="s">
        <v>610</v>
      </c>
      <c r="H6" s="839"/>
      <c r="I6" s="1070"/>
      <c r="J6" s="1070"/>
      <c r="K6" s="1071" t="s">
        <v>664</v>
      </c>
      <c r="L6" s="1061" t="s">
        <v>441</v>
      </c>
      <c r="M6" s="957" t="s">
        <v>235</v>
      </c>
      <c r="N6" s="915" t="s">
        <v>234</v>
      </c>
      <c r="O6" s="957" t="s">
        <v>236</v>
      </c>
      <c r="P6" s="856" t="s">
        <v>237</v>
      </c>
      <c r="Q6" s="856" t="s">
        <v>31</v>
      </c>
      <c r="R6" s="856" t="s">
        <v>549</v>
      </c>
      <c r="S6" s="856" t="s">
        <v>23</v>
      </c>
      <c r="T6" s="856" t="s">
        <v>514</v>
      </c>
      <c r="U6" s="931" t="s">
        <v>232</v>
      </c>
      <c r="V6" s="937"/>
      <c r="W6" s="1011"/>
      <c r="X6" s="1049"/>
      <c r="Y6" s="1066"/>
      <c r="Z6" s="1066"/>
      <c r="AA6" s="1050"/>
      <c r="AB6" s="867"/>
      <c r="AC6" s="1067"/>
      <c r="AD6" s="1068"/>
      <c r="AE6" s="1064"/>
      <c r="AF6" s="838" t="s">
        <v>25</v>
      </c>
      <c r="AG6" s="838" t="s">
        <v>26</v>
      </c>
    </row>
    <row r="7" spans="2:33" s="8" customFormat="1" ht="13.5" customHeight="1" x14ac:dyDescent="0.15">
      <c r="B7" s="10"/>
      <c r="C7" s="981"/>
      <c r="D7" s="949"/>
      <c r="E7" s="867"/>
      <c r="F7" s="867"/>
      <c r="G7" s="974"/>
      <c r="H7" s="839"/>
      <c r="I7" s="1070"/>
      <c r="J7" s="1070"/>
      <c r="K7" s="908"/>
      <c r="L7" s="900"/>
      <c r="M7" s="949"/>
      <c r="N7" s="900"/>
      <c r="O7" s="949"/>
      <c r="P7" s="859"/>
      <c r="Q7" s="859"/>
      <c r="R7" s="859"/>
      <c r="S7" s="859"/>
      <c r="T7" s="859"/>
      <c r="U7" s="939"/>
      <c r="V7" s="1060"/>
      <c r="W7" s="1011"/>
      <c r="X7" s="957" t="s">
        <v>27</v>
      </c>
      <c r="Y7" s="957" t="s">
        <v>28</v>
      </c>
      <c r="Z7" s="957" t="s">
        <v>23</v>
      </c>
      <c r="AA7" s="957" t="s">
        <v>30</v>
      </c>
      <c r="AB7" s="867"/>
      <c r="AC7" s="1067"/>
      <c r="AD7" s="1068"/>
      <c r="AE7" s="1064"/>
      <c r="AF7" s="970"/>
      <c r="AG7" s="838"/>
    </row>
    <row r="8" spans="2:33" s="8" customFormat="1" ht="13.5" customHeight="1" x14ac:dyDescent="0.2">
      <c r="B8" s="10"/>
      <c r="C8" s="981"/>
      <c r="D8" s="950"/>
      <c r="E8" s="11"/>
      <c r="F8" s="107"/>
      <c r="G8" s="4"/>
      <c r="H8" s="495"/>
      <c r="I8" s="1070"/>
      <c r="J8" s="1070"/>
      <c r="K8" s="908"/>
      <c r="L8" s="900"/>
      <c r="M8" s="949"/>
      <c r="N8" s="900"/>
      <c r="O8" s="949"/>
      <c r="P8" s="859"/>
      <c r="Q8" s="859"/>
      <c r="R8" s="859"/>
      <c r="S8" s="859"/>
      <c r="T8" s="859"/>
      <c r="U8" s="851" t="s">
        <v>27</v>
      </c>
      <c r="V8" s="852" t="s">
        <v>33</v>
      </c>
      <c r="W8" s="1011"/>
      <c r="X8" s="949"/>
      <c r="Y8" s="949"/>
      <c r="Z8" s="949"/>
      <c r="AA8" s="949"/>
      <c r="AB8" s="867"/>
      <c r="AC8" s="1067"/>
      <c r="AD8" s="1068"/>
      <c r="AE8" s="1065"/>
      <c r="AF8" s="970"/>
      <c r="AG8" s="838"/>
    </row>
    <row r="9" spans="2:33" s="8" customFormat="1" ht="13.5" customHeight="1" x14ac:dyDescent="0.2">
      <c r="B9" s="10"/>
      <c r="C9" s="981"/>
      <c r="D9" s="950"/>
      <c r="E9" s="11"/>
      <c r="F9" s="107"/>
      <c r="G9" s="4"/>
      <c r="H9" s="495"/>
      <c r="I9" s="495"/>
      <c r="J9" s="495"/>
      <c r="K9" s="908"/>
      <c r="L9" s="900"/>
      <c r="M9" s="949"/>
      <c r="N9" s="900"/>
      <c r="O9" s="949"/>
      <c r="P9" s="859"/>
      <c r="Q9" s="859"/>
      <c r="R9" s="859"/>
      <c r="S9" s="859"/>
      <c r="T9" s="859"/>
      <c r="U9" s="838"/>
      <c r="V9" s="853"/>
      <c r="W9" s="1011"/>
      <c r="X9" s="949"/>
      <c r="Y9" s="949"/>
      <c r="Z9" s="949"/>
      <c r="AA9" s="949"/>
      <c r="AB9" s="867"/>
      <c r="AC9" s="1067"/>
      <c r="AD9" s="1068"/>
      <c r="AE9" s="1065"/>
      <c r="AF9" s="7"/>
      <c r="AG9" s="7"/>
    </row>
    <row r="10" spans="2:33" s="15" customFormat="1" ht="12" thickBot="1" x14ac:dyDescent="0.25">
      <c r="B10" s="13">
        <v>1</v>
      </c>
      <c r="C10" s="13">
        <v>2</v>
      </c>
      <c r="D10" s="13">
        <v>3</v>
      </c>
      <c r="E10" s="13">
        <v>4</v>
      </c>
      <c r="F10" s="13">
        <v>5</v>
      </c>
      <c r="G10" s="13">
        <v>6</v>
      </c>
      <c r="H10" s="13">
        <v>7</v>
      </c>
      <c r="I10" s="13"/>
      <c r="J10" s="13"/>
      <c r="K10" s="691"/>
      <c r="L10" s="13">
        <v>8</v>
      </c>
      <c r="M10" s="13">
        <v>12</v>
      </c>
      <c r="N10" s="13">
        <v>9</v>
      </c>
      <c r="O10" s="13">
        <v>13</v>
      </c>
      <c r="P10" s="13">
        <v>18</v>
      </c>
      <c r="Q10" s="13">
        <v>19</v>
      </c>
      <c r="R10" s="13"/>
      <c r="S10" s="13"/>
      <c r="T10" s="13">
        <v>19</v>
      </c>
      <c r="U10" s="14">
        <v>16</v>
      </c>
      <c r="V10" s="496">
        <v>17</v>
      </c>
      <c r="W10" s="1063"/>
      <c r="X10" s="13">
        <v>14</v>
      </c>
      <c r="Y10" s="13">
        <v>15</v>
      </c>
      <c r="Z10" s="13">
        <v>22</v>
      </c>
      <c r="AA10" s="13">
        <v>23</v>
      </c>
      <c r="AB10" s="13">
        <v>21</v>
      </c>
      <c r="AC10" s="13">
        <v>20</v>
      </c>
      <c r="AD10" s="13">
        <v>25</v>
      </c>
      <c r="AE10" s="13">
        <v>26</v>
      </c>
      <c r="AF10" s="13">
        <v>27</v>
      </c>
      <c r="AG10" s="13">
        <v>28</v>
      </c>
    </row>
    <row r="11" spans="2:33" s="15" customFormat="1" ht="18.75" customHeight="1" thickTop="1" x14ac:dyDescent="0.2">
      <c r="B11" s="497"/>
      <c r="C11" s="498" t="s">
        <v>432</v>
      </c>
      <c r="D11" s="208"/>
      <c r="E11" s="208"/>
      <c r="F11" s="208"/>
      <c r="G11" s="208"/>
      <c r="H11" s="208"/>
      <c r="I11" s="208"/>
      <c r="J11" s="208"/>
      <c r="K11" s="208"/>
      <c r="L11" s="208"/>
      <c r="M11" s="208"/>
      <c r="N11" s="208"/>
      <c r="O11" s="208"/>
      <c r="P11" s="208"/>
      <c r="Q11" s="208"/>
      <c r="R11" s="208"/>
      <c r="S11" s="208"/>
      <c r="T11" s="208"/>
      <c r="U11" s="493"/>
      <c r="V11" s="493"/>
      <c r="W11" s="493"/>
      <c r="X11" s="208"/>
      <c r="Y11" s="208"/>
      <c r="Z11" s="208"/>
      <c r="AA11" s="208"/>
      <c r="AB11" s="208"/>
      <c r="AC11" s="208"/>
      <c r="AD11" s="208"/>
      <c r="AE11" s="502"/>
      <c r="AF11" s="499"/>
      <c r="AG11" s="500"/>
    </row>
    <row r="12" spans="2:33" s="15" customFormat="1" ht="18.75" customHeight="1" x14ac:dyDescent="0.2">
      <c r="B12" s="222" t="s">
        <v>38</v>
      </c>
      <c r="C12" s="44"/>
      <c r="D12" s="210" t="s">
        <v>79</v>
      </c>
      <c r="E12" s="935" t="s">
        <v>686</v>
      </c>
      <c r="F12" s="935"/>
      <c r="G12" s="55">
        <v>121264</v>
      </c>
      <c r="H12" s="618">
        <f t="shared" ref="H12:H18" si="0">G12/2</f>
        <v>60632</v>
      </c>
      <c r="I12" s="207"/>
      <c r="J12" s="207"/>
      <c r="K12" s="207"/>
      <c r="L12" s="207"/>
      <c r="M12" s="207"/>
      <c r="N12" s="207"/>
      <c r="O12" s="207"/>
      <c r="P12" s="207"/>
      <c r="Q12" s="207"/>
      <c r="R12" s="207"/>
      <c r="S12" s="207"/>
      <c r="T12" s="207"/>
      <c r="U12" s="734"/>
      <c r="V12" s="734"/>
      <c r="W12" s="56">
        <v>18231.240000000002</v>
      </c>
      <c r="X12" s="56">
        <f t="shared" ref="X12:X18" si="1">G12*0.02</f>
        <v>2425.2800000000002</v>
      </c>
      <c r="Y12" s="55">
        <v>2425.2800000000002</v>
      </c>
      <c r="Z12" s="207"/>
      <c r="AA12" s="207"/>
      <c r="AB12" s="207"/>
      <c r="AC12" s="207"/>
      <c r="AD12" s="56">
        <f>H12-SUM(L12:X12)-SUM(Z12:AC12)</f>
        <v>39975.479999999996</v>
      </c>
      <c r="AE12" s="510" t="s">
        <v>38</v>
      </c>
      <c r="AF12" s="207"/>
      <c r="AG12" s="22"/>
    </row>
    <row r="13" spans="2:33" s="15" customFormat="1" ht="18.75" customHeight="1" x14ac:dyDescent="0.2">
      <c r="B13" s="222" t="s">
        <v>127</v>
      </c>
      <c r="C13" s="44"/>
      <c r="D13" s="209" t="s">
        <v>496</v>
      </c>
      <c r="E13" s="210" t="s">
        <v>176</v>
      </c>
      <c r="F13" s="210" t="s">
        <v>175</v>
      </c>
      <c r="G13" s="55">
        <v>40160</v>
      </c>
      <c r="H13" s="618">
        <f t="shared" si="0"/>
        <v>20080</v>
      </c>
      <c r="I13" s="207"/>
      <c r="J13" s="207"/>
      <c r="K13" s="207"/>
      <c r="L13" s="207"/>
      <c r="M13" s="207"/>
      <c r="N13" s="207"/>
      <c r="O13" s="207"/>
      <c r="P13" s="207"/>
      <c r="Q13" s="207"/>
      <c r="R13" s="207"/>
      <c r="S13" s="207"/>
      <c r="T13" s="207"/>
      <c r="U13" s="734"/>
      <c r="V13" s="734"/>
      <c r="W13" s="56">
        <v>2156.0100000000002</v>
      </c>
      <c r="X13" s="56">
        <f t="shared" si="1"/>
        <v>803.2</v>
      </c>
      <c r="Y13" s="55">
        <v>803.2</v>
      </c>
      <c r="Z13" s="207"/>
      <c r="AA13" s="207"/>
      <c r="AB13" s="207"/>
      <c r="AC13" s="207"/>
      <c r="AD13" s="56">
        <f>H13-SUM(L13:X13)-SUM(Z13:AC13)</f>
        <v>17120.79</v>
      </c>
      <c r="AE13" s="510" t="s">
        <v>127</v>
      </c>
      <c r="AF13" s="208"/>
      <c r="AG13" s="22"/>
    </row>
    <row r="14" spans="2:33" s="15" customFormat="1" ht="18.75" customHeight="1" x14ac:dyDescent="0.2">
      <c r="B14" s="222" t="s">
        <v>128</v>
      </c>
      <c r="C14" s="44"/>
      <c r="D14" s="404" t="s">
        <v>683</v>
      </c>
      <c r="E14" s="210" t="s">
        <v>176</v>
      </c>
      <c r="F14" s="210" t="s">
        <v>175</v>
      </c>
      <c r="G14" s="55">
        <v>34177</v>
      </c>
      <c r="H14" s="618">
        <f t="shared" si="0"/>
        <v>17088.5</v>
      </c>
      <c r="I14" s="207"/>
      <c r="J14" s="207"/>
      <c r="K14" s="207"/>
      <c r="L14" s="207"/>
      <c r="M14" s="207"/>
      <c r="N14" s="207"/>
      <c r="O14" s="207"/>
      <c r="P14" s="207"/>
      <c r="Q14" s="207"/>
      <c r="R14" s="207"/>
      <c r="S14" s="207"/>
      <c r="T14" s="207"/>
      <c r="U14" s="734"/>
      <c r="V14" s="734"/>
      <c r="W14" s="56">
        <v>1309.47</v>
      </c>
      <c r="X14" s="56">
        <f t="shared" si="1"/>
        <v>683.54</v>
      </c>
      <c r="Y14" s="55">
        <v>2425.2800000000002</v>
      </c>
      <c r="Z14" s="207"/>
      <c r="AA14" s="207"/>
      <c r="AB14" s="207"/>
      <c r="AC14" s="207"/>
      <c r="AD14" s="56">
        <f>H14-SUM(L14:X14)-SUM(Z14:AC14)</f>
        <v>15095.49</v>
      </c>
      <c r="AE14" s="510" t="s">
        <v>128</v>
      </c>
      <c r="AF14" s="208"/>
      <c r="AG14" s="22"/>
    </row>
    <row r="15" spans="2:33" ht="17.100000000000001" customHeight="1" x14ac:dyDescent="0.2">
      <c r="B15" s="222" t="s">
        <v>129</v>
      </c>
      <c r="C15" s="30"/>
      <c r="D15" s="209" t="s">
        <v>473</v>
      </c>
      <c r="E15" s="210" t="s">
        <v>176</v>
      </c>
      <c r="F15" s="210" t="s">
        <v>175</v>
      </c>
      <c r="G15" s="56">
        <v>21922</v>
      </c>
      <c r="H15" s="618">
        <f t="shared" si="0"/>
        <v>10961</v>
      </c>
      <c r="I15" s="618"/>
      <c r="J15" s="618"/>
      <c r="K15" s="617"/>
      <c r="L15" s="618"/>
      <c r="M15" s="56">
        <v>605.71</v>
      </c>
      <c r="N15" s="56"/>
      <c r="O15" s="56"/>
      <c r="P15" s="56"/>
      <c r="Q15" s="56"/>
      <c r="R15" s="56"/>
      <c r="S15" s="56"/>
      <c r="T15" s="56"/>
      <c r="U15" s="56"/>
      <c r="V15" s="54"/>
      <c r="W15" s="54"/>
      <c r="X15" s="56">
        <f t="shared" si="1"/>
        <v>438.44</v>
      </c>
      <c r="Y15" s="56">
        <f t="shared" ref="Y15:Y18" si="2">X15</f>
        <v>438.44</v>
      </c>
      <c r="Z15" s="56"/>
      <c r="AA15" s="56"/>
      <c r="AB15" s="56"/>
      <c r="AC15" s="56">
        <v>1741.7</v>
      </c>
      <c r="AD15" s="56">
        <f>H15-SUM(L15:X15)-SUM(Z15:AC15)</f>
        <v>8175.1500000000005</v>
      </c>
      <c r="AE15" s="510" t="s">
        <v>129</v>
      </c>
      <c r="AF15" s="503"/>
      <c r="AG15" s="504"/>
    </row>
    <row r="16" spans="2:33" ht="17.100000000000001" customHeight="1" x14ac:dyDescent="0.2">
      <c r="B16" s="222" t="s">
        <v>130</v>
      </c>
      <c r="C16" s="44"/>
      <c r="D16" s="32" t="s">
        <v>499</v>
      </c>
      <c r="E16" s="210" t="s">
        <v>176</v>
      </c>
      <c r="F16" s="210" t="s">
        <v>175</v>
      </c>
      <c r="G16" s="56">
        <f>'[1]Reg1(1-15)'!$G$14</f>
        <v>14308</v>
      </c>
      <c r="H16" s="618">
        <f t="shared" si="0"/>
        <v>7154</v>
      </c>
      <c r="I16" s="618"/>
      <c r="J16" s="618"/>
      <c r="K16" s="618">
        <f>950</f>
        <v>950</v>
      </c>
      <c r="L16" s="618"/>
      <c r="M16" s="56">
        <v>274.33</v>
      </c>
      <c r="N16" s="56"/>
      <c r="O16" s="56"/>
      <c r="P16" s="56"/>
      <c r="Q16" s="56"/>
      <c r="R16" s="56"/>
      <c r="S16" s="56"/>
      <c r="T16" s="56"/>
      <c r="U16" s="56"/>
      <c r="V16" s="54"/>
      <c r="W16" s="54"/>
      <c r="X16" s="56">
        <f t="shared" si="1"/>
        <v>286.16000000000003</v>
      </c>
      <c r="Y16" s="56">
        <f t="shared" si="2"/>
        <v>286.16000000000003</v>
      </c>
      <c r="Z16" s="56">
        <v>608.13</v>
      </c>
      <c r="AA16" s="56"/>
      <c r="AB16" s="56"/>
      <c r="AC16" s="56">
        <v>4000</v>
      </c>
      <c r="AD16" s="56">
        <f>H16-SUM(K16:X16)-SUM(Z16:AC16)</f>
        <v>1035.3800000000001</v>
      </c>
      <c r="AE16" s="510" t="s">
        <v>130</v>
      </c>
      <c r="AF16" s="503"/>
      <c r="AG16" s="504"/>
    </row>
    <row r="17" spans="2:37" ht="17.100000000000001" customHeight="1" x14ac:dyDescent="0.2">
      <c r="B17" s="222" t="s">
        <v>131</v>
      </c>
      <c r="C17" s="44"/>
      <c r="D17" s="443" t="s">
        <v>684</v>
      </c>
      <c r="E17" s="210" t="s">
        <v>176</v>
      </c>
      <c r="F17" s="210" t="s">
        <v>175</v>
      </c>
      <c r="G17" s="56">
        <v>13474</v>
      </c>
      <c r="H17" s="618">
        <f t="shared" si="0"/>
        <v>6737</v>
      </c>
      <c r="I17" s="618"/>
      <c r="J17" s="618"/>
      <c r="K17" s="618"/>
      <c r="L17" s="618"/>
      <c r="M17" s="56"/>
      <c r="N17" s="56"/>
      <c r="O17" s="56"/>
      <c r="P17" s="56"/>
      <c r="Q17" s="56"/>
      <c r="R17" s="56"/>
      <c r="S17" s="56"/>
      <c r="T17" s="56"/>
      <c r="U17" s="56"/>
      <c r="V17" s="54"/>
      <c r="W17" s="54"/>
      <c r="X17" s="56">
        <f t="shared" si="1"/>
        <v>269.48</v>
      </c>
      <c r="Y17" s="56">
        <f t="shared" si="2"/>
        <v>269.48</v>
      </c>
      <c r="Z17" s="56"/>
      <c r="AA17" s="56"/>
      <c r="AB17" s="56"/>
      <c r="AC17" s="56"/>
      <c r="AD17" s="56">
        <f>H17-SUM(K17:X17)-SUM(Z17:AC17)</f>
        <v>6467.52</v>
      </c>
      <c r="AE17" s="510" t="s">
        <v>131</v>
      </c>
      <c r="AF17" s="503"/>
      <c r="AG17" s="504"/>
    </row>
    <row r="18" spans="2:37" ht="17.100000000000001" customHeight="1" thickBot="1" x14ac:dyDescent="0.25">
      <c r="B18" s="222" t="s">
        <v>132</v>
      </c>
      <c r="C18" s="44"/>
      <c r="D18" s="443" t="s">
        <v>684</v>
      </c>
      <c r="E18" s="210" t="s">
        <v>176</v>
      </c>
      <c r="F18" s="210" t="s">
        <v>175</v>
      </c>
      <c r="G18" s="56">
        <v>13474</v>
      </c>
      <c r="H18" s="618">
        <f t="shared" si="0"/>
        <v>6737</v>
      </c>
      <c r="I18" s="618"/>
      <c r="J18" s="618"/>
      <c r="K18" s="618"/>
      <c r="L18" s="618"/>
      <c r="M18" s="56"/>
      <c r="N18" s="56"/>
      <c r="O18" s="56"/>
      <c r="P18" s="56"/>
      <c r="Q18" s="56"/>
      <c r="R18" s="56"/>
      <c r="S18" s="56"/>
      <c r="T18" s="56"/>
      <c r="U18" s="56"/>
      <c r="V18" s="54"/>
      <c r="W18" s="54"/>
      <c r="X18" s="56">
        <f t="shared" si="1"/>
        <v>269.48</v>
      </c>
      <c r="Y18" s="56">
        <f t="shared" si="2"/>
        <v>269.48</v>
      </c>
      <c r="Z18" s="56"/>
      <c r="AA18" s="56"/>
      <c r="AB18" s="56"/>
      <c r="AC18" s="56"/>
      <c r="AD18" s="56">
        <f>H18-SUM(K18:X18)-SUM(Z18:AC18)</f>
        <v>6467.52</v>
      </c>
      <c r="AE18" s="510" t="s">
        <v>132</v>
      </c>
      <c r="AF18" s="503"/>
      <c r="AG18" s="504"/>
    </row>
    <row r="19" spans="2:37" ht="17.100000000000001" customHeight="1" thickBot="1" x14ac:dyDescent="0.25">
      <c r="B19" s="222" t="s">
        <v>65</v>
      </c>
      <c r="C19" s="30"/>
      <c r="D19" s="209"/>
      <c r="E19" s="576"/>
      <c r="F19" s="43"/>
      <c r="G19" s="472">
        <f t="shared" ref="G19:AD19" si="3">SUM(G12:G18)</f>
        <v>258779</v>
      </c>
      <c r="H19" s="472">
        <f t="shared" si="3"/>
        <v>129389.5</v>
      </c>
      <c r="I19" s="472">
        <f t="shared" si="3"/>
        <v>0</v>
      </c>
      <c r="J19" s="472">
        <f t="shared" si="3"/>
        <v>0</v>
      </c>
      <c r="K19" s="472">
        <f t="shared" si="3"/>
        <v>950</v>
      </c>
      <c r="L19" s="472">
        <f t="shared" si="3"/>
        <v>0</v>
      </c>
      <c r="M19" s="472">
        <f t="shared" si="3"/>
        <v>880.04</v>
      </c>
      <c r="N19" s="472">
        <f t="shared" si="3"/>
        <v>0</v>
      </c>
      <c r="O19" s="472">
        <f t="shared" si="3"/>
        <v>0</v>
      </c>
      <c r="P19" s="472">
        <f t="shared" si="3"/>
        <v>0</v>
      </c>
      <c r="Q19" s="472">
        <f t="shared" si="3"/>
        <v>0</v>
      </c>
      <c r="R19" s="472">
        <f t="shared" si="3"/>
        <v>0</v>
      </c>
      <c r="S19" s="472">
        <f t="shared" si="3"/>
        <v>0</v>
      </c>
      <c r="T19" s="472">
        <f t="shared" si="3"/>
        <v>0</v>
      </c>
      <c r="U19" s="472">
        <f t="shared" si="3"/>
        <v>0</v>
      </c>
      <c r="V19" s="472">
        <f t="shared" si="3"/>
        <v>0</v>
      </c>
      <c r="W19" s="472">
        <f t="shared" si="3"/>
        <v>21696.720000000001</v>
      </c>
      <c r="X19" s="472">
        <f t="shared" si="3"/>
        <v>5175.58</v>
      </c>
      <c r="Y19" s="472">
        <f t="shared" si="3"/>
        <v>6917.32</v>
      </c>
      <c r="Z19" s="472">
        <f t="shared" si="3"/>
        <v>608.13</v>
      </c>
      <c r="AA19" s="472">
        <f t="shared" si="3"/>
        <v>0</v>
      </c>
      <c r="AB19" s="472">
        <f t="shared" si="3"/>
        <v>0</v>
      </c>
      <c r="AC19" s="472">
        <f t="shared" si="3"/>
        <v>5741.7</v>
      </c>
      <c r="AD19" s="472">
        <f t="shared" si="3"/>
        <v>94337.33</v>
      </c>
      <c r="AE19" s="510" t="s">
        <v>65</v>
      </c>
      <c r="AF19" s="503"/>
      <c r="AG19" s="504"/>
    </row>
    <row r="20" spans="2:37" ht="17.100000000000001" customHeight="1" thickTop="1" x14ac:dyDescent="0.2">
      <c r="B20" s="222" t="s">
        <v>134</v>
      </c>
      <c r="C20" s="194" t="s">
        <v>432</v>
      </c>
      <c r="D20" s="209"/>
      <c r="E20" s="576"/>
      <c r="F20" s="43"/>
      <c r="G20" s="61"/>
      <c r="H20" s="61"/>
      <c r="I20" s="61"/>
      <c r="J20" s="61"/>
      <c r="K20" s="61"/>
      <c r="L20" s="61"/>
      <c r="M20" s="61"/>
      <c r="N20" s="61"/>
      <c r="O20" s="61"/>
      <c r="P20" s="61"/>
      <c r="Q20" s="61"/>
      <c r="R20" s="61"/>
      <c r="S20" s="61"/>
      <c r="T20" s="61"/>
      <c r="U20" s="61"/>
      <c r="V20" s="61"/>
      <c r="W20" s="61"/>
      <c r="X20" s="61"/>
      <c r="Y20" s="61"/>
      <c r="Z20" s="61"/>
      <c r="AA20" s="61"/>
      <c r="AB20" s="61"/>
      <c r="AC20" s="61"/>
      <c r="AD20" s="491"/>
      <c r="AE20" s="510" t="s">
        <v>134</v>
      </c>
      <c r="AF20" s="503"/>
      <c r="AG20" s="504"/>
    </row>
    <row r="21" spans="2:37" ht="18.75" customHeight="1" thickBot="1" x14ac:dyDescent="0.25">
      <c r="B21" s="222" t="s">
        <v>135</v>
      </c>
      <c r="C21" s="30"/>
      <c r="D21" s="709" t="s">
        <v>665</v>
      </c>
      <c r="E21" s="935" t="s">
        <v>686</v>
      </c>
      <c r="F21" s="935"/>
      <c r="G21" s="470">
        <f>'[1]Reg1(1-15)'!$G$18</f>
        <v>34177</v>
      </c>
      <c r="H21" s="713">
        <f>G21/2</f>
        <v>17088.5</v>
      </c>
      <c r="I21" s="713"/>
      <c r="J21" s="713"/>
      <c r="K21" s="60"/>
      <c r="L21" s="60"/>
      <c r="M21" s="718">
        <v>1310.72</v>
      </c>
      <c r="N21" s="60"/>
      <c r="O21" s="60"/>
      <c r="P21" s="60"/>
      <c r="Q21" s="60"/>
      <c r="R21" s="60"/>
      <c r="S21" s="60"/>
      <c r="T21" s="60"/>
      <c r="U21" s="60"/>
      <c r="V21" s="60"/>
      <c r="W21" s="60">
        <v>1309.47</v>
      </c>
      <c r="X21" s="60">
        <f>G21*0.02</f>
        <v>683.54</v>
      </c>
      <c r="Y21" s="60">
        <f>X21</f>
        <v>683.54</v>
      </c>
      <c r="Z21" s="60"/>
      <c r="AA21" s="60"/>
      <c r="AB21" s="60"/>
      <c r="AC21" s="60">
        <v>2616.89</v>
      </c>
      <c r="AD21" s="473">
        <f>H21-SUM(K21:X21)-SUM(Z21:AC21)</f>
        <v>11167.880000000001</v>
      </c>
      <c r="AE21" s="510" t="s">
        <v>135</v>
      </c>
      <c r="AF21" s="503"/>
      <c r="AG21" s="504"/>
      <c r="AK21" s="1">
        <f>1000-156</f>
        <v>844</v>
      </c>
    </row>
    <row r="22" spans="2:37" ht="17.100000000000001" customHeight="1" thickBot="1" x14ac:dyDescent="0.25">
      <c r="B22" s="222" t="s">
        <v>136</v>
      </c>
      <c r="C22" s="30"/>
      <c r="D22" s="209"/>
      <c r="E22" s="576"/>
      <c r="F22" s="43"/>
      <c r="G22" s="64">
        <f>G21</f>
        <v>34177</v>
      </c>
      <c r="H22" s="64">
        <f>H21</f>
        <v>17088.5</v>
      </c>
      <c r="I22" s="64"/>
      <c r="J22" s="64"/>
      <c r="K22" s="64">
        <f t="shared" ref="K22:AD22" si="4">K21</f>
        <v>0</v>
      </c>
      <c r="L22" s="64">
        <f t="shared" si="4"/>
        <v>0</v>
      </c>
      <c r="M22" s="64">
        <f t="shared" si="4"/>
        <v>1310.72</v>
      </c>
      <c r="N22" s="64">
        <f t="shared" si="4"/>
        <v>0</v>
      </c>
      <c r="O22" s="64">
        <f t="shared" si="4"/>
        <v>0</v>
      </c>
      <c r="P22" s="64">
        <f t="shared" si="4"/>
        <v>0</v>
      </c>
      <c r="Q22" s="64">
        <f t="shared" si="4"/>
        <v>0</v>
      </c>
      <c r="R22" s="64">
        <f t="shared" si="4"/>
        <v>0</v>
      </c>
      <c r="S22" s="64">
        <f t="shared" si="4"/>
        <v>0</v>
      </c>
      <c r="T22" s="64">
        <f t="shared" si="4"/>
        <v>0</v>
      </c>
      <c r="U22" s="64">
        <f t="shared" si="4"/>
        <v>0</v>
      </c>
      <c r="V22" s="64">
        <f t="shared" si="4"/>
        <v>0</v>
      </c>
      <c r="W22" s="64">
        <f t="shared" si="4"/>
        <v>1309.47</v>
      </c>
      <c r="X22" s="64">
        <f t="shared" si="4"/>
        <v>683.54</v>
      </c>
      <c r="Y22" s="64">
        <f t="shared" si="4"/>
        <v>683.54</v>
      </c>
      <c r="Z22" s="64">
        <f t="shared" si="4"/>
        <v>0</v>
      </c>
      <c r="AA22" s="64">
        <f t="shared" si="4"/>
        <v>0</v>
      </c>
      <c r="AB22" s="64">
        <f t="shared" si="4"/>
        <v>0</v>
      </c>
      <c r="AC22" s="64">
        <f t="shared" si="4"/>
        <v>2616.89</v>
      </c>
      <c r="AD22" s="64">
        <f t="shared" si="4"/>
        <v>11167.880000000001</v>
      </c>
      <c r="AE22" s="510" t="s">
        <v>136</v>
      </c>
      <c r="AF22" s="503"/>
      <c r="AG22" s="504"/>
    </row>
    <row r="23" spans="2:37" ht="17.100000000000001" customHeight="1" thickTop="1" x14ac:dyDescent="0.2">
      <c r="B23" s="222" t="s">
        <v>137</v>
      </c>
      <c r="C23" s="194" t="s">
        <v>682</v>
      </c>
      <c r="D23" s="209"/>
      <c r="E23" s="576"/>
      <c r="F23" s="731"/>
      <c r="G23" s="61"/>
      <c r="H23" s="61"/>
      <c r="I23" s="61"/>
      <c r="J23" s="61"/>
      <c r="K23" s="61"/>
      <c r="L23" s="61"/>
      <c r="M23" s="61"/>
      <c r="N23" s="61"/>
      <c r="O23" s="61"/>
      <c r="P23" s="61"/>
      <c r="Q23" s="61"/>
      <c r="R23" s="61"/>
      <c r="S23" s="61"/>
      <c r="T23" s="61"/>
      <c r="U23" s="61"/>
      <c r="V23" s="61"/>
      <c r="W23" s="61"/>
      <c r="X23" s="61"/>
      <c r="Y23" s="61"/>
      <c r="Z23" s="61"/>
      <c r="AA23" s="61"/>
      <c r="AB23" s="61"/>
      <c r="AC23" s="61"/>
      <c r="AD23" s="61"/>
      <c r="AE23" s="510" t="s">
        <v>137</v>
      </c>
      <c r="AF23" s="503"/>
      <c r="AG23" s="504"/>
    </row>
    <row r="24" spans="2:37" ht="17.100000000000001" customHeight="1" thickBot="1" x14ac:dyDescent="0.25">
      <c r="B24" s="222" t="s">
        <v>138</v>
      </c>
      <c r="C24" s="30"/>
      <c r="D24" s="210" t="s">
        <v>681</v>
      </c>
      <c r="E24" s="935" t="s">
        <v>686</v>
      </c>
      <c r="F24" s="935"/>
      <c r="G24" s="470">
        <v>83457</v>
      </c>
      <c r="H24" s="713">
        <f>G24/2</f>
        <v>41728.5</v>
      </c>
      <c r="I24" s="60"/>
      <c r="J24" s="60"/>
      <c r="K24" s="60"/>
      <c r="L24" s="60"/>
      <c r="M24" s="60"/>
      <c r="N24" s="60"/>
      <c r="O24" s="60"/>
      <c r="P24" s="60"/>
      <c r="Q24" s="60"/>
      <c r="R24" s="60"/>
      <c r="S24" s="60"/>
      <c r="T24" s="60"/>
      <c r="U24" s="60"/>
      <c r="V24" s="60"/>
      <c r="W24" s="60">
        <v>11800.36</v>
      </c>
      <c r="X24" s="60">
        <f>G24*0.02</f>
        <v>1669.14</v>
      </c>
      <c r="Y24" s="60">
        <v>1669.14</v>
      </c>
      <c r="Z24" s="60"/>
      <c r="AA24" s="60"/>
      <c r="AB24" s="60"/>
      <c r="AC24" s="60"/>
      <c r="AD24" s="60">
        <f>H24-SUM(K24:X24)-SUM(Z24:AC24)</f>
        <v>28259</v>
      </c>
      <c r="AE24" s="510" t="s">
        <v>138</v>
      </c>
      <c r="AF24" s="503"/>
      <c r="AG24" s="504"/>
    </row>
    <row r="25" spans="2:37" ht="17.100000000000001" customHeight="1" x14ac:dyDescent="0.2">
      <c r="B25" s="222" t="s">
        <v>139</v>
      </c>
      <c r="C25" s="194"/>
      <c r="D25" s="209"/>
      <c r="E25" s="576"/>
      <c r="F25" s="731"/>
      <c r="G25" s="55">
        <f>G24</f>
        <v>83457</v>
      </c>
      <c r="H25" s="55">
        <f t="shared" ref="H25:AD25" si="5">H24</f>
        <v>41728.5</v>
      </c>
      <c r="I25" s="55">
        <f t="shared" si="5"/>
        <v>0</v>
      </c>
      <c r="J25" s="55">
        <f t="shared" si="5"/>
        <v>0</v>
      </c>
      <c r="K25" s="55">
        <f t="shared" si="5"/>
        <v>0</v>
      </c>
      <c r="L25" s="55">
        <f t="shared" si="5"/>
        <v>0</v>
      </c>
      <c r="M25" s="55">
        <f t="shared" si="5"/>
        <v>0</v>
      </c>
      <c r="N25" s="55">
        <f t="shared" si="5"/>
        <v>0</v>
      </c>
      <c r="O25" s="55">
        <f t="shared" si="5"/>
        <v>0</v>
      </c>
      <c r="P25" s="55">
        <f t="shared" si="5"/>
        <v>0</v>
      </c>
      <c r="Q25" s="55">
        <f t="shared" si="5"/>
        <v>0</v>
      </c>
      <c r="R25" s="55">
        <f t="shared" si="5"/>
        <v>0</v>
      </c>
      <c r="S25" s="55">
        <f t="shared" si="5"/>
        <v>0</v>
      </c>
      <c r="T25" s="55">
        <f t="shared" si="5"/>
        <v>0</v>
      </c>
      <c r="U25" s="55">
        <f t="shared" si="5"/>
        <v>0</v>
      </c>
      <c r="V25" s="55">
        <f t="shared" si="5"/>
        <v>0</v>
      </c>
      <c r="W25" s="55">
        <f t="shared" si="5"/>
        <v>11800.36</v>
      </c>
      <c r="X25" s="55">
        <f t="shared" si="5"/>
        <v>1669.14</v>
      </c>
      <c r="Y25" s="55">
        <f t="shared" si="5"/>
        <v>1669.14</v>
      </c>
      <c r="Z25" s="55">
        <f t="shared" si="5"/>
        <v>0</v>
      </c>
      <c r="AA25" s="55">
        <f t="shared" si="5"/>
        <v>0</v>
      </c>
      <c r="AB25" s="55">
        <f t="shared" si="5"/>
        <v>0</v>
      </c>
      <c r="AC25" s="55">
        <f t="shared" si="5"/>
        <v>0</v>
      </c>
      <c r="AD25" s="55">
        <f t="shared" si="5"/>
        <v>28259</v>
      </c>
      <c r="AE25" s="510" t="s">
        <v>139</v>
      </c>
      <c r="AF25" s="503"/>
      <c r="AG25" s="504"/>
    </row>
    <row r="26" spans="2:37" ht="17.100000000000001" customHeight="1" x14ac:dyDescent="0.2">
      <c r="B26" s="222" t="s">
        <v>140</v>
      </c>
      <c r="C26" s="194" t="s">
        <v>198</v>
      </c>
      <c r="D26" s="210"/>
      <c r="E26" s="576"/>
      <c r="F26" s="210"/>
      <c r="G26" s="56"/>
      <c r="H26" s="56"/>
      <c r="I26" s="56"/>
      <c r="J26" s="56"/>
      <c r="K26" s="56"/>
      <c r="L26" s="56"/>
      <c r="M26" s="56"/>
      <c r="N26" s="56"/>
      <c r="O26" s="56"/>
      <c r="P26" s="56"/>
      <c r="Q26" s="56"/>
      <c r="R26" s="56"/>
      <c r="S26" s="56"/>
      <c r="T26" s="56"/>
      <c r="U26" s="56"/>
      <c r="V26" s="56"/>
      <c r="W26" s="56"/>
      <c r="X26" s="56"/>
      <c r="Y26" s="56"/>
      <c r="Z26" s="56"/>
      <c r="AA26" s="56"/>
      <c r="AB26" s="56"/>
      <c r="AC26" s="56"/>
      <c r="AD26" s="56"/>
      <c r="AE26" s="510" t="s">
        <v>140</v>
      </c>
      <c r="AF26" s="506"/>
      <c r="AG26" s="505"/>
    </row>
    <row r="27" spans="2:37" ht="17.100000000000001" customHeight="1" x14ac:dyDescent="0.2">
      <c r="B27" s="222" t="s">
        <v>141</v>
      </c>
      <c r="C27" s="30" t="s">
        <v>63</v>
      </c>
      <c r="D27" s="23" t="s">
        <v>530</v>
      </c>
      <c r="E27" s="935" t="s">
        <v>686</v>
      </c>
      <c r="F27" s="935"/>
      <c r="G27" s="54">
        <f>'[1]Reg1(1-15)'!$G$24</f>
        <v>86091</v>
      </c>
      <c r="H27" s="618">
        <f>G27/2</f>
        <v>43045.5</v>
      </c>
      <c r="I27" s="618"/>
      <c r="J27" s="618"/>
      <c r="K27" s="54">
        <v>1166.6600000000001</v>
      </c>
      <c r="L27" s="56"/>
      <c r="M27" s="56"/>
      <c r="N27" s="56"/>
      <c r="O27" s="56">
        <v>150</v>
      </c>
      <c r="P27" s="56"/>
      <c r="Q27" s="56"/>
      <c r="R27" s="56"/>
      <c r="S27" s="56">
        <v>5705.07</v>
      </c>
      <c r="T27" s="56">
        <v>9623.94</v>
      </c>
      <c r="U27" s="55"/>
      <c r="V27" s="57"/>
      <c r="W27" s="57">
        <v>10492.18</v>
      </c>
      <c r="X27" s="55">
        <f>G27*0.02</f>
        <v>1721.82</v>
      </c>
      <c r="Y27" s="55">
        <f>X27</f>
        <v>1721.82</v>
      </c>
      <c r="Z27" s="56">
        <v>3203.95</v>
      </c>
      <c r="AA27" s="56"/>
      <c r="AB27" s="56">
        <v>2000</v>
      </c>
      <c r="AC27" s="56">
        <v>4757.99</v>
      </c>
      <c r="AD27" s="55">
        <f>H27-SUM(K27:X27)-SUM(Z27:AC27)</f>
        <v>4223.8900000000031</v>
      </c>
      <c r="AE27" s="510" t="s">
        <v>141</v>
      </c>
      <c r="AF27" s="506"/>
      <c r="AG27" s="505"/>
    </row>
    <row r="28" spans="2:37" ht="17.100000000000001" customHeight="1" x14ac:dyDescent="0.2">
      <c r="B28" s="222" t="s">
        <v>142</v>
      </c>
      <c r="C28" s="44"/>
      <c r="D28" s="209" t="s">
        <v>473</v>
      </c>
      <c r="E28" s="210" t="s">
        <v>176</v>
      </c>
      <c r="F28" s="210" t="s">
        <v>175</v>
      </c>
      <c r="G28" s="56">
        <v>21922</v>
      </c>
      <c r="H28" s="618">
        <f t="shared" ref="H28:H30" si="6">G28/2</f>
        <v>10961</v>
      </c>
      <c r="I28" s="618"/>
      <c r="J28" s="618"/>
      <c r="K28" s="56">
        <v>2333.33</v>
      </c>
      <c r="L28" s="56"/>
      <c r="M28" s="56"/>
      <c r="N28" s="56"/>
      <c r="O28" s="58">
        <v>200</v>
      </c>
      <c r="P28" s="58"/>
      <c r="Q28" s="58"/>
      <c r="R28" s="56">
        <v>983.34</v>
      </c>
      <c r="S28" s="58">
        <v>2306.21</v>
      </c>
      <c r="T28" s="58">
        <v>2887.91</v>
      </c>
      <c r="U28" s="61"/>
      <c r="V28" s="62"/>
      <c r="W28" s="62"/>
      <c r="X28" s="55">
        <f>G28*0.02</f>
        <v>438.44</v>
      </c>
      <c r="Y28" s="55">
        <f>X28</f>
        <v>438.44</v>
      </c>
      <c r="Z28" s="56"/>
      <c r="AA28" s="58"/>
      <c r="AB28" s="58"/>
      <c r="AC28" s="56"/>
      <c r="AD28" s="55">
        <f>H28-SUM(K28:X28)-SUM(Z28:AC28)</f>
        <v>1811.7699999999986</v>
      </c>
      <c r="AE28" s="510" t="s">
        <v>142</v>
      </c>
      <c r="AF28" s="506"/>
      <c r="AG28" s="505"/>
    </row>
    <row r="29" spans="2:37" ht="17.100000000000001" customHeight="1" x14ac:dyDescent="0.2">
      <c r="B29" s="222" t="s">
        <v>143</v>
      </c>
      <c r="C29" s="30"/>
      <c r="D29" s="210" t="s">
        <v>499</v>
      </c>
      <c r="E29" s="210" t="s">
        <v>176</v>
      </c>
      <c r="F29" s="210" t="s">
        <v>175</v>
      </c>
      <c r="G29" s="59">
        <v>14308</v>
      </c>
      <c r="H29" s="618">
        <f t="shared" si="6"/>
        <v>7154</v>
      </c>
      <c r="I29" s="618"/>
      <c r="J29" s="618"/>
      <c r="K29" s="54"/>
      <c r="L29" s="56"/>
      <c r="M29" s="56"/>
      <c r="N29" s="56"/>
      <c r="O29" s="56"/>
      <c r="P29" s="56"/>
      <c r="Q29" s="56"/>
      <c r="R29" s="56">
        <v>1966.67</v>
      </c>
      <c r="S29" s="56">
        <v>1535.63</v>
      </c>
      <c r="T29" s="56"/>
      <c r="U29" s="56"/>
      <c r="V29" s="54"/>
      <c r="W29" s="54"/>
      <c r="X29" s="56">
        <f>G29*0.02</f>
        <v>286.16000000000003</v>
      </c>
      <c r="Y29" s="56">
        <f>X29</f>
        <v>286.16000000000003</v>
      </c>
      <c r="Z29" s="56"/>
      <c r="AA29" s="56"/>
      <c r="AB29" s="56"/>
      <c r="AC29" s="56"/>
      <c r="AD29" s="56">
        <f>H29-SUM(K29:X29)-SUM(Z29:AC29)</f>
        <v>3365.54</v>
      </c>
      <c r="AE29" s="510" t="s">
        <v>143</v>
      </c>
      <c r="AF29" s="506"/>
      <c r="AG29" s="505"/>
      <c r="AI29" s="35"/>
    </row>
    <row r="30" spans="2:37" ht="17.100000000000001" customHeight="1" thickBot="1" x14ac:dyDescent="0.25">
      <c r="B30" s="222" t="s">
        <v>144</v>
      </c>
      <c r="C30" s="30"/>
      <c r="D30" s="210" t="s">
        <v>446</v>
      </c>
      <c r="E30" s="210" t="s">
        <v>176</v>
      </c>
      <c r="F30" s="210" t="s">
        <v>175</v>
      </c>
      <c r="G30" s="470">
        <v>13474</v>
      </c>
      <c r="H30" s="713">
        <f t="shared" si="6"/>
        <v>6737</v>
      </c>
      <c r="I30" s="713"/>
      <c r="J30" s="713"/>
      <c r="K30" s="470"/>
      <c r="L30" s="60"/>
      <c r="M30" s="60"/>
      <c r="N30" s="60"/>
      <c r="O30" s="60"/>
      <c r="P30" s="60"/>
      <c r="Q30" s="60"/>
      <c r="R30" s="60"/>
      <c r="S30" s="60"/>
      <c r="T30" s="60"/>
      <c r="U30" s="60"/>
      <c r="V30" s="470"/>
      <c r="W30" s="470"/>
      <c r="X30" s="60">
        <f>G30*0.02</f>
        <v>269.48</v>
      </c>
      <c r="Y30" s="60">
        <f>X30</f>
        <v>269.48</v>
      </c>
      <c r="Z30" s="60"/>
      <c r="AA30" s="60"/>
      <c r="AB30" s="60">
        <v>4707.5600000000004</v>
      </c>
      <c r="AC30" s="60"/>
      <c r="AD30" s="60">
        <f>H30-SUM(K30:X30)-SUM(Z30:AC30)</f>
        <v>1759.96</v>
      </c>
      <c r="AE30" s="510" t="s">
        <v>144</v>
      </c>
      <c r="AF30" s="506"/>
      <c r="AG30" s="505"/>
      <c r="AI30" s="35"/>
    </row>
    <row r="31" spans="2:37" ht="17.100000000000001" customHeight="1" thickBot="1" x14ac:dyDescent="0.25">
      <c r="B31" s="222" t="s">
        <v>145</v>
      </c>
      <c r="C31" s="30"/>
      <c r="D31" s="210"/>
      <c r="E31" s="210"/>
      <c r="F31" s="210"/>
      <c r="G31" s="64">
        <f>SUM(G27:G30)</f>
        <v>135795</v>
      </c>
      <c r="H31" s="64">
        <f>SUM(H27:H30)</f>
        <v>67897.5</v>
      </c>
      <c r="I31" s="64">
        <f t="shared" ref="I31:AD31" si="7">SUM(I27:I30)</f>
        <v>0</v>
      </c>
      <c r="J31" s="64">
        <f t="shared" si="7"/>
        <v>0</v>
      </c>
      <c r="K31" s="64">
        <f>SUM(K27:K30)</f>
        <v>3499.99</v>
      </c>
      <c r="L31" s="64">
        <f t="shared" si="7"/>
        <v>0</v>
      </c>
      <c r="M31" s="64">
        <f t="shared" si="7"/>
        <v>0</v>
      </c>
      <c r="N31" s="64">
        <f t="shared" si="7"/>
        <v>0</v>
      </c>
      <c r="O31" s="64">
        <f t="shared" si="7"/>
        <v>350</v>
      </c>
      <c r="P31" s="64">
        <f>SUM(P27:P30)</f>
        <v>0</v>
      </c>
      <c r="Q31" s="64">
        <f t="shared" si="7"/>
        <v>0</v>
      </c>
      <c r="R31" s="64">
        <f t="shared" si="7"/>
        <v>2950.01</v>
      </c>
      <c r="S31" s="64">
        <f>SUM(S27:S30)</f>
        <v>9546.91</v>
      </c>
      <c r="T31" s="64">
        <f t="shared" si="7"/>
        <v>12511.85</v>
      </c>
      <c r="U31" s="64">
        <f t="shared" si="7"/>
        <v>0</v>
      </c>
      <c r="V31" s="64">
        <f t="shared" si="7"/>
        <v>0</v>
      </c>
      <c r="W31" s="64">
        <f t="shared" si="7"/>
        <v>10492.18</v>
      </c>
      <c r="X31" s="64">
        <f t="shared" si="7"/>
        <v>2715.8999999999996</v>
      </c>
      <c r="Y31" s="64">
        <f t="shared" si="7"/>
        <v>2715.8999999999996</v>
      </c>
      <c r="Z31" s="64">
        <f t="shared" si="7"/>
        <v>3203.95</v>
      </c>
      <c r="AA31" s="64">
        <f t="shared" si="7"/>
        <v>0</v>
      </c>
      <c r="AB31" s="64">
        <f t="shared" si="7"/>
        <v>6707.56</v>
      </c>
      <c r="AC31" s="64">
        <f t="shared" si="7"/>
        <v>4757.99</v>
      </c>
      <c r="AD31" s="64">
        <f t="shared" si="7"/>
        <v>11161.16</v>
      </c>
      <c r="AE31" s="510" t="s">
        <v>145</v>
      </c>
      <c r="AF31" s="204"/>
      <c r="AG31" s="505"/>
    </row>
    <row r="32" spans="2:37" ht="17.100000000000001" customHeight="1" thickTop="1" x14ac:dyDescent="0.2">
      <c r="B32" s="222" t="s">
        <v>146</v>
      </c>
      <c r="C32" s="194" t="s">
        <v>478</v>
      </c>
      <c r="D32" s="210"/>
      <c r="E32" s="210"/>
      <c r="F32" s="210"/>
      <c r="G32" s="55" t="s">
        <v>37</v>
      </c>
      <c r="H32" s="55"/>
      <c r="I32" s="61"/>
      <c r="J32" s="61"/>
      <c r="K32" s="61"/>
      <c r="L32" s="61"/>
      <c r="M32" s="61"/>
      <c r="N32" s="61"/>
      <c r="O32" s="61"/>
      <c r="P32" s="61"/>
      <c r="Q32" s="61"/>
      <c r="R32" s="61"/>
      <c r="S32" s="61"/>
      <c r="T32" s="61"/>
      <c r="U32" s="61"/>
      <c r="V32" s="61"/>
      <c r="W32" s="491"/>
      <c r="X32" s="491"/>
      <c r="Y32" s="491"/>
      <c r="Z32" s="61"/>
      <c r="AA32" s="61"/>
      <c r="AB32" s="61"/>
      <c r="AC32" s="61"/>
      <c r="AD32" s="491"/>
      <c r="AE32" s="510" t="s">
        <v>146</v>
      </c>
      <c r="AF32" s="506"/>
      <c r="AG32" s="505"/>
    </row>
    <row r="33" spans="1:33" ht="17.100000000000001" customHeight="1" x14ac:dyDescent="0.2">
      <c r="B33" s="222" t="s">
        <v>147</v>
      </c>
      <c r="C33" s="30"/>
      <c r="D33" s="30" t="s">
        <v>642</v>
      </c>
      <c r="E33" s="935" t="s">
        <v>686</v>
      </c>
      <c r="F33" s="935"/>
      <c r="G33" s="54">
        <f>'[1]Reg1(1-15)'!$G$30</f>
        <v>43608</v>
      </c>
      <c r="H33" s="618">
        <f t="shared" ref="H33:H36" si="8">G33/2</f>
        <v>21804</v>
      </c>
      <c r="I33" s="618"/>
      <c r="J33" s="618"/>
      <c r="K33" s="54">
        <v>1166.6600000000001</v>
      </c>
      <c r="L33" s="56"/>
      <c r="M33" s="56">
        <v>655.56</v>
      </c>
      <c r="N33" s="56"/>
      <c r="O33" s="56"/>
      <c r="P33" s="56"/>
      <c r="Q33" s="56"/>
      <c r="R33" s="56">
        <v>1966.67</v>
      </c>
      <c r="S33" s="56">
        <v>2454.66</v>
      </c>
      <c r="T33" s="56"/>
      <c r="U33" s="56"/>
      <c r="V33" s="54"/>
      <c r="W33" s="57">
        <v>2752.52</v>
      </c>
      <c r="X33" s="55">
        <f>G33*0.02</f>
        <v>872.16</v>
      </c>
      <c r="Y33" s="55">
        <f>X33</f>
        <v>872.16</v>
      </c>
      <c r="Z33" s="56">
        <v>2430.52</v>
      </c>
      <c r="AA33" s="56"/>
      <c r="AB33" s="56"/>
      <c r="AC33" s="56">
        <v>4173.95</v>
      </c>
      <c r="AD33" s="55">
        <f>H33-SUM(K33:X33)-SUM(Z33:AC33)+I33+J33</f>
        <v>5331.3000000000011</v>
      </c>
      <c r="AE33" s="510" t="s">
        <v>147</v>
      </c>
      <c r="AF33" s="506"/>
      <c r="AG33" s="505"/>
    </row>
    <row r="34" spans="1:33" ht="17.100000000000001" customHeight="1" x14ac:dyDescent="0.2">
      <c r="B34" s="222" t="s">
        <v>148</v>
      </c>
      <c r="C34" s="30"/>
      <c r="D34" s="244" t="s">
        <v>658</v>
      </c>
      <c r="E34" s="210" t="s">
        <v>208</v>
      </c>
      <c r="F34" s="210" t="s">
        <v>175</v>
      </c>
      <c r="G34" s="59">
        <f>'[1]Reg1(1-15)'!$G$31</f>
        <v>25520</v>
      </c>
      <c r="H34" s="618">
        <f t="shared" si="8"/>
        <v>12760</v>
      </c>
      <c r="I34" s="725"/>
      <c r="J34" s="725"/>
      <c r="K34" s="59"/>
      <c r="L34" s="58"/>
      <c r="M34" s="56">
        <v>655.56</v>
      </c>
      <c r="N34" s="58"/>
      <c r="O34" s="58"/>
      <c r="P34" s="58"/>
      <c r="Q34" s="58"/>
      <c r="R34" s="58"/>
      <c r="S34" s="58"/>
      <c r="T34" s="58"/>
      <c r="U34" s="58"/>
      <c r="V34" s="59"/>
      <c r="W34" s="54">
        <v>186.22</v>
      </c>
      <c r="X34" s="56">
        <f>G34*0.02</f>
        <v>510.40000000000003</v>
      </c>
      <c r="Y34" s="56">
        <f>X34</f>
        <v>510.40000000000003</v>
      </c>
      <c r="Z34" s="58"/>
      <c r="AA34" s="58"/>
      <c r="AB34" s="58"/>
      <c r="AC34" s="56"/>
      <c r="AD34" s="55">
        <f>H34-SUM(K34:X34)-SUM(Z34:AC34)</f>
        <v>11407.82</v>
      </c>
      <c r="AE34" s="510" t="s">
        <v>148</v>
      </c>
      <c r="AF34" s="506"/>
      <c r="AG34" s="505"/>
    </row>
    <row r="35" spans="1:33" ht="17.100000000000001" customHeight="1" x14ac:dyDescent="0.2">
      <c r="B35" s="222" t="s">
        <v>149</v>
      </c>
      <c r="C35" s="30"/>
      <c r="D35" s="209" t="s">
        <v>473</v>
      </c>
      <c r="E35" s="210" t="s">
        <v>208</v>
      </c>
      <c r="F35" s="210" t="s">
        <v>175</v>
      </c>
      <c r="G35" s="59">
        <v>21748</v>
      </c>
      <c r="H35" s="618">
        <f t="shared" si="8"/>
        <v>10874</v>
      </c>
      <c r="I35" s="725"/>
      <c r="J35" s="725"/>
      <c r="K35" s="59"/>
      <c r="L35" s="58"/>
      <c r="M35" s="58"/>
      <c r="N35" s="58"/>
      <c r="O35" s="58"/>
      <c r="P35" s="58"/>
      <c r="Q35" s="58"/>
      <c r="R35" s="58"/>
      <c r="S35" s="58"/>
      <c r="T35" s="58"/>
      <c r="U35" s="58"/>
      <c r="V35" s="59"/>
      <c r="W35" s="54"/>
      <c r="X35" s="56">
        <f>G35*0.02</f>
        <v>434.96000000000004</v>
      </c>
      <c r="Y35" s="56">
        <f>X35</f>
        <v>434.96000000000004</v>
      </c>
      <c r="Z35" s="58"/>
      <c r="AA35" s="58"/>
      <c r="AB35" s="58">
        <v>3313.51</v>
      </c>
      <c r="AC35" s="56">
        <v>2973.74</v>
      </c>
      <c r="AD35" s="55">
        <f>H35-SUM(K35:X35)-SUM(Z35:AC35)</f>
        <v>4151.7900000000009</v>
      </c>
      <c r="AE35" s="510" t="s">
        <v>149</v>
      </c>
      <c r="AF35" s="506"/>
      <c r="AG35" s="505"/>
    </row>
    <row r="36" spans="1:33" ht="17.100000000000001" customHeight="1" thickBot="1" x14ac:dyDescent="0.25">
      <c r="B36" s="222" t="s">
        <v>150</v>
      </c>
      <c r="C36" s="30"/>
      <c r="D36" s="209" t="s">
        <v>499</v>
      </c>
      <c r="E36" s="210" t="s">
        <v>208</v>
      </c>
      <c r="F36" s="210" t="s">
        <v>175</v>
      </c>
      <c r="G36" s="470">
        <v>14308</v>
      </c>
      <c r="H36" s="618">
        <f t="shared" si="8"/>
        <v>7154</v>
      </c>
      <c r="I36" s="725"/>
      <c r="J36" s="725"/>
      <c r="K36" s="470"/>
      <c r="L36" s="60"/>
      <c r="M36" s="60"/>
      <c r="N36" s="60"/>
      <c r="O36" s="60"/>
      <c r="P36" s="60"/>
      <c r="Q36" s="60"/>
      <c r="R36" s="60"/>
      <c r="S36" s="60"/>
      <c r="T36" s="60"/>
      <c r="U36" s="60"/>
      <c r="V36" s="470"/>
      <c r="W36" s="470"/>
      <c r="X36" s="60">
        <f>G36*0.02</f>
        <v>286.16000000000003</v>
      </c>
      <c r="Y36" s="60">
        <f>X36</f>
        <v>286.16000000000003</v>
      </c>
      <c r="Z36" s="60"/>
      <c r="AA36" s="60"/>
      <c r="AB36" s="60"/>
      <c r="AC36" s="60">
        <v>1660.72</v>
      </c>
      <c r="AD36" s="55">
        <f>H36-SUM(K36:X36)-SUM(Z36:AC36)</f>
        <v>5207.12</v>
      </c>
      <c r="AE36" s="510" t="s">
        <v>150</v>
      </c>
      <c r="AF36" s="508"/>
      <c r="AG36" s="505"/>
    </row>
    <row r="37" spans="1:33" ht="17.100000000000001" customHeight="1" thickBot="1" x14ac:dyDescent="0.25">
      <c r="B37" s="222" t="s">
        <v>151</v>
      </c>
      <c r="C37" s="30"/>
      <c r="D37" s="43"/>
      <c r="E37" s="210"/>
      <c r="F37" s="210"/>
      <c r="G37" s="472">
        <f>SUM(G33:G36)</f>
        <v>105184</v>
      </c>
      <c r="H37" s="472">
        <f t="shared" ref="H37:AC37" si="9">SUM(H33:H36)</f>
        <v>52592</v>
      </c>
      <c r="I37" s="472">
        <f t="shared" si="9"/>
        <v>0</v>
      </c>
      <c r="J37" s="472">
        <f t="shared" si="9"/>
        <v>0</v>
      </c>
      <c r="K37" s="472">
        <f>SUM(K33:K36)</f>
        <v>1166.6600000000001</v>
      </c>
      <c r="L37" s="472">
        <f t="shared" si="9"/>
        <v>0</v>
      </c>
      <c r="M37" s="472">
        <f t="shared" si="9"/>
        <v>1311.12</v>
      </c>
      <c r="N37" s="472">
        <f>SUM(N33:N36)</f>
        <v>0</v>
      </c>
      <c r="O37" s="472">
        <f>SUM(O33:O36)</f>
        <v>0</v>
      </c>
      <c r="P37" s="472">
        <f>SUM(P33:P36)</f>
        <v>0</v>
      </c>
      <c r="Q37" s="472">
        <f t="shared" ref="Q37:R37" si="10">SUM(Q33:Q36)</f>
        <v>0</v>
      </c>
      <c r="R37" s="472">
        <f t="shared" si="10"/>
        <v>1966.67</v>
      </c>
      <c r="S37" s="472">
        <f t="shared" si="9"/>
        <v>2454.66</v>
      </c>
      <c r="T37" s="472">
        <f t="shared" si="9"/>
        <v>0</v>
      </c>
      <c r="U37" s="472">
        <f t="shared" si="9"/>
        <v>0</v>
      </c>
      <c r="V37" s="472">
        <f t="shared" si="9"/>
        <v>0</v>
      </c>
      <c r="W37" s="472">
        <f t="shared" si="9"/>
        <v>2938.74</v>
      </c>
      <c r="X37" s="472">
        <f t="shared" si="9"/>
        <v>2103.6799999999998</v>
      </c>
      <c r="Y37" s="472">
        <f t="shared" si="9"/>
        <v>2103.6799999999998</v>
      </c>
      <c r="Z37" s="472">
        <f t="shared" si="9"/>
        <v>2430.52</v>
      </c>
      <c r="AA37" s="472">
        <f t="shared" si="9"/>
        <v>0</v>
      </c>
      <c r="AB37" s="472">
        <f t="shared" si="9"/>
        <v>3313.51</v>
      </c>
      <c r="AC37" s="472">
        <f t="shared" si="9"/>
        <v>8808.41</v>
      </c>
      <c r="AD37" s="472">
        <f>SUM(AD33:AD36)</f>
        <v>26098.030000000002</v>
      </c>
      <c r="AE37" s="510" t="s">
        <v>151</v>
      </c>
      <c r="AF37" s="204"/>
      <c r="AG37" s="505"/>
    </row>
    <row r="38" spans="1:33" ht="17.100000000000001" customHeight="1" thickTop="1" x14ac:dyDescent="0.2">
      <c r="A38"/>
      <c r="B38" s="222" t="s">
        <v>152</v>
      </c>
      <c r="C38" s="631" t="s">
        <v>66</v>
      </c>
      <c r="D38" s="510"/>
      <c r="E38" s="194"/>
      <c r="F38" s="210"/>
      <c r="G38" s="443"/>
      <c r="H38" s="443"/>
      <c r="I38" s="443"/>
      <c r="J38" s="443"/>
      <c r="K38" s="443"/>
      <c r="L38" s="55"/>
      <c r="M38" s="55"/>
      <c r="N38" s="55"/>
      <c r="O38" s="55"/>
      <c r="P38" s="55"/>
      <c r="Q38" s="55"/>
      <c r="R38" s="55"/>
      <c r="S38" s="55"/>
      <c r="T38" s="55"/>
      <c r="U38" s="55"/>
      <c r="V38" s="55"/>
      <c r="W38" s="55"/>
      <c r="X38" s="55"/>
      <c r="Y38" s="55"/>
      <c r="Z38" s="55"/>
      <c r="AA38" s="55"/>
      <c r="AB38" s="55"/>
      <c r="AC38" s="55"/>
      <c r="AD38" s="55" t="s">
        <v>37</v>
      </c>
      <c r="AE38" s="510" t="s">
        <v>152</v>
      </c>
      <c r="AF38" s="25"/>
      <c r="AG38" s="505"/>
    </row>
    <row r="39" spans="1:33" ht="17.100000000000001" customHeight="1" x14ac:dyDescent="0.2">
      <c r="B39" s="222" t="s">
        <v>153</v>
      </c>
      <c r="C39" s="44"/>
      <c r="D39" s="210" t="s">
        <v>547</v>
      </c>
      <c r="E39" s="935" t="s">
        <v>686</v>
      </c>
      <c r="F39" s="935"/>
      <c r="G39" s="54">
        <f>'[1]Reg1(1-15)'!$G$36</f>
        <v>21922</v>
      </c>
      <c r="H39" s="618">
        <f t="shared" ref="H39:H40" si="11">G39/2</f>
        <v>10961</v>
      </c>
      <c r="I39" s="618"/>
      <c r="J39" s="618"/>
      <c r="K39" s="54">
        <v>1166.67</v>
      </c>
      <c r="L39" s="613"/>
      <c r="M39" s="56"/>
      <c r="N39" s="56"/>
      <c r="O39" s="56"/>
      <c r="P39" s="56"/>
      <c r="Q39" s="56"/>
      <c r="R39" s="56">
        <f>1500</f>
        <v>1500</v>
      </c>
      <c r="S39" s="56">
        <v>3397.28</v>
      </c>
      <c r="T39" s="56"/>
      <c r="U39" s="56"/>
      <c r="V39" s="54"/>
      <c r="W39" s="54"/>
      <c r="X39" s="56">
        <f>G39*0.02</f>
        <v>438.44</v>
      </c>
      <c r="Y39" s="56">
        <f>X39</f>
        <v>438.44</v>
      </c>
      <c r="Z39" s="56">
        <v>2994.82</v>
      </c>
      <c r="AA39" s="56"/>
      <c r="AB39" s="56"/>
      <c r="AC39" s="56"/>
      <c r="AD39" s="55">
        <f>H39-SUM(K39:X39)-SUM(Z39:AC39)</f>
        <v>1463.7899999999995</v>
      </c>
      <c r="AE39" s="510" t="s">
        <v>153</v>
      </c>
      <c r="AF39" s="508"/>
      <c r="AG39" s="505"/>
    </row>
    <row r="40" spans="1:33" ht="17.100000000000001" customHeight="1" thickBot="1" x14ac:dyDescent="0.25">
      <c r="B40" s="222" t="s">
        <v>154</v>
      </c>
      <c r="C40" s="30"/>
      <c r="D40" s="210" t="s">
        <v>42</v>
      </c>
      <c r="E40" s="210" t="s">
        <v>207</v>
      </c>
      <c r="F40" s="404" t="s">
        <v>175</v>
      </c>
      <c r="G40" s="486">
        <f>'[1]Reg1(1-15)'!$G$37</f>
        <v>18563</v>
      </c>
      <c r="H40" s="713">
        <f t="shared" si="11"/>
        <v>9281.5</v>
      </c>
      <c r="I40" s="726"/>
      <c r="J40" s="726"/>
      <c r="K40" s="486"/>
      <c r="L40" s="473"/>
      <c r="M40" s="473"/>
      <c r="N40" s="473"/>
      <c r="O40" s="473"/>
      <c r="P40" s="473"/>
      <c r="Q40" s="473"/>
      <c r="R40" s="473"/>
      <c r="S40" s="473"/>
      <c r="T40" s="473"/>
      <c r="U40" s="473"/>
      <c r="V40" s="486"/>
      <c r="W40" s="486"/>
      <c r="X40" s="473">
        <f>G40*0.02</f>
        <v>371.26</v>
      </c>
      <c r="Y40" s="473">
        <f>X40</f>
        <v>371.26</v>
      </c>
      <c r="Z40" s="473"/>
      <c r="AA40" s="473"/>
      <c r="AB40" s="473"/>
      <c r="AC40" s="473"/>
      <c r="AD40" s="60">
        <f>H40-SUM(L40:X40)-SUM(Z40:AC40)</f>
        <v>8910.24</v>
      </c>
      <c r="AE40" s="510" t="s">
        <v>154</v>
      </c>
      <c r="AF40" s="508"/>
      <c r="AG40" s="505"/>
    </row>
    <row r="41" spans="1:33" ht="17.100000000000001" customHeight="1" thickBot="1" x14ac:dyDescent="0.25">
      <c r="B41" s="222" t="s">
        <v>155</v>
      </c>
      <c r="C41" s="30"/>
      <c r="D41" s="210"/>
      <c r="E41" s="32"/>
      <c r="F41" s="32"/>
      <c r="G41" s="64">
        <f>SUM(G39:G40)</f>
        <v>40485</v>
      </c>
      <c r="H41" s="64">
        <f>SUM(H39:H40)</f>
        <v>20242.5</v>
      </c>
      <c r="I41" s="64">
        <f t="shared" ref="I41:AD41" si="12">SUM(I39:I40)</f>
        <v>0</v>
      </c>
      <c r="J41" s="64">
        <f t="shared" si="12"/>
        <v>0</v>
      </c>
      <c r="K41" s="64">
        <f t="shared" si="12"/>
        <v>1166.67</v>
      </c>
      <c r="L41" s="64">
        <f t="shared" si="12"/>
        <v>0</v>
      </c>
      <c r="M41" s="64">
        <f t="shared" si="12"/>
        <v>0</v>
      </c>
      <c r="N41" s="64">
        <f t="shared" si="12"/>
        <v>0</v>
      </c>
      <c r="O41" s="64">
        <f t="shared" si="12"/>
        <v>0</v>
      </c>
      <c r="P41" s="64">
        <f t="shared" si="12"/>
        <v>0</v>
      </c>
      <c r="Q41" s="64">
        <f t="shared" si="12"/>
        <v>0</v>
      </c>
      <c r="R41" s="64">
        <f t="shared" si="12"/>
        <v>1500</v>
      </c>
      <c r="S41" s="64">
        <f t="shared" si="12"/>
        <v>3397.28</v>
      </c>
      <c r="T41" s="64">
        <f t="shared" si="12"/>
        <v>0</v>
      </c>
      <c r="U41" s="64">
        <f t="shared" si="12"/>
        <v>0</v>
      </c>
      <c r="V41" s="64">
        <f t="shared" si="12"/>
        <v>0</v>
      </c>
      <c r="W41" s="64">
        <f t="shared" si="12"/>
        <v>0</v>
      </c>
      <c r="X41" s="64">
        <f t="shared" si="12"/>
        <v>809.7</v>
      </c>
      <c r="Y41" s="64">
        <f t="shared" si="12"/>
        <v>809.7</v>
      </c>
      <c r="Z41" s="64">
        <f t="shared" si="12"/>
        <v>2994.82</v>
      </c>
      <c r="AA41" s="64">
        <f t="shared" si="12"/>
        <v>0</v>
      </c>
      <c r="AB41" s="64">
        <f t="shared" si="12"/>
        <v>0</v>
      </c>
      <c r="AC41" s="64">
        <f t="shared" si="12"/>
        <v>0</v>
      </c>
      <c r="AD41" s="64">
        <f t="shared" si="12"/>
        <v>10374.029999999999</v>
      </c>
      <c r="AE41" s="510" t="s">
        <v>155</v>
      </c>
      <c r="AF41" s="204"/>
      <c r="AG41" s="505"/>
    </row>
    <row r="42" spans="1:33" ht="17.100000000000001" customHeight="1" thickTop="1" x14ac:dyDescent="0.2">
      <c r="B42" s="222" t="s">
        <v>156</v>
      </c>
      <c r="C42" s="194" t="s">
        <v>500</v>
      </c>
      <c r="D42" s="404"/>
      <c r="E42" s="511"/>
      <c r="F42" s="429"/>
      <c r="G42" s="61"/>
      <c r="H42" s="61"/>
      <c r="I42" s="61"/>
      <c r="J42" s="61"/>
      <c r="K42" s="61"/>
      <c r="L42" s="61"/>
      <c r="M42" s="61"/>
      <c r="N42" s="61"/>
      <c r="O42" s="61"/>
      <c r="P42" s="61"/>
      <c r="Q42" s="61"/>
      <c r="R42" s="61"/>
      <c r="S42" s="61"/>
      <c r="T42" s="61"/>
      <c r="U42" s="61"/>
      <c r="V42" s="61"/>
      <c r="W42" s="620"/>
      <c r="X42" s="620"/>
      <c r="Y42" s="620"/>
      <c r="Z42" s="61"/>
      <c r="AA42" s="61"/>
      <c r="AB42" s="61"/>
      <c r="AC42" s="61"/>
      <c r="AD42" s="620"/>
      <c r="AE42" s="510" t="s">
        <v>156</v>
      </c>
      <c r="AF42" s="506"/>
      <c r="AG42" s="505"/>
    </row>
    <row r="43" spans="1:33" ht="17.100000000000001" customHeight="1" x14ac:dyDescent="0.2">
      <c r="B43" s="222" t="s">
        <v>157</v>
      </c>
      <c r="C43" s="30"/>
      <c r="D43" s="404" t="s">
        <v>182</v>
      </c>
      <c r="E43" s="935" t="s">
        <v>686</v>
      </c>
      <c r="F43" s="935"/>
      <c r="G43" s="56">
        <f>'[1]Reg1(1-15)'!$G$40</f>
        <v>21748</v>
      </c>
      <c r="H43" s="618">
        <f t="shared" ref="H43:H48" si="13">G43/2</f>
        <v>10874</v>
      </c>
      <c r="I43" s="618"/>
      <c r="J43" s="618"/>
      <c r="K43" s="56"/>
      <c r="L43" s="56"/>
      <c r="M43" s="56">
        <v>400</v>
      </c>
      <c r="N43" s="56"/>
      <c r="O43" s="56"/>
      <c r="P43" s="56"/>
      <c r="Q43" s="56"/>
      <c r="R43" s="56"/>
      <c r="S43" s="56"/>
      <c r="T43" s="56"/>
      <c r="U43" s="56"/>
      <c r="V43" s="56"/>
      <c r="W43" s="56"/>
      <c r="X43" s="56">
        <f t="shared" ref="X43:X48" si="14">G43*0.02</f>
        <v>434.96000000000004</v>
      </c>
      <c r="Y43" s="56">
        <f t="shared" ref="Y43:Y44" si="15">X43</f>
        <v>434.96000000000004</v>
      </c>
      <c r="Z43" s="56"/>
      <c r="AA43" s="56"/>
      <c r="AB43" s="56"/>
      <c r="AC43" s="56"/>
      <c r="AD43" s="56">
        <f>H43-SUM(L43:X43)-SUM(Z43:AC43)</f>
        <v>10039.040000000001</v>
      </c>
      <c r="AE43" s="510" t="s">
        <v>157</v>
      </c>
      <c r="AF43" s="506"/>
      <c r="AG43" s="505"/>
    </row>
    <row r="44" spans="1:33" ht="17.100000000000001" customHeight="1" x14ac:dyDescent="0.2">
      <c r="B44" s="222" t="s">
        <v>97</v>
      </c>
      <c r="C44" s="30"/>
      <c r="D44" s="404" t="s">
        <v>547</v>
      </c>
      <c r="E44" s="210" t="s">
        <v>176</v>
      </c>
      <c r="F44" s="210" t="s">
        <v>175</v>
      </c>
      <c r="G44" s="56">
        <f>'[1]Reg1(1-15)'!$G$41</f>
        <v>21748</v>
      </c>
      <c r="H44" s="618">
        <f t="shared" si="13"/>
        <v>10874</v>
      </c>
      <c r="I44" s="618"/>
      <c r="J44" s="618"/>
      <c r="K44" s="56"/>
      <c r="L44" s="56"/>
      <c r="M44" s="56">
        <v>655.56</v>
      </c>
      <c r="N44" s="56"/>
      <c r="O44" s="56"/>
      <c r="P44" s="56"/>
      <c r="Q44" s="56"/>
      <c r="R44" s="56"/>
      <c r="S44" s="56"/>
      <c r="T44" s="56"/>
      <c r="U44" s="56"/>
      <c r="V44" s="56"/>
      <c r="W44" s="56"/>
      <c r="X44" s="56">
        <f t="shared" si="14"/>
        <v>434.96000000000004</v>
      </c>
      <c r="Y44" s="56">
        <f t="shared" si="15"/>
        <v>434.96000000000004</v>
      </c>
      <c r="Z44" s="56"/>
      <c r="AA44" s="56"/>
      <c r="AB44" s="56"/>
      <c r="AC44" s="56">
        <v>2521.7399999999998</v>
      </c>
      <c r="AD44" s="56">
        <f>H44-SUM(L44:X44)-SUM(Z44:AC44)</f>
        <v>7261.74</v>
      </c>
      <c r="AE44" s="510" t="s">
        <v>97</v>
      </c>
      <c r="AF44" s="506"/>
      <c r="AG44" s="505"/>
    </row>
    <row r="45" spans="1:33" ht="17.100000000000001" customHeight="1" x14ac:dyDescent="0.2">
      <c r="B45" s="222" t="s">
        <v>99</v>
      </c>
      <c r="C45" s="30"/>
      <c r="D45" s="210" t="s">
        <v>83</v>
      </c>
      <c r="E45" s="210" t="s">
        <v>176</v>
      </c>
      <c r="F45" s="210" t="s">
        <v>175</v>
      </c>
      <c r="G45" s="54">
        <f>'[1]Reg1(1-15)'!$G$42</f>
        <v>14189</v>
      </c>
      <c r="H45" s="618">
        <f t="shared" si="13"/>
        <v>7094.5</v>
      </c>
      <c r="I45" s="618"/>
      <c r="J45" s="618"/>
      <c r="K45" s="54"/>
      <c r="L45" s="56"/>
      <c r="M45" s="56"/>
      <c r="N45" s="56"/>
      <c r="O45" s="56"/>
      <c r="P45" s="56"/>
      <c r="Q45" s="56"/>
      <c r="R45" s="56"/>
      <c r="S45" s="56">
        <v>928.7</v>
      </c>
      <c r="T45" s="56"/>
      <c r="U45" s="56"/>
      <c r="V45" s="54"/>
      <c r="W45" s="54"/>
      <c r="X45" s="56">
        <f t="shared" si="14"/>
        <v>283.78000000000003</v>
      </c>
      <c r="Y45" s="55">
        <f t="shared" ref="Y45:Y47" si="16">X45</f>
        <v>283.78000000000003</v>
      </c>
      <c r="Z45" s="56"/>
      <c r="AA45" s="56"/>
      <c r="AB45" s="56"/>
      <c r="AC45" s="56"/>
      <c r="AD45" s="55">
        <f>H45-SUM(L45:X45)-SUM(Z45:AC45)</f>
        <v>5882.02</v>
      </c>
      <c r="AE45" s="510" t="s">
        <v>99</v>
      </c>
      <c r="AF45" s="506"/>
      <c r="AG45" s="505"/>
    </row>
    <row r="46" spans="1:33" ht="17.100000000000001" customHeight="1" x14ac:dyDescent="0.2">
      <c r="B46" s="222" t="s">
        <v>46</v>
      </c>
      <c r="C46" s="30"/>
      <c r="D46" s="210" t="s">
        <v>446</v>
      </c>
      <c r="E46" s="210" t="s">
        <v>176</v>
      </c>
      <c r="F46" s="210" t="s">
        <v>175</v>
      </c>
      <c r="G46" s="54">
        <f>'[1]Reg1(1-15)'!$G$43</f>
        <v>13675</v>
      </c>
      <c r="H46" s="618">
        <f t="shared" si="13"/>
        <v>6837.5</v>
      </c>
      <c r="I46" s="618"/>
      <c r="J46" s="618"/>
      <c r="K46" s="54"/>
      <c r="L46" s="56"/>
      <c r="M46" s="56">
        <v>655.56</v>
      </c>
      <c r="N46" s="56"/>
      <c r="O46" s="56">
        <v>200</v>
      </c>
      <c r="P46" s="56"/>
      <c r="Q46" s="56"/>
      <c r="R46" s="56"/>
      <c r="S46" s="56">
        <v>887.03</v>
      </c>
      <c r="T46" s="56"/>
      <c r="U46" s="56"/>
      <c r="V46" s="54"/>
      <c r="W46" s="57"/>
      <c r="X46" s="55">
        <f t="shared" si="14"/>
        <v>273.5</v>
      </c>
      <c r="Y46" s="55">
        <f t="shared" si="16"/>
        <v>273.5</v>
      </c>
      <c r="Z46" s="56">
        <v>1064.33</v>
      </c>
      <c r="AA46" s="56"/>
      <c r="AB46" s="56"/>
      <c r="AC46" s="56"/>
      <c r="AD46" s="55">
        <f>H46-SUM(K46:X46)-SUM(Z46:AC46)</f>
        <v>3757.08</v>
      </c>
      <c r="AE46" s="510" t="s">
        <v>46</v>
      </c>
      <c r="AF46" s="506"/>
      <c r="AG46" s="505"/>
    </row>
    <row r="47" spans="1:33" ht="17.100000000000001" customHeight="1" x14ac:dyDescent="0.2">
      <c r="B47" s="222" t="s">
        <v>47</v>
      </c>
      <c r="C47" s="30"/>
      <c r="D47" s="210" t="s">
        <v>446</v>
      </c>
      <c r="E47" s="210" t="s">
        <v>176</v>
      </c>
      <c r="F47" s="210" t="s">
        <v>175</v>
      </c>
      <c r="G47" s="54">
        <f>'[1]Reg1(1-15)'!$G$44</f>
        <v>13675</v>
      </c>
      <c r="H47" s="618">
        <f t="shared" si="13"/>
        <v>6837.5</v>
      </c>
      <c r="I47" s="618"/>
      <c r="J47" s="618"/>
      <c r="K47" s="54"/>
      <c r="L47" s="56"/>
      <c r="M47" s="56"/>
      <c r="N47" s="56"/>
      <c r="O47" s="56"/>
      <c r="P47" s="56"/>
      <c r="Q47" s="56"/>
      <c r="R47" s="56"/>
      <c r="S47" s="56"/>
      <c r="T47" s="56"/>
      <c r="U47" s="56"/>
      <c r="V47" s="54"/>
      <c r="W47" s="54"/>
      <c r="X47" s="56">
        <f t="shared" si="14"/>
        <v>273.5</v>
      </c>
      <c r="Y47" s="56">
        <f t="shared" si="16"/>
        <v>273.5</v>
      </c>
      <c r="Z47" s="56"/>
      <c r="AA47" s="56"/>
      <c r="AB47" s="56"/>
      <c r="AC47" s="56"/>
      <c r="AD47" s="55">
        <f>H47-SUM(L47:X47)-SUM(Z47:AC47)</f>
        <v>6564</v>
      </c>
      <c r="AE47" s="510" t="s">
        <v>47</v>
      </c>
      <c r="AF47" s="506"/>
      <c r="AG47" s="505"/>
    </row>
    <row r="48" spans="1:33" ht="17.100000000000001" customHeight="1" thickBot="1" x14ac:dyDescent="0.25">
      <c r="B48" s="222" t="s">
        <v>100</v>
      </c>
      <c r="C48" s="30"/>
      <c r="D48" s="210" t="s">
        <v>446</v>
      </c>
      <c r="E48" s="210" t="s">
        <v>176</v>
      </c>
      <c r="F48" s="210" t="s">
        <v>175</v>
      </c>
      <c r="G48" s="54">
        <f>'[1]Reg1(1-15)'!$G$45</f>
        <v>13575</v>
      </c>
      <c r="H48" s="618">
        <f t="shared" si="13"/>
        <v>6787.5</v>
      </c>
      <c r="I48" s="727"/>
      <c r="J48" s="727"/>
      <c r="K48" s="486"/>
      <c r="L48" s="473"/>
      <c r="M48" s="473"/>
      <c r="N48" s="473"/>
      <c r="O48" s="473"/>
      <c r="P48" s="473"/>
      <c r="Q48" s="473"/>
      <c r="R48" s="473"/>
      <c r="S48" s="486">
        <v>1100</v>
      </c>
      <c r="T48" s="473"/>
      <c r="U48" s="473"/>
      <c r="V48" s="486"/>
      <c r="W48" s="62"/>
      <c r="X48" s="55">
        <f t="shared" si="14"/>
        <v>271.5</v>
      </c>
      <c r="Y48" s="55">
        <f t="shared" ref="Y48" si="17">X48</f>
        <v>271.5</v>
      </c>
      <c r="Z48" s="473"/>
      <c r="AA48" s="473"/>
      <c r="AB48" s="473"/>
      <c r="AC48" s="473"/>
      <c r="AD48" s="55">
        <f>H48-SUM(K48:X48)-SUM(Z48:AC48)</f>
        <v>5416</v>
      </c>
      <c r="AE48" s="510" t="s">
        <v>100</v>
      </c>
      <c r="AF48" s="506"/>
      <c r="AG48" s="505"/>
    </row>
    <row r="49" spans="2:33" ht="17.100000000000001" customHeight="1" thickBot="1" x14ac:dyDescent="0.25">
      <c r="B49" s="222" t="s">
        <v>101</v>
      </c>
      <c r="C49" s="30"/>
      <c r="D49" s="210"/>
      <c r="E49" s="32"/>
      <c r="F49" s="32"/>
      <c r="G49" s="472">
        <f t="shared" ref="G49:AD49" si="18">SUM(G43:G48)</f>
        <v>98610</v>
      </c>
      <c r="H49" s="472">
        <f>SUM(H43:H48)</f>
        <v>49305</v>
      </c>
      <c r="I49" s="472"/>
      <c r="J49" s="472"/>
      <c r="K49" s="472">
        <f t="shared" si="18"/>
        <v>0</v>
      </c>
      <c r="L49" s="472">
        <f t="shared" si="18"/>
        <v>0</v>
      </c>
      <c r="M49" s="472">
        <f t="shared" si="18"/>
        <v>1711.12</v>
      </c>
      <c r="N49" s="472">
        <f t="shared" si="18"/>
        <v>0</v>
      </c>
      <c r="O49" s="472">
        <f>SUM(O43:O48)</f>
        <v>200</v>
      </c>
      <c r="P49" s="472">
        <f t="shared" si="18"/>
        <v>0</v>
      </c>
      <c r="Q49" s="472">
        <f t="shared" si="18"/>
        <v>0</v>
      </c>
      <c r="R49" s="472">
        <f t="shared" si="18"/>
        <v>0</v>
      </c>
      <c r="S49" s="472">
        <f t="shared" si="18"/>
        <v>2915.73</v>
      </c>
      <c r="T49" s="472">
        <f t="shared" si="18"/>
        <v>0</v>
      </c>
      <c r="U49" s="472">
        <f t="shared" si="18"/>
        <v>0</v>
      </c>
      <c r="V49" s="472">
        <f t="shared" si="18"/>
        <v>0</v>
      </c>
      <c r="W49" s="472">
        <f>SUM(W43:W48)</f>
        <v>0</v>
      </c>
      <c r="X49" s="472">
        <f t="shared" si="18"/>
        <v>1972.2</v>
      </c>
      <c r="Y49" s="472">
        <f t="shared" si="18"/>
        <v>1972.2</v>
      </c>
      <c r="Z49" s="472">
        <f t="shared" si="18"/>
        <v>1064.33</v>
      </c>
      <c r="AA49" s="472">
        <f t="shared" si="18"/>
        <v>0</v>
      </c>
      <c r="AB49" s="472">
        <f t="shared" si="18"/>
        <v>0</v>
      </c>
      <c r="AC49" s="472">
        <f t="shared" si="18"/>
        <v>2521.7399999999998</v>
      </c>
      <c r="AD49" s="472">
        <f t="shared" si="18"/>
        <v>38919.879999999997</v>
      </c>
      <c r="AE49" s="510" t="s">
        <v>101</v>
      </c>
      <c r="AF49" s="506"/>
      <c r="AG49" s="505"/>
    </row>
    <row r="50" spans="2:33" ht="17.100000000000001" customHeight="1" thickTop="1" x14ac:dyDescent="0.2">
      <c r="B50" s="222" t="s">
        <v>162</v>
      </c>
      <c r="C50" s="194" t="s">
        <v>68</v>
      </c>
      <c r="D50" s="210"/>
      <c r="E50" s="32"/>
      <c r="F50" s="32"/>
      <c r="G50" s="25"/>
      <c r="H50" s="55"/>
      <c r="I50" s="55"/>
      <c r="J50" s="55"/>
      <c r="K50" s="55"/>
      <c r="L50" s="55"/>
      <c r="M50" s="55"/>
      <c r="N50" s="55"/>
      <c r="O50" s="55"/>
      <c r="P50" s="55"/>
      <c r="Q50" s="55"/>
      <c r="R50" s="55"/>
      <c r="S50" s="55"/>
      <c r="T50" s="55"/>
      <c r="U50" s="55"/>
      <c r="V50" s="55"/>
      <c r="W50" s="55"/>
      <c r="X50" s="55"/>
      <c r="Y50" s="55"/>
      <c r="Z50" s="55"/>
      <c r="AA50" s="55"/>
      <c r="AB50" s="55"/>
      <c r="AC50" s="55"/>
      <c r="AD50" s="56" t="s">
        <v>37</v>
      </c>
      <c r="AE50" s="510" t="s">
        <v>162</v>
      </c>
      <c r="AF50" s="513"/>
      <c r="AG50" s="505"/>
    </row>
    <row r="51" spans="2:33" ht="17.100000000000001" customHeight="1" x14ac:dyDescent="0.2">
      <c r="B51" s="222" t="s">
        <v>177</v>
      </c>
      <c r="C51" s="30"/>
      <c r="D51" s="684" t="s">
        <v>671</v>
      </c>
      <c r="E51" s="935" t="s">
        <v>686</v>
      </c>
      <c r="F51" s="935"/>
      <c r="G51" s="25">
        <f>'[1]Reg1(1-15)'!$G$48</f>
        <v>83457</v>
      </c>
      <c r="H51" s="618">
        <f t="shared" ref="H51:H57" si="19">G51/2</f>
        <v>41728.5</v>
      </c>
      <c r="I51" s="507"/>
      <c r="J51" s="507"/>
      <c r="K51" s="54">
        <v>2333.33</v>
      </c>
      <c r="L51" s="55"/>
      <c r="M51" s="55"/>
      <c r="N51" s="55"/>
      <c r="O51" s="55"/>
      <c r="P51" s="55"/>
      <c r="Q51" s="55"/>
      <c r="R51" s="55"/>
      <c r="S51" s="56">
        <v>4611.24</v>
      </c>
      <c r="T51" s="56">
        <v>3420.23</v>
      </c>
      <c r="U51" s="55"/>
      <c r="V51" s="55"/>
      <c r="W51" s="55">
        <v>9922.58</v>
      </c>
      <c r="X51" s="56">
        <f t="shared" ref="X51:X57" si="20">G51*0.02</f>
        <v>1669.14</v>
      </c>
      <c r="Y51" s="56">
        <f>X51</f>
        <v>1669.14</v>
      </c>
      <c r="Z51" s="56">
        <v>2297.9</v>
      </c>
      <c r="AA51" s="25">
        <v>2244.5100000000002</v>
      </c>
      <c r="AB51" s="55">
        <v>6000</v>
      </c>
      <c r="AC51" s="55"/>
      <c r="AD51" s="55">
        <f>H51-SUM(K51:X51)-SUM(Z51:AC51)</f>
        <v>9229.5700000000033</v>
      </c>
      <c r="AE51" s="510" t="s">
        <v>177</v>
      </c>
      <c r="AF51" s="513"/>
      <c r="AG51" s="505"/>
    </row>
    <row r="52" spans="2:33" ht="17.100000000000001" customHeight="1" x14ac:dyDescent="0.2">
      <c r="B52" s="222" t="s">
        <v>178</v>
      </c>
      <c r="C52" s="30"/>
      <c r="D52" s="210" t="s">
        <v>661</v>
      </c>
      <c r="E52" s="210" t="s">
        <v>208</v>
      </c>
      <c r="F52" s="210" t="s">
        <v>175</v>
      </c>
      <c r="G52" s="54">
        <f>'[1]Reg1(1-15)'!$G$49</f>
        <v>25520</v>
      </c>
      <c r="H52" s="618">
        <f t="shared" si="19"/>
        <v>12760</v>
      </c>
      <c r="I52" s="618"/>
      <c r="J52" s="618"/>
      <c r="K52" s="54">
        <v>2333.33</v>
      </c>
      <c r="L52" s="56"/>
      <c r="M52" s="56">
        <v>1311.12</v>
      </c>
      <c r="N52" s="56"/>
      <c r="O52" s="56">
        <v>150</v>
      </c>
      <c r="P52" s="56"/>
      <c r="Q52" s="56"/>
      <c r="R52" s="56">
        <v>1966.67</v>
      </c>
      <c r="S52" s="56"/>
      <c r="T52" s="56"/>
      <c r="U52" s="56"/>
      <c r="V52" s="54"/>
      <c r="W52" s="54">
        <v>186.22</v>
      </c>
      <c r="X52" s="56">
        <f t="shared" si="20"/>
        <v>510.40000000000003</v>
      </c>
      <c r="Y52" s="56">
        <f>X52</f>
        <v>510.40000000000003</v>
      </c>
      <c r="Z52" s="56">
        <v>947.09</v>
      </c>
      <c r="AA52" s="56"/>
      <c r="AB52" s="56"/>
      <c r="AC52" s="56"/>
      <c r="AD52" s="55">
        <f t="shared" ref="AD52:AD57" si="21">H52-SUM(K52:X52)-SUM(Z52:AC52)</f>
        <v>5355.17</v>
      </c>
      <c r="AE52" s="510" t="s">
        <v>178</v>
      </c>
      <c r="AF52" s="508"/>
      <c r="AG52" s="505"/>
    </row>
    <row r="53" spans="2:33" ht="17.100000000000001" customHeight="1" x14ac:dyDescent="0.2">
      <c r="B53" s="222" t="s">
        <v>179</v>
      </c>
      <c r="C53" s="30"/>
      <c r="D53" s="404" t="s">
        <v>653</v>
      </c>
      <c r="E53" s="210" t="s">
        <v>208</v>
      </c>
      <c r="F53" s="210" t="s">
        <v>175</v>
      </c>
      <c r="G53" s="54">
        <f>'[1]Reg1(1-15)'!$G$50</f>
        <v>25762</v>
      </c>
      <c r="H53" s="618">
        <f t="shared" si="19"/>
        <v>12881</v>
      </c>
      <c r="I53" s="618"/>
      <c r="J53" s="618"/>
      <c r="K53" s="54">
        <v>700</v>
      </c>
      <c r="L53" s="56"/>
      <c r="M53" s="56">
        <v>512.49</v>
      </c>
      <c r="N53" s="56"/>
      <c r="O53" s="56"/>
      <c r="P53" s="56"/>
      <c r="Q53" s="56"/>
      <c r="R53" s="56"/>
      <c r="S53" s="56">
        <v>1568.86</v>
      </c>
      <c r="T53" s="56"/>
      <c r="U53" s="56"/>
      <c r="V53" s="54"/>
      <c r="W53" s="54">
        <v>217.62</v>
      </c>
      <c r="X53" s="56">
        <f t="shared" si="20"/>
        <v>515.24</v>
      </c>
      <c r="Y53" s="56">
        <f>X53</f>
        <v>515.24</v>
      </c>
      <c r="Z53" s="56"/>
      <c r="AA53" s="56"/>
      <c r="AB53" s="56"/>
      <c r="AC53" s="56">
        <v>3321.43</v>
      </c>
      <c r="AD53" s="55">
        <f t="shared" si="21"/>
        <v>6045.3600000000006</v>
      </c>
      <c r="AE53" s="510" t="s">
        <v>179</v>
      </c>
      <c r="AF53" s="508"/>
      <c r="AG53" s="505"/>
    </row>
    <row r="54" spans="2:33" ht="17.100000000000001" customHeight="1" x14ac:dyDescent="0.2">
      <c r="B54" s="222" t="s">
        <v>180</v>
      </c>
      <c r="C54" s="30"/>
      <c r="D54" s="209" t="s">
        <v>473</v>
      </c>
      <c r="E54" s="210" t="s">
        <v>208</v>
      </c>
      <c r="F54" s="210" t="s">
        <v>175</v>
      </c>
      <c r="G54" s="56">
        <v>21922</v>
      </c>
      <c r="H54" s="618">
        <f t="shared" si="19"/>
        <v>10961</v>
      </c>
      <c r="I54" s="618"/>
      <c r="J54" s="618"/>
      <c r="K54" s="54"/>
      <c r="L54" s="56"/>
      <c r="M54" s="56">
        <v>655.56</v>
      </c>
      <c r="N54" s="56"/>
      <c r="O54" s="56"/>
      <c r="P54" s="56"/>
      <c r="Q54" s="56"/>
      <c r="R54" s="56"/>
      <c r="S54" s="54">
        <v>1211.42</v>
      </c>
      <c r="T54" s="56"/>
      <c r="U54" s="56"/>
      <c r="V54" s="54"/>
      <c r="W54" s="54"/>
      <c r="X54" s="56">
        <f t="shared" si="20"/>
        <v>438.44</v>
      </c>
      <c r="Y54" s="56">
        <f>X54</f>
        <v>438.44</v>
      </c>
      <c r="Z54" s="617"/>
      <c r="AA54" s="56"/>
      <c r="AB54" s="56"/>
      <c r="AC54" s="56"/>
      <c r="AD54" s="55">
        <f t="shared" si="21"/>
        <v>8655.58</v>
      </c>
      <c r="AE54" s="510" t="s">
        <v>180</v>
      </c>
      <c r="AF54" s="508"/>
      <c r="AG54" s="505"/>
    </row>
    <row r="55" spans="2:33" ht="17.100000000000001" customHeight="1" x14ac:dyDescent="0.2">
      <c r="B55" s="222" t="s">
        <v>181</v>
      </c>
      <c r="C55" s="30"/>
      <c r="D55" s="209" t="s">
        <v>499</v>
      </c>
      <c r="E55" s="210" t="s">
        <v>208</v>
      </c>
      <c r="F55" s="210" t="s">
        <v>175</v>
      </c>
      <c r="G55" s="56">
        <f>'[1]Reg1(1-15)'!$G$52</f>
        <v>14414</v>
      </c>
      <c r="H55" s="618">
        <f t="shared" si="19"/>
        <v>7207</v>
      </c>
      <c r="I55" s="618"/>
      <c r="J55" s="618"/>
      <c r="K55" s="54"/>
      <c r="L55" s="56"/>
      <c r="M55" s="56">
        <v>655.56</v>
      </c>
      <c r="N55" s="56"/>
      <c r="O55" s="56"/>
      <c r="P55" s="56"/>
      <c r="Q55" s="56"/>
      <c r="R55" s="56">
        <v>1966.67</v>
      </c>
      <c r="S55" s="56">
        <v>770.62</v>
      </c>
      <c r="T55" s="56"/>
      <c r="U55" s="56"/>
      <c r="V55" s="54"/>
      <c r="W55" s="54"/>
      <c r="X55" s="56">
        <f t="shared" si="20"/>
        <v>288.28000000000003</v>
      </c>
      <c r="Y55" s="56">
        <f t="shared" ref="Y55:Y57" si="22">X55</f>
        <v>288.28000000000003</v>
      </c>
      <c r="Z55" s="56">
        <f>290+290.75</f>
        <v>580.75</v>
      </c>
      <c r="AA55" s="56"/>
      <c r="AB55" s="56"/>
      <c r="AC55" s="56"/>
      <c r="AD55" s="55">
        <f t="shared" si="21"/>
        <v>2945.12</v>
      </c>
      <c r="AE55" s="510" t="s">
        <v>181</v>
      </c>
      <c r="AF55" s="508"/>
      <c r="AG55" s="505"/>
    </row>
    <row r="56" spans="2:33" ht="17.100000000000001" customHeight="1" x14ac:dyDescent="0.2">
      <c r="B56" s="222" t="s">
        <v>186</v>
      </c>
      <c r="C56" s="30"/>
      <c r="D56" s="209" t="s">
        <v>499</v>
      </c>
      <c r="E56" s="210" t="s">
        <v>208</v>
      </c>
      <c r="F56" s="210" t="s">
        <v>175</v>
      </c>
      <c r="G56" s="56">
        <v>14308</v>
      </c>
      <c r="H56" s="618">
        <f t="shared" si="19"/>
        <v>7154</v>
      </c>
      <c r="I56" s="618"/>
      <c r="J56" s="618"/>
      <c r="K56" s="54"/>
      <c r="L56" s="56"/>
      <c r="M56" s="56"/>
      <c r="N56" s="56"/>
      <c r="O56" s="56"/>
      <c r="P56" s="56"/>
      <c r="Q56" s="56"/>
      <c r="R56" s="56"/>
      <c r="S56" s="56"/>
      <c r="T56" s="56"/>
      <c r="U56" s="56"/>
      <c r="V56" s="54"/>
      <c r="W56" s="54"/>
      <c r="X56" s="56">
        <f t="shared" si="20"/>
        <v>286.16000000000003</v>
      </c>
      <c r="Y56" s="56">
        <f t="shared" si="22"/>
        <v>286.16000000000003</v>
      </c>
      <c r="Z56" s="56"/>
      <c r="AA56" s="56"/>
      <c r="AB56" s="56"/>
      <c r="AC56" s="56"/>
      <c r="AD56" s="55">
        <f t="shared" si="21"/>
        <v>6867.84</v>
      </c>
      <c r="AE56" s="510" t="s">
        <v>186</v>
      </c>
      <c r="AF56" s="508"/>
      <c r="AG56" s="505"/>
    </row>
    <row r="57" spans="2:33" ht="17.100000000000001" customHeight="1" thickBot="1" x14ac:dyDescent="0.25">
      <c r="B57" s="222" t="s">
        <v>189</v>
      </c>
      <c r="C57" s="44"/>
      <c r="D57" s="209" t="s">
        <v>499</v>
      </c>
      <c r="E57" s="210" t="s">
        <v>208</v>
      </c>
      <c r="F57" s="210" t="s">
        <v>175</v>
      </c>
      <c r="G57" s="60">
        <f>'[1]Reg1(1-15)'!$G$54</f>
        <v>14308</v>
      </c>
      <c r="H57" s="713">
        <f t="shared" si="19"/>
        <v>7154</v>
      </c>
      <c r="I57" s="713"/>
      <c r="J57" s="713"/>
      <c r="K57" s="60">
        <v>475</v>
      </c>
      <c r="L57" s="60"/>
      <c r="M57" s="60"/>
      <c r="N57" s="60"/>
      <c r="O57" s="60"/>
      <c r="P57" s="60"/>
      <c r="Q57" s="60"/>
      <c r="R57" s="60">
        <v>983.34</v>
      </c>
      <c r="S57" s="60"/>
      <c r="T57" s="60"/>
      <c r="U57" s="60"/>
      <c r="V57" s="470"/>
      <c r="W57" s="470"/>
      <c r="X57" s="60">
        <f t="shared" si="20"/>
        <v>286.16000000000003</v>
      </c>
      <c r="Y57" s="60">
        <f t="shared" si="22"/>
        <v>286.16000000000003</v>
      </c>
      <c r="Z57" s="60"/>
      <c r="AA57" s="60"/>
      <c r="AB57" s="60">
        <v>2840</v>
      </c>
      <c r="AC57" s="60"/>
      <c r="AD57" s="60">
        <f t="shared" si="21"/>
        <v>2569.5</v>
      </c>
      <c r="AE57" s="510" t="s">
        <v>189</v>
      </c>
      <c r="AF57" s="508"/>
      <c r="AG57" s="505"/>
    </row>
    <row r="58" spans="2:33" ht="17.100000000000001" customHeight="1" thickBot="1" x14ac:dyDescent="0.25">
      <c r="B58" s="222" t="s">
        <v>190</v>
      </c>
      <c r="C58" s="30"/>
      <c r="D58" s="210"/>
      <c r="E58" s="210"/>
      <c r="F58" s="210"/>
      <c r="G58" s="64">
        <f>SUM(G51:G57)</f>
        <v>199691</v>
      </c>
      <c r="H58" s="64">
        <f t="shared" ref="H58:AC58" si="23">SUM(H51:H57)</f>
        <v>99845.5</v>
      </c>
      <c r="I58" s="64">
        <f t="shared" si="23"/>
        <v>0</v>
      </c>
      <c r="J58" s="64">
        <f t="shared" si="23"/>
        <v>0</v>
      </c>
      <c r="K58" s="64">
        <f>SUM(K51:K57)</f>
        <v>5841.66</v>
      </c>
      <c r="L58" s="64">
        <f t="shared" si="23"/>
        <v>0</v>
      </c>
      <c r="M58" s="64">
        <f t="shared" si="23"/>
        <v>3134.73</v>
      </c>
      <c r="N58" s="64">
        <f t="shared" si="23"/>
        <v>0</v>
      </c>
      <c r="O58" s="64">
        <f t="shared" si="23"/>
        <v>150</v>
      </c>
      <c r="P58" s="64">
        <f t="shared" si="23"/>
        <v>0</v>
      </c>
      <c r="Q58" s="64">
        <f t="shared" si="23"/>
        <v>0</v>
      </c>
      <c r="R58" s="64">
        <f t="shared" si="23"/>
        <v>4916.68</v>
      </c>
      <c r="S58" s="64">
        <f t="shared" si="23"/>
        <v>8162.1399999999994</v>
      </c>
      <c r="T58" s="64">
        <f t="shared" si="23"/>
        <v>3420.23</v>
      </c>
      <c r="U58" s="64">
        <f t="shared" si="23"/>
        <v>0</v>
      </c>
      <c r="V58" s="64">
        <f t="shared" si="23"/>
        <v>0</v>
      </c>
      <c r="W58" s="64">
        <f t="shared" si="23"/>
        <v>10326.42</v>
      </c>
      <c r="X58" s="64">
        <f>SUM(X51:X57)</f>
        <v>3993.8199999999997</v>
      </c>
      <c r="Y58" s="64">
        <f t="shared" si="23"/>
        <v>3993.8199999999997</v>
      </c>
      <c r="Z58" s="64">
        <f t="shared" si="23"/>
        <v>3825.7400000000002</v>
      </c>
      <c r="AA58" s="64">
        <f t="shared" si="23"/>
        <v>2244.5100000000002</v>
      </c>
      <c r="AB58" s="64">
        <f t="shared" si="23"/>
        <v>8840</v>
      </c>
      <c r="AC58" s="64">
        <f t="shared" si="23"/>
        <v>3321.43</v>
      </c>
      <c r="AD58" s="64">
        <f>SUM(AD51:AD57)</f>
        <v>41668.140000000007</v>
      </c>
      <c r="AE58" s="510" t="s">
        <v>190</v>
      </c>
      <c r="AF58" s="204"/>
      <c r="AG58" s="505"/>
    </row>
    <row r="59" spans="2:33" ht="17.100000000000001" customHeight="1" thickTop="1" thickBot="1" x14ac:dyDescent="0.25">
      <c r="B59" s="48" t="s">
        <v>191</v>
      </c>
      <c r="C59" s="31" t="s">
        <v>541</v>
      </c>
      <c r="D59" s="34"/>
      <c r="E59" s="211"/>
      <c r="F59" s="211"/>
      <c r="G59" s="478">
        <f>G58+G49+G41+G37+G31+G19+G22+G25</f>
        <v>956178</v>
      </c>
      <c r="H59" s="478">
        <f t="shared" ref="H59:AD59" si="24">H58+H49+H41+H37+H31+H19+H22+H25</f>
        <v>478089</v>
      </c>
      <c r="I59" s="478">
        <f t="shared" si="24"/>
        <v>0</v>
      </c>
      <c r="J59" s="478">
        <f t="shared" si="24"/>
        <v>0</v>
      </c>
      <c r="K59" s="478">
        <f t="shared" si="24"/>
        <v>12624.98</v>
      </c>
      <c r="L59" s="478">
        <f t="shared" si="24"/>
        <v>0</v>
      </c>
      <c r="M59" s="478">
        <f t="shared" si="24"/>
        <v>8347.73</v>
      </c>
      <c r="N59" s="478">
        <f t="shared" si="24"/>
        <v>0</v>
      </c>
      <c r="O59" s="478">
        <f t="shared" si="24"/>
        <v>700</v>
      </c>
      <c r="P59" s="478">
        <f t="shared" si="24"/>
        <v>0</v>
      </c>
      <c r="Q59" s="478">
        <f t="shared" si="24"/>
        <v>0</v>
      </c>
      <c r="R59" s="478">
        <f t="shared" si="24"/>
        <v>11333.36</v>
      </c>
      <c r="S59" s="478">
        <f t="shared" si="24"/>
        <v>26476.719999999998</v>
      </c>
      <c r="T59" s="478">
        <f t="shared" si="24"/>
        <v>15932.08</v>
      </c>
      <c r="U59" s="478">
        <f t="shared" si="24"/>
        <v>0</v>
      </c>
      <c r="V59" s="478">
        <f t="shared" si="24"/>
        <v>0</v>
      </c>
      <c r="W59" s="478">
        <f t="shared" si="24"/>
        <v>58563.89</v>
      </c>
      <c r="X59" s="478">
        <f t="shared" si="24"/>
        <v>19123.559999999998</v>
      </c>
      <c r="Y59" s="478">
        <f t="shared" si="24"/>
        <v>20865.3</v>
      </c>
      <c r="Z59" s="478">
        <f t="shared" si="24"/>
        <v>14127.49</v>
      </c>
      <c r="AA59" s="478">
        <f t="shared" si="24"/>
        <v>2244.5100000000002</v>
      </c>
      <c r="AB59" s="478">
        <f t="shared" si="24"/>
        <v>18861.07</v>
      </c>
      <c r="AC59" s="478">
        <f t="shared" si="24"/>
        <v>27768.16</v>
      </c>
      <c r="AD59" s="478">
        <f t="shared" si="24"/>
        <v>261985.45</v>
      </c>
      <c r="AE59" s="514" t="s">
        <v>191</v>
      </c>
      <c r="AF59" s="515"/>
      <c r="AG59" s="516"/>
    </row>
    <row r="60" spans="2:33" ht="9.75" customHeight="1" thickTop="1" x14ac:dyDescent="0.2">
      <c r="B60" s="517"/>
      <c r="C60" s="518"/>
      <c r="D60" s="162"/>
      <c r="E60" s="519"/>
      <c r="F60" s="519"/>
      <c r="G60" s="487"/>
      <c r="H60" s="487"/>
      <c r="I60" s="487"/>
      <c r="J60" s="487"/>
      <c r="K60" s="487"/>
      <c r="L60" s="487"/>
      <c r="M60" s="487"/>
      <c r="N60" s="487"/>
      <c r="O60" s="487"/>
      <c r="P60" s="487"/>
      <c r="Q60" s="487"/>
      <c r="R60" s="487"/>
      <c r="S60" s="487"/>
      <c r="T60" s="487"/>
      <c r="U60" s="487"/>
      <c r="V60" s="487"/>
      <c r="W60" s="487"/>
      <c r="X60" s="487"/>
      <c r="Y60" s="487"/>
      <c r="Z60" s="487"/>
      <c r="AA60" s="487"/>
      <c r="AB60" s="487"/>
      <c r="AC60" s="487"/>
      <c r="AD60" s="487"/>
      <c r="AE60" s="517"/>
      <c r="AF60" s="520"/>
      <c r="AG60" s="201"/>
    </row>
    <row r="61" spans="2:33" ht="11.25" customHeight="1" x14ac:dyDescent="0.2">
      <c r="B61" s="889" t="s">
        <v>49</v>
      </c>
      <c r="C61" s="889"/>
      <c r="D61" s="889"/>
      <c r="E61" s="889"/>
      <c r="F61" s="889"/>
      <c r="G61" s="889"/>
      <c r="H61" s="35"/>
      <c r="I61" s="35"/>
      <c r="J61" s="35"/>
      <c r="K61" s="35"/>
      <c r="AD61" s="907" t="s">
        <v>48</v>
      </c>
      <c r="AE61" s="907"/>
      <c r="AF61" s="907"/>
      <c r="AG61" s="907"/>
    </row>
    <row r="62" spans="2:33" x14ac:dyDescent="0.2">
      <c r="B62" s="889"/>
      <c r="C62" s="889"/>
      <c r="D62" s="889"/>
      <c r="E62" s="889"/>
      <c r="F62" s="889"/>
      <c r="G62" s="889"/>
      <c r="AD62" s="907"/>
      <c r="AE62" s="907"/>
      <c r="AF62" s="907"/>
      <c r="AG62" s="907"/>
    </row>
    <row r="63" spans="2:33" ht="15" customHeight="1" x14ac:dyDescent="0.2">
      <c r="B63" s="889"/>
      <c r="C63" s="889"/>
      <c r="D63" s="889"/>
      <c r="E63" s="889"/>
      <c r="F63" s="889"/>
      <c r="G63" s="889"/>
      <c r="M63" s="488"/>
      <c r="X63" s="1" t="s">
        <v>50</v>
      </c>
      <c r="AB63" s="921"/>
      <c r="AC63" s="921"/>
      <c r="AD63" s="907"/>
      <c r="AE63" s="907"/>
      <c r="AF63" s="907"/>
      <c r="AG63" s="907"/>
    </row>
    <row r="64" spans="2:33" ht="15" customHeight="1" x14ac:dyDescent="0.25">
      <c r="G64" s="615"/>
      <c r="M64" s="201"/>
      <c r="X64" s="921"/>
      <c r="Y64" s="921"/>
      <c r="AB64" s="824"/>
      <c r="AC64" s="824"/>
      <c r="AD64" s="907"/>
      <c r="AE64" s="907"/>
      <c r="AF64" s="907"/>
      <c r="AG64" s="907"/>
    </row>
    <row r="65" spans="2:33" ht="12.75" customHeight="1" x14ac:dyDescent="0.25">
      <c r="F65" s="615" t="s">
        <v>673</v>
      </c>
      <c r="G65" s="201"/>
      <c r="H65" s="522"/>
      <c r="I65" s="522"/>
      <c r="J65" s="522"/>
      <c r="K65" s="522"/>
      <c r="M65" s="201"/>
      <c r="U65" s="488"/>
      <c r="X65" s="824"/>
      <c r="Y65" s="824"/>
      <c r="AB65" s="488"/>
      <c r="AC65" s="488"/>
      <c r="AD65" s="907"/>
      <c r="AE65" s="907"/>
      <c r="AF65" s="907"/>
      <c r="AG65" s="907"/>
    </row>
    <row r="66" spans="2:33" ht="12.75" x14ac:dyDescent="0.2">
      <c r="E66" s="824" t="s">
        <v>79</v>
      </c>
      <c r="F66" s="824"/>
      <c r="G66" s="824"/>
      <c r="U66" s="201"/>
      <c r="X66" s="921" t="s">
        <v>673</v>
      </c>
      <c r="Y66" s="921"/>
      <c r="Z66" s="921"/>
      <c r="AB66" s="201"/>
      <c r="AC66" s="201"/>
      <c r="AD66" s="907"/>
      <c r="AE66" s="907"/>
      <c r="AF66" s="907"/>
      <c r="AG66" s="907"/>
    </row>
    <row r="67" spans="2:33" ht="11.25" hidden="1" customHeight="1" x14ac:dyDescent="0.2">
      <c r="X67" s="201" t="s">
        <v>79</v>
      </c>
      <c r="Y67" s="201"/>
      <c r="AD67" s="907"/>
      <c r="AE67" s="907"/>
      <c r="AF67" s="907"/>
      <c r="AG67" s="907"/>
    </row>
    <row r="68" spans="2:33" ht="12.75" x14ac:dyDescent="0.2">
      <c r="B68" s="17" t="s">
        <v>52</v>
      </c>
      <c r="X68" s="824" t="s">
        <v>79</v>
      </c>
      <c r="Y68" s="824"/>
      <c r="Z68" s="824"/>
      <c r="AD68" s="907"/>
      <c r="AE68" s="907"/>
      <c r="AF68" s="907"/>
      <c r="AG68" s="907"/>
    </row>
    <row r="69" spans="2:33" ht="12.75" x14ac:dyDescent="0.2">
      <c r="N69" s="201"/>
      <c r="X69" s="824" t="s">
        <v>51</v>
      </c>
      <c r="Y69" s="824"/>
      <c r="Z69" s="824"/>
      <c r="AD69" s="523"/>
      <c r="AE69" s="523"/>
      <c r="AF69" s="523" t="s">
        <v>111</v>
      </c>
    </row>
    <row r="70" spans="2:33" ht="12.75" x14ac:dyDescent="0.2">
      <c r="F70" s="1" t="s">
        <v>53</v>
      </c>
      <c r="X70" s="201"/>
      <c r="AD70" s="524"/>
      <c r="AE70" s="524"/>
      <c r="AF70" s="524" t="s">
        <v>105</v>
      </c>
    </row>
    <row r="71" spans="2:33" x14ac:dyDescent="0.2">
      <c r="AD71" s="524"/>
      <c r="AE71" s="524"/>
      <c r="AF71" s="524"/>
    </row>
    <row r="72" spans="2:33" x14ac:dyDescent="0.2">
      <c r="B72" s="17" t="s">
        <v>54</v>
      </c>
      <c r="AD72" s="907" t="s">
        <v>55</v>
      </c>
      <c r="AE72" s="907"/>
      <c r="AF72" s="907"/>
      <c r="AG72" s="907"/>
    </row>
    <row r="73" spans="2:33" x14ac:dyDescent="0.2">
      <c r="AD73" s="907"/>
      <c r="AE73" s="907"/>
      <c r="AF73" s="907"/>
      <c r="AG73" s="907"/>
    </row>
    <row r="74" spans="2:33" x14ac:dyDescent="0.2">
      <c r="D74" s="1" t="s">
        <v>56</v>
      </c>
      <c r="F74" s="1" t="s">
        <v>57</v>
      </c>
      <c r="AD74" s="907"/>
      <c r="AE74" s="907"/>
      <c r="AF74" s="907"/>
      <c r="AG74" s="907"/>
    </row>
    <row r="75" spans="2:33" x14ac:dyDescent="0.2">
      <c r="AD75" s="907"/>
      <c r="AE75" s="907"/>
      <c r="AF75" s="907"/>
      <c r="AG75" s="907"/>
    </row>
    <row r="76" spans="2:33" x14ac:dyDescent="0.2">
      <c r="AD76" s="907"/>
      <c r="AE76" s="907"/>
      <c r="AF76" s="907"/>
      <c r="AG76" s="907"/>
    </row>
    <row r="77" spans="2:33" x14ac:dyDescent="0.2">
      <c r="AD77" s="907"/>
      <c r="AE77" s="907"/>
      <c r="AF77" s="907"/>
      <c r="AG77" s="907"/>
    </row>
    <row r="78" spans="2:33" x14ac:dyDescent="0.2">
      <c r="D78" s="1000" t="s">
        <v>58</v>
      </c>
      <c r="E78" s="1000"/>
      <c r="F78" s="1000"/>
      <c r="AD78" s="525"/>
      <c r="AE78" s="525" t="s">
        <v>184</v>
      </c>
      <c r="AF78" s="525"/>
    </row>
    <row r="79" spans="2:33" x14ac:dyDescent="0.2">
      <c r="AF79" s="1" t="s">
        <v>185</v>
      </c>
    </row>
    <row r="90" spans="29:29" x14ac:dyDescent="0.2">
      <c r="AC90" s="35"/>
    </row>
  </sheetData>
  <mergeCells count="60">
    <mergeCell ref="K6:K9"/>
    <mergeCell ref="K5:T5"/>
    <mergeCell ref="T6:T9"/>
    <mergeCell ref="O6:O9"/>
    <mergeCell ref="S6:S9"/>
    <mergeCell ref="Q6:Q9"/>
    <mergeCell ref="E27:F27"/>
    <mergeCell ref="E21:F21"/>
    <mergeCell ref="I4:I8"/>
    <mergeCell ref="E5:E7"/>
    <mergeCell ref="E12:F12"/>
    <mergeCell ref="E24:F24"/>
    <mergeCell ref="B1:AG1"/>
    <mergeCell ref="B2:AG3"/>
    <mergeCell ref="D4:D9"/>
    <mergeCell ref="E4:F4"/>
    <mergeCell ref="G4:G5"/>
    <mergeCell ref="H4:H7"/>
    <mergeCell ref="L4:AC4"/>
    <mergeCell ref="F5:F7"/>
    <mergeCell ref="AB5:AB9"/>
    <mergeCell ref="AC5:AC9"/>
    <mergeCell ref="AD5:AD9"/>
    <mergeCell ref="G6:G7"/>
    <mergeCell ref="N6:N9"/>
    <mergeCell ref="U5:V5"/>
    <mergeCell ref="J4:J8"/>
    <mergeCell ref="M6:M9"/>
    <mergeCell ref="AD72:AG77"/>
    <mergeCell ref="X64:Y64"/>
    <mergeCell ref="X68:Z68"/>
    <mergeCell ref="X69:Z69"/>
    <mergeCell ref="AE5:AE9"/>
    <mergeCell ref="Y7:Y9"/>
    <mergeCell ref="AD61:AG68"/>
    <mergeCell ref="AB63:AC63"/>
    <mergeCell ref="AB64:AC64"/>
    <mergeCell ref="AF6:AF8"/>
    <mergeCell ref="X7:X9"/>
    <mergeCell ref="X5:AA6"/>
    <mergeCell ref="AA7:AA9"/>
    <mergeCell ref="AG6:AG8"/>
    <mergeCell ref="X65:Y65"/>
    <mergeCell ref="Z7:Z9"/>
    <mergeCell ref="X66:Z66"/>
    <mergeCell ref="P6:P9"/>
    <mergeCell ref="U6:V7"/>
    <mergeCell ref="V8:V9"/>
    <mergeCell ref="D78:F78"/>
    <mergeCell ref="U8:U9"/>
    <mergeCell ref="E33:F33"/>
    <mergeCell ref="E66:G66"/>
    <mergeCell ref="B61:G63"/>
    <mergeCell ref="E43:F43"/>
    <mergeCell ref="E51:F51"/>
    <mergeCell ref="E39:F39"/>
    <mergeCell ref="L6:L9"/>
    <mergeCell ref="R6:R9"/>
    <mergeCell ref="W5:W10"/>
    <mergeCell ref="C4:C9"/>
  </mergeCells>
  <phoneticPr fontId="23" type="noConversion"/>
  <pageMargins left="0.55118110200000003" right="0.15748031496063" top="0.35433070866141703" bottom="0.15748031496063" header="0.15748031496063" footer="0.118110236220472"/>
  <pageSetup paperSize="8" scale="63" orientation="landscape" r:id="rId1"/>
  <headerFooter alignWithMargins="0"/>
  <colBreaks count="1" manualBreakCount="1">
    <brk id="33" max="1048575" man="1"/>
  </colBreaks>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7CB7-CC18-481F-AB00-488768D4B48B}">
  <sheetPr>
    <tabColor rgb="FFFFFF00"/>
  </sheetPr>
  <dimension ref="A1:AI65"/>
  <sheetViews>
    <sheetView zoomScaleNormal="100" workbookViewId="0">
      <pane xSplit="6" ySplit="11" topLeftCell="R12" activePane="bottomRight" state="frozen"/>
      <selection pane="topRight" activeCell="G1" sqref="G1"/>
      <selection pane="bottomLeft" activeCell="A12" sqref="A12"/>
      <selection pane="bottomRight" activeCell="B12" sqref="B12"/>
    </sheetView>
  </sheetViews>
  <sheetFormatPr defaultColWidth="9.140625" defaultRowHeight="11.25" x14ac:dyDescent="0.2"/>
  <cols>
    <col min="1" max="1" width="3" style="105" customWidth="1"/>
    <col min="2" max="2" width="32" style="17" customWidth="1"/>
    <col min="3" max="3" width="17.140625" style="1" customWidth="1"/>
    <col min="4" max="5" width="7.85546875" style="1" customWidth="1"/>
    <col min="6" max="6" width="13.7109375" style="176" customWidth="1"/>
    <col min="7" max="7" width="15.140625" style="1" customWidth="1"/>
    <col min="8" max="8" width="10" style="1" hidden="1" customWidth="1"/>
    <col min="9" max="9" width="11.7109375" style="1" customWidth="1"/>
    <col min="10" max="10" width="10.85546875" style="1" customWidth="1"/>
    <col min="11" max="11" width="9.85546875" style="1" hidden="1" customWidth="1"/>
    <col min="12" max="12" width="10.85546875" style="1" hidden="1" customWidth="1"/>
    <col min="13" max="13" width="9.7109375" style="1" hidden="1" customWidth="1"/>
    <col min="14" max="14" width="9.5703125" style="1" hidden="1" customWidth="1"/>
    <col min="15" max="15" width="11" style="1" hidden="1" customWidth="1"/>
    <col min="16" max="16" width="12.5703125" style="1" hidden="1" customWidth="1"/>
    <col min="17" max="19" width="11" style="1" customWidth="1"/>
    <col min="20" max="21" width="10.85546875" style="1" customWidth="1"/>
    <col min="22" max="22" width="12.42578125" style="1" hidden="1" customWidth="1"/>
    <col min="23" max="23" width="12.140625" style="1" customWidth="1"/>
    <col min="24" max="24" width="13.140625" style="1" customWidth="1"/>
    <col min="25" max="25" width="12.140625" style="1" customWidth="1"/>
    <col min="26" max="27" width="11.85546875" style="1" hidden="1" customWidth="1"/>
    <col min="28" max="28" width="12.28515625" style="1" customWidth="1"/>
    <col min="29" max="29" width="10.85546875" style="1" customWidth="1"/>
    <col min="30" max="30" width="12.85546875" style="1" customWidth="1"/>
    <col min="31" max="31" width="2.7109375" style="1" customWidth="1"/>
    <col min="32" max="32" width="15.7109375" style="1" customWidth="1"/>
    <col min="33" max="33" width="9" style="1" customWidth="1"/>
    <col min="34" max="34" width="9.140625" style="1"/>
    <col min="35" max="35" width="11.140625" style="735" bestFit="1" customWidth="1"/>
    <col min="36" max="16384" width="9.140625" style="1"/>
  </cols>
  <sheetData>
    <row r="1" spans="1:35" ht="26.25" x14ac:dyDescent="0.4">
      <c r="A1" s="944" t="s">
        <v>59</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row>
    <row r="2" spans="1:35" ht="11.25" customHeight="1" x14ac:dyDescent="0.2">
      <c r="A2" s="945" t="s">
        <v>164</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row>
    <row r="3" spans="1:35"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row>
    <row r="4" spans="1:35" s="4" customFormat="1" ht="24" customHeight="1" thickTop="1" x14ac:dyDescent="0.3">
      <c r="A4" s="494" t="s">
        <v>1</v>
      </c>
      <c r="B4" s="947" t="s">
        <v>2</v>
      </c>
      <c r="C4" s="948" t="s">
        <v>3</v>
      </c>
      <c r="D4" s="871" t="s">
        <v>4</v>
      </c>
      <c r="E4" s="871"/>
      <c r="F4" s="872"/>
      <c r="G4" s="866" t="s">
        <v>5</v>
      </c>
      <c r="H4" s="866" t="s">
        <v>656</v>
      </c>
      <c r="I4" s="887"/>
      <c r="J4" s="887"/>
      <c r="K4" s="887"/>
      <c r="L4" s="887"/>
      <c r="M4" s="887"/>
      <c r="N4" s="887"/>
      <c r="O4" s="887"/>
      <c r="P4" s="887"/>
      <c r="Q4" s="887"/>
      <c r="R4" s="887"/>
      <c r="S4" s="887"/>
      <c r="T4" s="887"/>
      <c r="U4" s="887"/>
      <c r="V4" s="887"/>
      <c r="W4" s="887"/>
      <c r="X4" s="887"/>
      <c r="Y4" s="887"/>
      <c r="Z4" s="887"/>
      <c r="AA4" s="110"/>
      <c r="AB4" s="110"/>
      <c r="AC4" s="2"/>
      <c r="AD4" s="3"/>
      <c r="AE4" s="3"/>
      <c r="AF4" s="3"/>
      <c r="AG4" s="3"/>
      <c r="AI4" s="736"/>
    </row>
    <row r="5" spans="1:35" s="8" customFormat="1" ht="13.5" customHeight="1" x14ac:dyDescent="0.15">
      <c r="A5" s="10"/>
      <c r="B5" s="869"/>
      <c r="C5" s="949"/>
      <c r="D5" s="851" t="s">
        <v>7</v>
      </c>
      <c r="E5" s="852" t="s">
        <v>8</v>
      </c>
      <c r="F5" s="873"/>
      <c r="G5" s="874"/>
      <c r="H5" s="874"/>
      <c r="I5" s="951"/>
      <c r="J5" s="952"/>
      <c r="K5" s="953"/>
      <c r="L5" s="953"/>
      <c r="M5" s="953"/>
      <c r="N5" s="953"/>
      <c r="O5" s="953"/>
      <c r="P5" s="953"/>
      <c r="Q5" s="954"/>
      <c r="R5" s="955" t="s">
        <v>252</v>
      </c>
      <c r="S5" s="955"/>
      <c r="T5" s="955" t="s">
        <v>230</v>
      </c>
      <c r="U5" s="955"/>
      <c r="V5" s="643"/>
      <c r="W5" s="956" t="s">
        <v>238</v>
      </c>
      <c r="X5" s="956"/>
      <c r="Y5" s="957" t="s">
        <v>12</v>
      </c>
      <c r="Z5" s="957" t="s">
        <v>183</v>
      </c>
      <c r="AA5" s="960" t="s">
        <v>584</v>
      </c>
      <c r="AB5" s="961"/>
      <c r="AC5" s="644" t="s">
        <v>238</v>
      </c>
      <c r="AD5" s="838" t="s">
        <v>14</v>
      </c>
      <c r="AE5" s="842" t="s">
        <v>15</v>
      </c>
      <c r="AF5" s="7"/>
      <c r="AG5" s="7"/>
      <c r="AI5" s="737"/>
    </row>
    <row r="6" spans="1:35" s="8" customFormat="1" ht="13.5" customHeight="1" x14ac:dyDescent="0.15">
      <c r="A6" s="10"/>
      <c r="B6" s="869"/>
      <c r="C6" s="949"/>
      <c r="D6" s="867"/>
      <c r="E6" s="867"/>
      <c r="F6" s="973" t="s">
        <v>610</v>
      </c>
      <c r="G6" s="839"/>
      <c r="H6" s="839"/>
      <c r="I6" s="941" t="s">
        <v>699</v>
      </c>
      <c r="J6" s="949" t="s">
        <v>235</v>
      </c>
      <c r="K6" s="900" t="s">
        <v>234</v>
      </c>
      <c r="L6" s="949" t="s">
        <v>236</v>
      </c>
      <c r="M6" s="859" t="s">
        <v>237</v>
      </c>
      <c r="N6" s="859" t="s">
        <v>31</v>
      </c>
      <c r="O6" s="960" t="s">
        <v>549</v>
      </c>
      <c r="P6" s="971" t="s">
        <v>585</v>
      </c>
      <c r="Q6" s="972" t="s">
        <v>680</v>
      </c>
      <c r="R6" s="955"/>
      <c r="S6" s="955"/>
      <c r="T6" s="955"/>
      <c r="U6" s="955"/>
      <c r="V6" s="646"/>
      <c r="W6" s="937" t="s">
        <v>232</v>
      </c>
      <c r="X6" s="938"/>
      <c r="Y6" s="958"/>
      <c r="Z6" s="975"/>
      <c r="AA6" s="962"/>
      <c r="AB6" s="963"/>
      <c r="AC6" s="900" t="s">
        <v>586</v>
      </c>
      <c r="AD6" s="838"/>
      <c r="AE6" s="842"/>
      <c r="AF6" s="838" t="s">
        <v>25</v>
      </c>
      <c r="AG6" s="838" t="s">
        <v>26</v>
      </c>
      <c r="AI6" s="737"/>
    </row>
    <row r="7" spans="1:35" s="8" customFormat="1" ht="13.5" customHeight="1" x14ac:dyDescent="0.15">
      <c r="A7" s="10"/>
      <c r="B7" s="869"/>
      <c r="C7" s="949"/>
      <c r="D7" s="867"/>
      <c r="E7" s="867"/>
      <c r="F7" s="974"/>
      <c r="G7" s="839"/>
      <c r="H7" s="839"/>
      <c r="I7" s="900"/>
      <c r="J7" s="949"/>
      <c r="K7" s="900"/>
      <c r="L7" s="949"/>
      <c r="M7" s="859"/>
      <c r="N7" s="859"/>
      <c r="O7" s="949"/>
      <c r="P7" s="857"/>
      <c r="Q7" s="857"/>
      <c r="R7" s="915" t="s">
        <v>27</v>
      </c>
      <c r="S7" s="905" t="s">
        <v>28</v>
      </c>
      <c r="T7" s="856" t="s">
        <v>27</v>
      </c>
      <c r="U7" s="859" t="s">
        <v>28</v>
      </c>
      <c r="V7" s="859" t="s">
        <v>587</v>
      </c>
      <c r="W7" s="939"/>
      <c r="X7" s="940"/>
      <c r="Y7" s="958"/>
      <c r="Z7" s="975"/>
      <c r="AA7" s="957" t="s">
        <v>30</v>
      </c>
      <c r="AB7" s="964" t="s">
        <v>23</v>
      </c>
      <c r="AC7" s="900"/>
      <c r="AD7" s="838"/>
      <c r="AE7" s="842"/>
      <c r="AF7" s="970"/>
      <c r="AG7" s="838"/>
      <c r="AI7" s="737"/>
    </row>
    <row r="8" spans="1:35" s="8" customFormat="1" ht="13.5" customHeight="1" x14ac:dyDescent="0.2">
      <c r="A8" s="10"/>
      <c r="B8" s="869"/>
      <c r="C8" s="950"/>
      <c r="D8" s="11"/>
      <c r="E8" s="107"/>
      <c r="F8" s="4"/>
      <c r="G8" s="495"/>
      <c r="H8" s="495"/>
      <c r="I8" s="900"/>
      <c r="J8" s="949"/>
      <c r="K8" s="900"/>
      <c r="L8" s="949"/>
      <c r="M8" s="859"/>
      <c r="N8" s="859"/>
      <c r="O8" s="949"/>
      <c r="P8" s="857"/>
      <c r="Q8" s="857"/>
      <c r="R8" s="900"/>
      <c r="S8" s="908"/>
      <c r="T8" s="859"/>
      <c r="U8" s="859"/>
      <c r="V8" s="859"/>
      <c r="W8" s="851" t="s">
        <v>27</v>
      </c>
      <c r="X8" s="852" t="s">
        <v>33</v>
      </c>
      <c r="Y8" s="958"/>
      <c r="Z8" s="975"/>
      <c r="AA8" s="949"/>
      <c r="AB8" s="964"/>
      <c r="AC8" s="900"/>
      <c r="AD8" s="838"/>
      <c r="AE8" s="959"/>
      <c r="AF8" s="970"/>
      <c r="AG8" s="838"/>
      <c r="AI8" s="737"/>
    </row>
    <row r="9" spans="1:35" s="8" customFormat="1" ht="13.5" customHeight="1" x14ac:dyDescent="0.2">
      <c r="A9" s="10"/>
      <c r="B9" s="869"/>
      <c r="C9" s="950"/>
      <c r="D9" s="11"/>
      <c r="E9" s="107"/>
      <c r="F9" s="4"/>
      <c r="G9" s="495"/>
      <c r="H9" s="495"/>
      <c r="I9" s="900"/>
      <c r="J9" s="949"/>
      <c r="K9" s="900"/>
      <c r="L9" s="949"/>
      <c r="M9" s="859"/>
      <c r="N9" s="859"/>
      <c r="O9" s="949"/>
      <c r="P9" s="857"/>
      <c r="Q9" s="857"/>
      <c r="R9" s="900"/>
      <c r="S9" s="908"/>
      <c r="T9" s="859"/>
      <c r="U9" s="859"/>
      <c r="V9" s="859"/>
      <c r="W9" s="838"/>
      <c r="X9" s="853"/>
      <c r="Y9" s="958"/>
      <c r="Z9" s="975"/>
      <c r="AA9" s="949"/>
      <c r="AB9" s="949"/>
      <c r="AC9" s="900"/>
      <c r="AD9" s="838"/>
      <c r="AE9" s="959"/>
      <c r="AF9" s="7"/>
      <c r="AG9" s="7"/>
      <c r="AI9" s="737"/>
    </row>
    <row r="10" spans="1:35" s="15" customFormat="1" ht="13.5" customHeight="1" thickBot="1" x14ac:dyDescent="0.25">
      <c r="A10" s="13">
        <v>1</v>
      </c>
      <c r="B10" s="13">
        <v>2</v>
      </c>
      <c r="C10" s="13">
        <v>3</v>
      </c>
      <c r="D10" s="13">
        <v>4</v>
      </c>
      <c r="E10" s="13">
        <v>5</v>
      </c>
      <c r="F10" s="13">
        <v>6</v>
      </c>
      <c r="G10" s="13">
        <v>7</v>
      </c>
      <c r="H10" s="13"/>
      <c r="I10" s="13"/>
      <c r="J10" s="13">
        <v>9</v>
      </c>
      <c r="K10" s="13">
        <v>10</v>
      </c>
      <c r="L10" s="13">
        <v>11</v>
      </c>
      <c r="M10" s="13">
        <v>18</v>
      </c>
      <c r="N10" s="13">
        <v>12</v>
      </c>
      <c r="O10" s="13">
        <v>13</v>
      </c>
      <c r="P10" s="13">
        <v>14</v>
      </c>
      <c r="Q10" s="13">
        <v>15</v>
      </c>
      <c r="R10" s="13"/>
      <c r="S10" s="13"/>
      <c r="T10" s="13">
        <v>16</v>
      </c>
      <c r="U10" s="13">
        <v>17</v>
      </c>
      <c r="V10" s="13"/>
      <c r="W10" s="14">
        <v>18</v>
      </c>
      <c r="X10" s="14">
        <v>19</v>
      </c>
      <c r="Y10" s="13">
        <v>20</v>
      </c>
      <c r="Z10" s="13">
        <v>21</v>
      </c>
      <c r="AA10" s="13"/>
      <c r="AB10" s="13">
        <v>22</v>
      </c>
      <c r="AC10" s="13">
        <v>24</v>
      </c>
      <c r="AD10" s="13">
        <v>25</v>
      </c>
      <c r="AE10" s="13">
        <v>26</v>
      </c>
      <c r="AF10" s="13">
        <v>27</v>
      </c>
      <c r="AG10" s="13">
        <v>28</v>
      </c>
      <c r="AI10" s="738"/>
    </row>
    <row r="11" spans="1:35" s="15" customFormat="1" ht="18.75" customHeight="1" thickTop="1" x14ac:dyDescent="0.2">
      <c r="A11" s="222"/>
      <c r="B11" s="498" t="s">
        <v>432</v>
      </c>
      <c r="C11" s="208"/>
      <c r="D11" s="755"/>
      <c r="E11" s="756"/>
      <c r="F11" s="208"/>
      <c r="G11" s="208"/>
      <c r="H11" s="208"/>
      <c r="I11" s="208"/>
      <c r="J11" s="208"/>
      <c r="K11" s="208"/>
      <c r="L11" s="208"/>
      <c r="M11" s="208"/>
      <c r="N11" s="208"/>
      <c r="O11" s="208"/>
      <c r="P11" s="208"/>
      <c r="Q11" s="208"/>
      <c r="R11" s="208"/>
      <c r="S11" s="208"/>
      <c r="T11" s="208"/>
      <c r="U11" s="208"/>
      <c r="V11" s="208"/>
      <c r="W11" s="493"/>
      <c r="X11" s="493"/>
      <c r="Y11" s="208"/>
      <c r="Z11" s="208"/>
      <c r="AA11" s="208"/>
      <c r="AB11" s="208"/>
      <c r="AC11" s="208"/>
      <c r="AD11" s="208"/>
      <c r="AE11" s="502"/>
      <c r="AF11" s="499"/>
      <c r="AG11" s="500"/>
      <c r="AI11" s="738"/>
    </row>
    <row r="12" spans="1:35" ht="17.100000000000001" customHeight="1" thickBot="1" x14ac:dyDescent="0.25">
      <c r="A12" s="222" t="s">
        <v>38</v>
      </c>
      <c r="B12" s="44"/>
      <c r="C12" s="443" t="s">
        <v>684</v>
      </c>
      <c r="D12" s="935" t="s">
        <v>700</v>
      </c>
      <c r="E12" s="936"/>
      <c r="F12" s="56">
        <v>13474</v>
      </c>
      <c r="G12" s="59">
        <f>F12</f>
        <v>13474</v>
      </c>
      <c r="H12" s="54"/>
      <c r="I12" s="56">
        <v>2000</v>
      </c>
      <c r="J12" s="56"/>
      <c r="K12" s="56"/>
      <c r="L12" s="56"/>
      <c r="M12" s="56"/>
      <c r="N12" s="56"/>
      <c r="O12" s="56"/>
      <c r="P12" s="56"/>
      <c r="Q12" s="56"/>
      <c r="R12" s="56">
        <f>G12*0.02</f>
        <v>269.48</v>
      </c>
      <c r="S12" s="56">
        <f>G12*0.02</f>
        <v>269.48</v>
      </c>
      <c r="T12" s="56">
        <v>336.85</v>
      </c>
      <c r="U12" s="56">
        <v>336.85</v>
      </c>
      <c r="V12" s="56"/>
      <c r="W12" s="58">
        <f t="shared" ref="W12" si="0">F12*0.09</f>
        <v>1212.6599999999999</v>
      </c>
      <c r="X12" s="59">
        <f t="shared" ref="X12" si="1">F12*0.12</f>
        <v>1616.8799999999999</v>
      </c>
      <c r="Y12" s="56"/>
      <c r="Z12" s="56"/>
      <c r="AA12" s="56"/>
      <c r="AB12" s="56"/>
      <c r="AC12" s="58">
        <v>100</v>
      </c>
      <c r="AD12" s="58">
        <f>G12+I12-T12-W12-R12</f>
        <v>13655.01</v>
      </c>
      <c r="AE12" s="502" t="s">
        <v>38</v>
      </c>
      <c r="AF12" s="649"/>
      <c r="AG12" s="650"/>
    </row>
    <row r="13" spans="1:35" ht="17.100000000000001" customHeight="1" thickBot="1" x14ac:dyDescent="0.25">
      <c r="A13" s="222" t="s">
        <v>127</v>
      </c>
      <c r="B13" s="44"/>
      <c r="C13" s="209"/>
      <c r="D13" s="647"/>
      <c r="E13" s="648"/>
      <c r="F13" s="472">
        <f t="shared" ref="F13:AD13" si="2">SUM(F12:F12)</f>
        <v>13474</v>
      </c>
      <c r="G13" s="472">
        <f t="shared" si="2"/>
        <v>13474</v>
      </c>
      <c r="H13" s="472">
        <f t="shared" si="2"/>
        <v>0</v>
      </c>
      <c r="I13" s="472">
        <f t="shared" si="2"/>
        <v>2000</v>
      </c>
      <c r="J13" s="472">
        <f t="shared" si="2"/>
        <v>0</v>
      </c>
      <c r="K13" s="472">
        <f t="shared" si="2"/>
        <v>0</v>
      </c>
      <c r="L13" s="472">
        <f t="shared" si="2"/>
        <v>0</v>
      </c>
      <c r="M13" s="472">
        <f t="shared" si="2"/>
        <v>0</v>
      </c>
      <c r="N13" s="472">
        <f t="shared" si="2"/>
        <v>0</v>
      </c>
      <c r="O13" s="472">
        <f t="shared" si="2"/>
        <v>0</v>
      </c>
      <c r="P13" s="472">
        <f t="shared" si="2"/>
        <v>0</v>
      </c>
      <c r="Q13" s="472">
        <f t="shared" si="2"/>
        <v>0</v>
      </c>
      <c r="R13" s="472">
        <f t="shared" si="2"/>
        <v>269.48</v>
      </c>
      <c r="S13" s="472">
        <f t="shared" si="2"/>
        <v>269.48</v>
      </c>
      <c r="T13" s="472">
        <f t="shared" si="2"/>
        <v>336.85</v>
      </c>
      <c r="U13" s="472">
        <f t="shared" si="2"/>
        <v>336.85</v>
      </c>
      <c r="V13" s="472">
        <f t="shared" si="2"/>
        <v>0</v>
      </c>
      <c r="W13" s="472">
        <f t="shared" si="2"/>
        <v>1212.6599999999999</v>
      </c>
      <c r="X13" s="472">
        <f t="shared" si="2"/>
        <v>1616.8799999999999</v>
      </c>
      <c r="Y13" s="472">
        <f t="shared" si="2"/>
        <v>0</v>
      </c>
      <c r="Z13" s="472">
        <f t="shared" si="2"/>
        <v>0</v>
      </c>
      <c r="AA13" s="472">
        <f t="shared" si="2"/>
        <v>0</v>
      </c>
      <c r="AB13" s="472">
        <f t="shared" si="2"/>
        <v>0</v>
      </c>
      <c r="AC13" s="472">
        <f t="shared" si="2"/>
        <v>100</v>
      </c>
      <c r="AD13" s="472">
        <f t="shared" si="2"/>
        <v>13655.01</v>
      </c>
      <c r="AE13" s="502" t="s">
        <v>127</v>
      </c>
      <c r="AF13" s="649"/>
      <c r="AG13" s="650"/>
    </row>
    <row r="14" spans="1:35" ht="17.100000000000001" customHeight="1" thickTop="1" x14ac:dyDescent="0.2">
      <c r="A14" s="222" t="s">
        <v>128</v>
      </c>
      <c r="B14" s="194"/>
      <c r="C14" s="209"/>
      <c r="D14" s="647"/>
      <c r="E14" s="648"/>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502" t="s">
        <v>128</v>
      </c>
      <c r="AF14" s="711"/>
      <c r="AG14" s="650"/>
    </row>
    <row r="15" spans="1:35" ht="15.75" customHeight="1" x14ac:dyDescent="0.2">
      <c r="A15" s="222"/>
      <c r="B15" s="30"/>
      <c r="C15" s="709"/>
      <c r="D15" s="935"/>
      <c r="E15" s="936"/>
      <c r="F15" s="54"/>
      <c r="G15" s="54"/>
      <c r="H15" s="54"/>
      <c r="I15" s="56"/>
      <c r="J15" s="754"/>
      <c r="K15" s="56"/>
      <c r="L15" s="56"/>
      <c r="M15" s="56"/>
      <c r="N15" s="56"/>
      <c r="O15" s="56"/>
      <c r="P15" s="56"/>
      <c r="Q15" s="56"/>
      <c r="R15" s="56"/>
      <c r="S15" s="56"/>
      <c r="T15" s="56"/>
      <c r="U15" s="56"/>
      <c r="V15" s="56"/>
      <c r="W15" s="56"/>
      <c r="X15" s="54"/>
      <c r="Y15" s="56"/>
      <c r="Z15" s="56"/>
      <c r="AA15" s="56"/>
      <c r="AB15" s="56"/>
      <c r="AC15" s="56"/>
      <c r="AD15" s="56"/>
      <c r="AE15" s="502"/>
      <c r="AF15" s="506"/>
      <c r="AG15" s="505"/>
    </row>
    <row r="16" spans="1:35" ht="15.75" customHeight="1" x14ac:dyDescent="0.2">
      <c r="A16" s="222"/>
      <c r="B16" s="30"/>
      <c r="C16" s="210"/>
      <c r="D16" s="712"/>
      <c r="E16" s="43"/>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02"/>
      <c r="AF16" s="506"/>
      <c r="AG16" s="505"/>
    </row>
    <row r="17" spans="1:33" ht="15.75" customHeight="1" x14ac:dyDescent="0.2">
      <c r="A17" s="222"/>
      <c r="B17" s="194"/>
      <c r="C17" s="210"/>
      <c r="D17" s="712"/>
      <c r="E17" s="43"/>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02"/>
      <c r="AF17" s="506"/>
      <c r="AG17" s="505"/>
    </row>
    <row r="18" spans="1:33" ht="15.75" customHeight="1" x14ac:dyDescent="0.2">
      <c r="A18" s="222"/>
      <c r="B18" s="30"/>
      <c r="C18" s="210"/>
      <c r="D18" s="935"/>
      <c r="E18" s="936"/>
      <c r="F18" s="54"/>
      <c r="G18" s="54"/>
      <c r="H18" s="54"/>
      <c r="I18" s="54"/>
      <c r="J18" s="54"/>
      <c r="K18" s="54"/>
      <c r="L18" s="54"/>
      <c r="M18" s="54"/>
      <c r="N18" s="54"/>
      <c r="O18" s="54"/>
      <c r="P18" s="54"/>
      <c r="Q18" s="54"/>
      <c r="R18" s="54"/>
      <c r="S18" s="54"/>
      <c r="T18" s="54"/>
      <c r="U18" s="54"/>
      <c r="V18" s="54"/>
      <c r="W18" s="54"/>
      <c r="X18" s="54"/>
      <c r="Y18" s="54"/>
      <c r="Z18" s="54"/>
      <c r="AA18" s="54"/>
      <c r="AB18" s="54"/>
      <c r="AC18" s="54"/>
      <c r="AD18" s="56"/>
      <c r="AE18" s="502"/>
      <c r="AF18" s="506"/>
      <c r="AG18" s="505"/>
    </row>
    <row r="19" spans="1:33" ht="15.75" customHeight="1" x14ac:dyDescent="0.2">
      <c r="A19" s="222"/>
      <c r="B19" s="30"/>
      <c r="C19" s="210"/>
      <c r="D19" s="712"/>
      <c r="E19" s="43"/>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02"/>
      <c r="AF19" s="506"/>
      <c r="AG19" s="505"/>
    </row>
    <row r="20" spans="1:33" ht="17.100000000000001" customHeight="1" x14ac:dyDescent="0.2">
      <c r="A20" s="222"/>
      <c r="B20" s="194"/>
      <c r="C20" s="210"/>
      <c r="D20" s="576"/>
      <c r="E20" s="43"/>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02"/>
      <c r="AF20" s="506"/>
      <c r="AG20" s="505"/>
    </row>
    <row r="21" spans="1:33" ht="17.100000000000001" customHeight="1" x14ac:dyDescent="0.2">
      <c r="A21" s="222"/>
      <c r="B21" s="44"/>
      <c r="C21" s="210"/>
      <c r="D21" s="935"/>
      <c r="E21" s="936"/>
      <c r="F21" s="54"/>
      <c r="G21" s="54"/>
      <c r="H21" s="54"/>
      <c r="I21" s="56"/>
      <c r="J21" s="56"/>
      <c r="K21" s="56"/>
      <c r="L21" s="56"/>
      <c r="M21" s="56"/>
      <c r="N21" s="56"/>
      <c r="O21" s="56"/>
      <c r="P21" s="56"/>
      <c r="Q21" s="56"/>
      <c r="R21" s="56"/>
      <c r="S21" s="56"/>
      <c r="T21" s="56"/>
      <c r="U21" s="56"/>
      <c r="V21" s="56"/>
      <c r="W21" s="56"/>
      <c r="X21" s="54"/>
      <c r="Y21" s="56"/>
      <c r="Z21" s="56"/>
      <c r="AA21" s="56"/>
      <c r="AB21" s="56"/>
      <c r="AC21" s="56"/>
      <c r="AD21" s="56"/>
      <c r="AE21" s="502"/>
      <c r="AF21" s="508"/>
      <c r="AG21" s="505"/>
    </row>
    <row r="22" spans="1:33" ht="16.5" customHeight="1" x14ac:dyDescent="0.2">
      <c r="A22" s="222"/>
      <c r="B22" s="30"/>
      <c r="C22" s="210"/>
      <c r="D22" s="576"/>
      <c r="E22" s="43"/>
      <c r="F22" s="54"/>
      <c r="G22" s="54"/>
      <c r="H22" s="54"/>
      <c r="I22" s="56"/>
      <c r="J22" s="56"/>
      <c r="K22" s="56"/>
      <c r="L22" s="56"/>
      <c r="M22" s="56"/>
      <c r="N22" s="56"/>
      <c r="O22" s="56"/>
      <c r="P22" s="56"/>
      <c r="Q22" s="56"/>
      <c r="R22" s="56"/>
      <c r="S22" s="56"/>
      <c r="T22" s="56"/>
      <c r="U22" s="56"/>
      <c r="V22" s="56"/>
      <c r="W22" s="56"/>
      <c r="X22" s="54"/>
      <c r="Y22" s="56"/>
      <c r="Z22" s="56"/>
      <c r="AA22" s="56"/>
      <c r="AB22" s="56"/>
      <c r="AC22" s="56"/>
      <c r="AD22" s="56"/>
      <c r="AE22" s="502"/>
      <c r="AF22" s="508"/>
      <c r="AG22" s="505"/>
    </row>
    <row r="23" spans="1:33" ht="12.75" x14ac:dyDescent="0.2">
      <c r="A23" s="222"/>
      <c r="B23" s="30"/>
      <c r="C23" s="210"/>
      <c r="D23" s="445"/>
      <c r="E23" s="422"/>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02"/>
      <c r="AF23" s="204"/>
      <c r="AG23" s="505"/>
    </row>
    <row r="24" spans="1:33" ht="15" customHeight="1" x14ac:dyDescent="0.2">
      <c r="A24" s="222"/>
      <c r="B24" s="194"/>
      <c r="C24" s="404"/>
      <c r="D24" s="511"/>
      <c r="E24" s="429"/>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02"/>
      <c r="AF24" s="506"/>
      <c r="AG24" s="505"/>
    </row>
    <row r="25" spans="1:33" ht="15" customHeight="1" x14ac:dyDescent="0.2">
      <c r="A25" s="222"/>
      <c r="B25" s="30"/>
      <c r="C25" s="404"/>
      <c r="D25" s="918"/>
      <c r="E25" s="1074"/>
      <c r="F25" s="56"/>
      <c r="G25" s="54"/>
      <c r="H25" s="54"/>
      <c r="I25" s="56"/>
      <c r="J25" s="56"/>
      <c r="K25" s="56"/>
      <c r="L25" s="56"/>
      <c r="M25" s="56"/>
      <c r="N25" s="56"/>
      <c r="O25" s="56"/>
      <c r="P25" s="56"/>
      <c r="Q25" s="56"/>
      <c r="R25" s="56"/>
      <c r="S25" s="56"/>
      <c r="T25" s="56"/>
      <c r="U25" s="56"/>
      <c r="V25" s="56"/>
      <c r="W25" s="56"/>
      <c r="X25" s="54"/>
      <c r="Y25" s="56"/>
      <c r="Z25" s="56"/>
      <c r="AA25" s="56"/>
      <c r="AB25" s="56"/>
      <c r="AC25" s="56"/>
      <c r="AD25" s="56"/>
      <c r="AE25" s="502"/>
      <c r="AF25" s="506"/>
      <c r="AG25" s="505"/>
    </row>
    <row r="26" spans="1:33" ht="15" customHeight="1" x14ac:dyDescent="0.2">
      <c r="A26" s="222"/>
      <c r="B26" s="30"/>
      <c r="C26" s="404"/>
      <c r="D26" s="712"/>
      <c r="E26" s="43"/>
      <c r="F26" s="56"/>
      <c r="G26" s="54"/>
      <c r="H26" s="54"/>
      <c r="I26" s="56"/>
      <c r="J26" s="56"/>
      <c r="K26" s="56"/>
      <c r="L26" s="56"/>
      <c r="M26" s="56"/>
      <c r="N26" s="56"/>
      <c r="O26" s="56"/>
      <c r="P26" s="56"/>
      <c r="Q26" s="56"/>
      <c r="R26" s="56"/>
      <c r="S26" s="56"/>
      <c r="T26" s="56"/>
      <c r="U26" s="56"/>
      <c r="V26" s="56"/>
      <c r="W26" s="56"/>
      <c r="X26" s="54"/>
      <c r="Y26" s="56"/>
      <c r="Z26" s="56"/>
      <c r="AA26" s="56"/>
      <c r="AB26" s="56"/>
      <c r="AC26" s="56"/>
      <c r="AD26" s="56"/>
      <c r="AE26" s="502"/>
      <c r="AF26" s="506"/>
      <c r="AG26" s="505"/>
    </row>
    <row r="27" spans="1:33" ht="12.75" customHeight="1" x14ac:dyDescent="0.2">
      <c r="A27" s="222"/>
      <c r="B27" s="30"/>
      <c r="C27" s="210"/>
      <c r="D27" s="712"/>
      <c r="E27" s="43"/>
      <c r="F27" s="54"/>
      <c r="G27" s="54"/>
      <c r="H27" s="54"/>
      <c r="I27" s="56"/>
      <c r="J27" s="56"/>
      <c r="K27" s="56"/>
      <c r="L27" s="56"/>
      <c r="M27" s="56"/>
      <c r="N27" s="56"/>
      <c r="O27" s="56"/>
      <c r="P27" s="56"/>
      <c r="Q27" s="56"/>
      <c r="R27" s="56"/>
      <c r="S27" s="56"/>
      <c r="T27" s="56"/>
      <c r="U27" s="56"/>
      <c r="V27" s="56"/>
      <c r="W27" s="56"/>
      <c r="X27" s="54"/>
      <c r="Y27" s="56"/>
      <c r="Z27" s="56"/>
      <c r="AA27" s="56"/>
      <c r="AB27" s="56"/>
      <c r="AC27" s="56"/>
      <c r="AD27" s="56"/>
      <c r="AE27" s="502"/>
      <c r="AF27" s="506"/>
      <c r="AG27" s="505"/>
    </row>
    <row r="28" spans="1:33" ht="12.75" x14ac:dyDescent="0.2">
      <c r="A28" s="222"/>
      <c r="B28" s="30"/>
      <c r="C28" s="210"/>
      <c r="D28" s="712"/>
      <c r="E28" s="43"/>
      <c r="F28" s="54"/>
      <c r="G28" s="54"/>
      <c r="H28" s="54"/>
      <c r="I28" s="56"/>
      <c r="J28" s="56"/>
      <c r="K28" s="56"/>
      <c r="L28" s="56"/>
      <c r="M28" s="56"/>
      <c r="N28" s="56"/>
      <c r="O28" s="56"/>
      <c r="P28" s="56"/>
      <c r="Q28" s="56"/>
      <c r="R28" s="56"/>
      <c r="S28" s="56"/>
      <c r="T28" s="56"/>
      <c r="U28" s="56"/>
      <c r="V28" s="56"/>
      <c r="W28" s="56"/>
      <c r="X28" s="54"/>
      <c r="Y28" s="56"/>
      <c r="Z28" s="56"/>
      <c r="AA28" s="56"/>
      <c r="AB28" s="56"/>
      <c r="AC28" s="56"/>
      <c r="AD28" s="56"/>
      <c r="AE28" s="502"/>
      <c r="AF28" s="506"/>
      <c r="AG28" s="505"/>
    </row>
    <row r="29" spans="1:33" ht="12.75" x14ac:dyDescent="0.2">
      <c r="A29" s="222"/>
      <c r="B29" s="30"/>
      <c r="C29" s="210"/>
      <c r="D29" s="712"/>
      <c r="E29" s="43"/>
      <c r="F29" s="54"/>
      <c r="G29" s="54"/>
      <c r="H29" s="54"/>
      <c r="I29" s="56"/>
      <c r="J29" s="56"/>
      <c r="K29" s="56"/>
      <c r="L29" s="56"/>
      <c r="M29" s="56"/>
      <c r="N29" s="56"/>
      <c r="O29" s="56"/>
      <c r="P29" s="56"/>
      <c r="Q29" s="56"/>
      <c r="R29" s="56"/>
      <c r="S29" s="56"/>
      <c r="T29" s="56"/>
      <c r="U29" s="56"/>
      <c r="V29" s="56"/>
      <c r="W29" s="56"/>
      <c r="X29" s="54"/>
      <c r="Y29" s="56"/>
      <c r="Z29" s="56"/>
      <c r="AA29" s="56"/>
      <c r="AB29" s="56"/>
      <c r="AC29" s="56"/>
      <c r="AD29" s="56"/>
      <c r="AE29" s="502"/>
      <c r="AF29" s="506"/>
      <c r="AG29" s="505"/>
    </row>
    <row r="30" spans="1:33" ht="12.75" x14ac:dyDescent="0.2">
      <c r="A30" s="222"/>
      <c r="B30" s="30"/>
      <c r="C30" s="210"/>
      <c r="D30" s="712"/>
      <c r="E30" s="43"/>
      <c r="F30" s="54"/>
      <c r="G30" s="54"/>
      <c r="H30" s="54"/>
      <c r="I30" s="56"/>
      <c r="J30" s="56"/>
      <c r="K30" s="56"/>
      <c r="L30" s="56"/>
      <c r="M30" s="56"/>
      <c r="N30" s="56"/>
      <c r="O30" s="56"/>
      <c r="P30" s="56"/>
      <c r="Q30" s="56"/>
      <c r="R30" s="56"/>
      <c r="S30" s="56"/>
      <c r="T30" s="56"/>
      <c r="U30" s="56"/>
      <c r="V30" s="56"/>
      <c r="W30" s="56"/>
      <c r="X30" s="54"/>
      <c r="Y30" s="56"/>
      <c r="Z30" s="56"/>
      <c r="AA30" s="56"/>
      <c r="AB30" s="56"/>
      <c r="AC30" s="56"/>
      <c r="AD30" s="56"/>
      <c r="AE30" s="502"/>
      <c r="AF30" s="506"/>
      <c r="AG30" s="505"/>
    </row>
    <row r="31" spans="1:33" ht="12.75" x14ac:dyDescent="0.2">
      <c r="A31" s="222"/>
      <c r="B31" s="30"/>
      <c r="C31" s="210"/>
      <c r="D31" s="445"/>
      <c r="E31" s="422"/>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02"/>
      <c r="AF31" s="506"/>
      <c r="AG31" s="505"/>
    </row>
    <row r="32" spans="1:33" ht="13.5" customHeight="1" x14ac:dyDescent="0.2">
      <c r="A32" s="222"/>
      <c r="B32" s="194"/>
      <c r="C32" s="210"/>
      <c r="D32" s="445"/>
      <c r="E32" s="422"/>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502"/>
      <c r="AF32" s="513"/>
      <c r="AG32" s="505"/>
    </row>
    <row r="33" spans="1:35" ht="13.5" thickBot="1" x14ac:dyDescent="0.25">
      <c r="A33" s="222"/>
      <c r="B33" s="44"/>
      <c r="C33" s="209"/>
      <c r="D33" s="712"/>
      <c r="E33" s="43"/>
      <c r="F33" s="60"/>
      <c r="G33" s="470"/>
      <c r="H33" s="470"/>
      <c r="I33" s="60"/>
      <c r="J33" s="60"/>
      <c r="K33" s="60"/>
      <c r="L33" s="60"/>
      <c r="M33" s="60"/>
      <c r="N33" s="60"/>
      <c r="O33" s="60"/>
      <c r="P33" s="60"/>
      <c r="Q33" s="60"/>
      <c r="R33" s="60"/>
      <c r="S33" s="60"/>
      <c r="T33" s="60"/>
      <c r="U33" s="60"/>
      <c r="V33" s="60"/>
      <c r="W33" s="60"/>
      <c r="X33" s="470"/>
      <c r="Y33" s="60"/>
      <c r="Z33" s="60"/>
      <c r="AA33" s="60"/>
      <c r="AB33" s="60"/>
      <c r="AC33" s="60"/>
      <c r="AD33" s="60"/>
      <c r="AE33" s="502"/>
      <c r="AF33" s="508"/>
      <c r="AG33" s="505"/>
    </row>
    <row r="34" spans="1:35" s="201" customFormat="1" ht="13.5" thickBot="1" x14ac:dyDescent="0.25">
      <c r="A34" s="222" t="s">
        <v>129</v>
      </c>
      <c r="B34" s="44"/>
      <c r="C34" s="32"/>
      <c r="D34" s="445"/>
      <c r="E34" s="422"/>
      <c r="F34" s="64">
        <f t="shared" ref="F34:AD34" si="3">SUM(F33:F33)</f>
        <v>0</v>
      </c>
      <c r="G34" s="64">
        <f t="shared" si="3"/>
        <v>0</v>
      </c>
      <c r="H34" s="64">
        <f t="shared" si="3"/>
        <v>0</v>
      </c>
      <c r="I34" s="64">
        <f t="shared" si="3"/>
        <v>0</v>
      </c>
      <c r="J34" s="64">
        <f t="shared" si="3"/>
        <v>0</v>
      </c>
      <c r="K34" s="64">
        <f t="shared" si="3"/>
        <v>0</v>
      </c>
      <c r="L34" s="64">
        <f t="shared" si="3"/>
        <v>0</v>
      </c>
      <c r="M34" s="64">
        <f t="shared" si="3"/>
        <v>0</v>
      </c>
      <c r="N34" s="64">
        <f t="shared" si="3"/>
        <v>0</v>
      </c>
      <c r="O34" s="64">
        <f t="shared" si="3"/>
        <v>0</v>
      </c>
      <c r="P34" s="64">
        <f t="shared" si="3"/>
        <v>0</v>
      </c>
      <c r="Q34" s="64">
        <f t="shared" si="3"/>
        <v>0</v>
      </c>
      <c r="R34" s="64">
        <f t="shared" si="3"/>
        <v>0</v>
      </c>
      <c r="S34" s="64">
        <f t="shared" si="3"/>
        <v>0</v>
      </c>
      <c r="T34" s="64">
        <f t="shared" si="3"/>
        <v>0</v>
      </c>
      <c r="U34" s="64">
        <f t="shared" si="3"/>
        <v>0</v>
      </c>
      <c r="V34" s="64">
        <f t="shared" si="3"/>
        <v>0</v>
      </c>
      <c r="W34" s="64">
        <f t="shared" si="3"/>
        <v>0</v>
      </c>
      <c r="X34" s="64">
        <f t="shared" si="3"/>
        <v>0</v>
      </c>
      <c r="Y34" s="64">
        <f t="shared" si="3"/>
        <v>0</v>
      </c>
      <c r="Z34" s="64">
        <f t="shared" si="3"/>
        <v>0</v>
      </c>
      <c r="AA34" s="64">
        <f t="shared" si="3"/>
        <v>0</v>
      </c>
      <c r="AB34" s="64">
        <f t="shared" si="3"/>
        <v>0</v>
      </c>
      <c r="AC34" s="64">
        <f t="shared" si="3"/>
        <v>0</v>
      </c>
      <c r="AD34" s="64">
        <f t="shared" si="3"/>
        <v>0</v>
      </c>
      <c r="AE34" s="502" t="s">
        <v>129</v>
      </c>
      <c r="AF34" s="204"/>
      <c r="AG34" s="505"/>
      <c r="AI34" s="739"/>
    </row>
    <row r="35" spans="1:35" s="201" customFormat="1" ht="14.25" thickTop="1" thickBot="1" x14ac:dyDescent="0.25">
      <c r="A35" s="48" t="s">
        <v>130</v>
      </c>
      <c r="B35" s="31" t="s">
        <v>373</v>
      </c>
      <c r="C35" s="34"/>
      <c r="D35" s="580"/>
      <c r="E35" s="652"/>
      <c r="F35" s="478">
        <f>F13</f>
        <v>13474</v>
      </c>
      <c r="G35" s="478">
        <f t="shared" ref="G35:AD35" si="4">G13</f>
        <v>13474</v>
      </c>
      <c r="H35" s="478">
        <f t="shared" si="4"/>
        <v>0</v>
      </c>
      <c r="I35" s="478">
        <f t="shared" si="4"/>
        <v>2000</v>
      </c>
      <c r="J35" s="478">
        <f t="shared" si="4"/>
        <v>0</v>
      </c>
      <c r="K35" s="478">
        <f t="shared" si="4"/>
        <v>0</v>
      </c>
      <c r="L35" s="478">
        <f t="shared" si="4"/>
        <v>0</v>
      </c>
      <c r="M35" s="478">
        <f t="shared" si="4"/>
        <v>0</v>
      </c>
      <c r="N35" s="478">
        <f t="shared" si="4"/>
        <v>0</v>
      </c>
      <c r="O35" s="478">
        <f t="shared" si="4"/>
        <v>0</v>
      </c>
      <c r="P35" s="478">
        <f t="shared" si="4"/>
        <v>0</v>
      </c>
      <c r="Q35" s="478">
        <f t="shared" si="4"/>
        <v>0</v>
      </c>
      <c r="R35" s="478">
        <f t="shared" si="4"/>
        <v>269.48</v>
      </c>
      <c r="S35" s="478">
        <f t="shared" si="4"/>
        <v>269.48</v>
      </c>
      <c r="T35" s="478">
        <f t="shared" si="4"/>
        <v>336.85</v>
      </c>
      <c r="U35" s="478">
        <f t="shared" si="4"/>
        <v>336.85</v>
      </c>
      <c r="V35" s="478">
        <f t="shared" si="4"/>
        <v>0</v>
      </c>
      <c r="W35" s="478">
        <f t="shared" si="4"/>
        <v>1212.6599999999999</v>
      </c>
      <c r="X35" s="478">
        <f t="shared" si="4"/>
        <v>1616.8799999999999</v>
      </c>
      <c r="Y35" s="478">
        <f t="shared" si="4"/>
        <v>0</v>
      </c>
      <c r="Z35" s="478">
        <f t="shared" si="4"/>
        <v>0</v>
      </c>
      <c r="AA35" s="478">
        <f t="shared" si="4"/>
        <v>0</v>
      </c>
      <c r="AB35" s="478">
        <f t="shared" si="4"/>
        <v>0</v>
      </c>
      <c r="AC35" s="478">
        <f t="shared" si="4"/>
        <v>100</v>
      </c>
      <c r="AD35" s="478">
        <f t="shared" si="4"/>
        <v>13655.01</v>
      </c>
      <c r="AE35" s="563" t="s">
        <v>130</v>
      </c>
      <c r="AF35" s="515"/>
      <c r="AG35" s="516"/>
      <c r="AI35" s="739"/>
    </row>
    <row r="36" spans="1:35" ht="12" thickTop="1" x14ac:dyDescent="0.2">
      <c r="A36" s="889" t="s">
        <v>49</v>
      </c>
      <c r="B36" s="889"/>
      <c r="C36" s="889"/>
      <c r="D36" s="889"/>
      <c r="E36" s="889"/>
      <c r="F36" s="889"/>
      <c r="AC36" s="889" t="s">
        <v>48</v>
      </c>
      <c r="AD36" s="889"/>
      <c r="AE36" s="889"/>
      <c r="AF36" s="889"/>
    </row>
    <row r="37" spans="1:35" x14ac:dyDescent="0.2">
      <c r="A37" s="889"/>
      <c r="B37" s="889"/>
      <c r="C37" s="889"/>
      <c r="D37" s="889"/>
      <c r="E37" s="889"/>
      <c r="F37" s="889"/>
      <c r="T37" s="1" t="s">
        <v>50</v>
      </c>
      <c r="Y37" s="35"/>
      <c r="AC37" s="889"/>
      <c r="AD37" s="889"/>
      <c r="AE37" s="889"/>
      <c r="AF37" s="889"/>
    </row>
    <row r="38" spans="1:35" ht="12.75" x14ac:dyDescent="0.2">
      <c r="A38" s="889"/>
      <c r="B38" s="889"/>
      <c r="C38" s="889"/>
      <c r="D38" s="889"/>
      <c r="E38" s="889"/>
      <c r="F38" s="889"/>
      <c r="I38" s="35"/>
      <c r="J38" s="488"/>
      <c r="T38" s="921"/>
      <c r="U38" s="921"/>
      <c r="V38" s="625"/>
      <c r="Y38" s="35"/>
      <c r="AC38" s="889"/>
      <c r="AD38" s="889"/>
      <c r="AE38" s="889"/>
      <c r="AF38" s="889"/>
    </row>
    <row r="39" spans="1:35" ht="12.75" x14ac:dyDescent="0.2">
      <c r="J39" s="88"/>
      <c r="Q39" s="35"/>
      <c r="R39" s="35"/>
      <c r="S39" s="35"/>
      <c r="T39" s="824"/>
      <c r="U39" s="824"/>
      <c r="V39" s="306"/>
      <c r="Y39" s="35"/>
      <c r="AC39" s="966"/>
      <c r="AD39" s="966"/>
      <c r="AE39" s="966"/>
      <c r="AF39" s="966"/>
    </row>
    <row r="40" spans="1:35" ht="15" x14ac:dyDescent="0.25">
      <c r="F40" s="615" t="s">
        <v>673</v>
      </c>
      <c r="G40" s="522"/>
      <c r="H40" s="522"/>
      <c r="J40" s="88"/>
      <c r="Q40" s="35"/>
      <c r="R40" s="35"/>
      <c r="S40" s="35"/>
      <c r="T40" s="968" t="s">
        <v>673</v>
      </c>
      <c r="U40" s="968"/>
      <c r="V40" s="968"/>
      <c r="W40" s="968"/>
      <c r="X40" s="969"/>
      <c r="Y40" s="35"/>
      <c r="AC40" s="967"/>
      <c r="AD40" s="967"/>
      <c r="AE40" s="967"/>
      <c r="AF40" s="967"/>
    </row>
    <row r="41" spans="1:35" ht="12.75" x14ac:dyDescent="0.2">
      <c r="E41" s="201"/>
      <c r="F41" s="201" t="s">
        <v>649</v>
      </c>
      <c r="P41" s="88"/>
      <c r="T41" s="829" t="s">
        <v>79</v>
      </c>
      <c r="U41" s="829"/>
      <c r="V41" s="829"/>
      <c r="W41" s="829"/>
      <c r="X41" s="967"/>
      <c r="AC41" s="967"/>
      <c r="AD41" s="967"/>
      <c r="AE41" s="967"/>
      <c r="AF41" s="967"/>
    </row>
    <row r="42" spans="1:35" ht="12.75" x14ac:dyDescent="0.2">
      <c r="T42" s="824" t="s">
        <v>51</v>
      </c>
      <c r="U42" s="824"/>
      <c r="V42" s="824"/>
      <c r="W42" s="824"/>
      <c r="X42" s="824"/>
      <c r="AC42" s="967"/>
      <c r="AD42" s="967"/>
      <c r="AE42" s="967"/>
      <c r="AF42" s="967"/>
    </row>
    <row r="43" spans="1:35" ht="12.75" x14ac:dyDescent="0.2">
      <c r="P43" s="88"/>
      <c r="AC43" s="967"/>
      <c r="AD43" s="967"/>
      <c r="AE43" s="967"/>
      <c r="AF43" s="967"/>
    </row>
    <row r="44" spans="1:35" ht="12.75" x14ac:dyDescent="0.2">
      <c r="A44" s="17" t="s">
        <v>52</v>
      </c>
      <c r="K44" s="201"/>
      <c r="P44" s="88"/>
      <c r="AC44" s="523"/>
      <c r="AD44" s="523" t="s">
        <v>111</v>
      </c>
      <c r="AE44" s="523"/>
    </row>
    <row r="45" spans="1:35" ht="12.75" x14ac:dyDescent="0.2">
      <c r="P45" s="201"/>
      <c r="Y45" s="35"/>
      <c r="AC45" s="524"/>
      <c r="AD45" s="524" t="s">
        <v>105</v>
      </c>
      <c r="AE45" s="524"/>
    </row>
    <row r="46" spans="1:35" x14ac:dyDescent="0.2">
      <c r="E46" s="1" t="s">
        <v>53</v>
      </c>
      <c r="AC46" s="524"/>
      <c r="AD46" s="524"/>
      <c r="AE46" s="524"/>
      <c r="AF46" s="524"/>
    </row>
    <row r="47" spans="1:35" x14ac:dyDescent="0.2">
      <c r="AC47" s="888" t="s">
        <v>55</v>
      </c>
      <c r="AD47" s="888"/>
      <c r="AE47" s="888"/>
      <c r="AF47" s="888"/>
    </row>
    <row r="48" spans="1:35" x14ac:dyDescent="0.2">
      <c r="A48" s="17" t="s">
        <v>54</v>
      </c>
      <c r="AC48" s="888"/>
      <c r="AD48" s="888"/>
      <c r="AE48" s="888"/>
      <c r="AF48" s="888"/>
    </row>
    <row r="49" spans="3:32" x14ac:dyDescent="0.2">
      <c r="AC49" s="888"/>
      <c r="AD49" s="888"/>
      <c r="AE49" s="888"/>
      <c r="AF49" s="888"/>
    </row>
    <row r="50" spans="3:32" x14ac:dyDescent="0.2">
      <c r="C50" s="1" t="s">
        <v>56</v>
      </c>
      <c r="E50" s="1" t="s">
        <v>57</v>
      </c>
      <c r="AC50" s="965"/>
      <c r="AD50" s="965"/>
      <c r="AE50" s="965"/>
      <c r="AF50" s="965"/>
    </row>
    <row r="51" spans="3:32" x14ac:dyDescent="0.2">
      <c r="C51" s="105" t="s">
        <v>58</v>
      </c>
      <c r="AC51" s="965"/>
      <c r="AD51" s="965"/>
      <c r="AE51" s="965"/>
      <c r="AF51" s="965"/>
    </row>
    <row r="52" spans="3:32" x14ac:dyDescent="0.2">
      <c r="AC52" s="965"/>
      <c r="AD52" s="965"/>
      <c r="AE52" s="965"/>
      <c r="AF52" s="965"/>
    </row>
    <row r="53" spans="3:32" x14ac:dyDescent="0.2">
      <c r="AC53" s="525"/>
      <c r="AD53" s="525" t="s">
        <v>184</v>
      </c>
      <c r="AE53" s="653"/>
      <c r="AF53" s="525"/>
    </row>
    <row r="54" spans="3:32" x14ac:dyDescent="0.2">
      <c r="D54" s="105"/>
      <c r="E54" s="105"/>
      <c r="AD54" s="1" t="s">
        <v>620</v>
      </c>
    </row>
    <row r="65" spans="26:27" x14ac:dyDescent="0.2">
      <c r="Z65" s="35"/>
      <c r="AA65" s="35"/>
    </row>
  </sheetData>
  <mergeCells count="56">
    <mergeCell ref="A1:AG1"/>
    <mergeCell ref="A2:AG3"/>
    <mergeCell ref="B4:B9"/>
    <mergeCell ref="C4:C9"/>
    <mergeCell ref="D4:E4"/>
    <mergeCell ref="F4:F5"/>
    <mergeCell ref="G4:G7"/>
    <mergeCell ref="H4:H7"/>
    <mergeCell ref="I4:Z4"/>
    <mergeCell ref="D5:D7"/>
    <mergeCell ref="Z5:Z9"/>
    <mergeCell ref="O6:O9"/>
    <mergeCell ref="P6:P9"/>
    <mergeCell ref="Q6:Q9"/>
    <mergeCell ref="W6:X7"/>
    <mergeCell ref="F6:F7"/>
    <mergeCell ref="AG6:AG8"/>
    <mergeCell ref="T7:T9"/>
    <mergeCell ref="U7:U9"/>
    <mergeCell ref="V7:V9"/>
    <mergeCell ref="AA7:AA9"/>
    <mergeCell ref="AB7:AB9"/>
    <mergeCell ref="AA5:AB6"/>
    <mergeCell ref="AD5:AD9"/>
    <mergeCell ref="AE5:AE9"/>
    <mergeCell ref="T5:U6"/>
    <mergeCell ref="W5:X5"/>
    <mergeCell ref="Y5:Y9"/>
    <mergeCell ref="AC6:AC9"/>
    <mergeCell ref="M6:M9"/>
    <mergeCell ref="N6:N9"/>
    <mergeCell ref="E5:E7"/>
    <mergeCell ref="I5:Q5"/>
    <mergeCell ref="AF6:AF8"/>
    <mergeCell ref="I6:I9"/>
    <mergeCell ref="J6:J9"/>
    <mergeCell ref="K6:K9"/>
    <mergeCell ref="L6:L9"/>
    <mergeCell ref="W8:W9"/>
    <mergeCell ref="X8:X9"/>
    <mergeCell ref="R5:S6"/>
    <mergeCell ref="R7:R9"/>
    <mergeCell ref="S7:S9"/>
    <mergeCell ref="AC47:AF52"/>
    <mergeCell ref="D12:E12"/>
    <mergeCell ref="AC36:AF43"/>
    <mergeCell ref="T38:U38"/>
    <mergeCell ref="T39:U39"/>
    <mergeCell ref="T40:X40"/>
    <mergeCell ref="T41:X41"/>
    <mergeCell ref="T42:X42"/>
    <mergeCell ref="D21:E21"/>
    <mergeCell ref="D25:E25"/>
    <mergeCell ref="A36:F38"/>
    <mergeCell ref="D15:E15"/>
    <mergeCell ref="D18:E18"/>
  </mergeCells>
  <pageMargins left="0.41929133899999999" right="0" top="0.55118110236220497" bottom="0.43307086614173201" header="0.31496062992126" footer="0.31496062992126"/>
  <pageSetup paperSize="10000" scale="60" orientation="landscape"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FF7C80"/>
  </sheetPr>
  <dimension ref="A1:AP80"/>
  <sheetViews>
    <sheetView topLeftCell="A4" zoomScaleNormal="100" workbookViewId="0">
      <pane xSplit="7" ySplit="8" topLeftCell="Z12" activePane="bottomRight" state="frozen"/>
      <selection activeCell="A4" sqref="A4"/>
      <selection pane="topRight" activeCell="H4" sqref="H4"/>
      <selection pane="bottomLeft" activeCell="A12" sqref="A12"/>
      <selection pane="bottomRight" activeCell="B47" sqref="B47:B53"/>
    </sheetView>
  </sheetViews>
  <sheetFormatPr defaultColWidth="9.140625" defaultRowHeight="12.75" x14ac:dyDescent="0.2"/>
  <cols>
    <col min="1" max="1" width="3" style="105" customWidth="1"/>
    <col min="2" max="2" width="32.5703125" style="17" customWidth="1"/>
    <col min="3" max="3" width="17" style="1" customWidth="1"/>
    <col min="4" max="5" width="9" style="1" customWidth="1"/>
    <col min="6" max="6" width="13.28515625" style="176" customWidth="1"/>
    <col min="7" max="7" width="13" style="1" customWidth="1"/>
    <col min="8" max="8" width="10.7109375" style="1" customWidth="1"/>
    <col min="9" max="9" width="12.7109375" style="1" customWidth="1"/>
    <col min="10" max="10" width="10.85546875" style="1" customWidth="1"/>
    <col min="11" max="11" width="11" style="1" customWidth="1"/>
    <col min="12" max="14" width="10.42578125" style="1" customWidth="1"/>
    <col min="15" max="15" width="11.5703125" style="1" customWidth="1"/>
    <col min="16" max="16" width="11.5703125" style="1" bestFit="1" customWidth="1"/>
    <col min="17" max="18" width="12" style="1" hidden="1" customWidth="1"/>
    <col min="19" max="19" width="12" style="1" customWidth="1"/>
    <col min="20" max="20" width="12.42578125" style="1" customWidth="1"/>
    <col min="21" max="21" width="11.7109375" style="1" customWidth="1"/>
    <col min="22" max="22" width="11.42578125" style="1" customWidth="1"/>
    <col min="23" max="23" width="10.7109375" style="1" hidden="1" customWidth="1"/>
    <col min="24" max="25" width="10.7109375" style="1" customWidth="1"/>
    <col min="26" max="26" width="11.7109375" style="1" customWidth="1"/>
    <col min="27" max="27" width="11.5703125" style="1" customWidth="1"/>
    <col min="28" max="28" width="7.140625" style="1" hidden="1" customWidth="1"/>
    <col min="29" max="29" width="6.5703125" style="1" hidden="1" customWidth="1"/>
    <col min="30" max="30" width="13.85546875" style="1" customWidth="1"/>
    <col min="31" max="31" width="3" style="1" customWidth="1"/>
    <col min="32" max="32" width="15" style="1" customWidth="1"/>
    <col min="33" max="33" width="6.7109375" style="1" customWidth="1"/>
    <col min="34" max="36" width="8.140625" style="1" customWidth="1"/>
    <col min="37" max="37" width="17.140625" style="201" customWidth="1"/>
    <col min="38" max="16384" width="9.140625" style="1"/>
  </cols>
  <sheetData>
    <row r="1" spans="1:37" ht="26.25" x14ac:dyDescent="0.4">
      <c r="A1" s="978" t="s">
        <v>103</v>
      </c>
      <c r="B1" s="979"/>
      <c r="C1" s="979"/>
      <c r="D1" s="979"/>
      <c r="E1" s="979"/>
      <c r="F1" s="979"/>
      <c r="G1" s="979"/>
      <c r="H1" s="979"/>
      <c r="I1" s="979"/>
      <c r="J1" s="979"/>
      <c r="K1" s="979"/>
      <c r="L1" s="979"/>
      <c r="M1" s="979"/>
      <c r="N1" s="979"/>
      <c r="O1" s="979"/>
      <c r="P1" s="979"/>
      <c r="Q1" s="979"/>
      <c r="R1" s="979"/>
      <c r="S1" s="979"/>
      <c r="T1" s="979"/>
      <c r="U1" s="979"/>
      <c r="V1" s="979"/>
      <c r="W1" s="979"/>
      <c r="X1" s="979"/>
      <c r="Y1" s="979"/>
      <c r="Z1" s="979"/>
      <c r="AA1" s="979"/>
      <c r="AB1" s="979"/>
      <c r="AC1" s="979"/>
      <c r="AD1" s="979"/>
      <c r="AE1" s="979"/>
      <c r="AF1" s="979"/>
      <c r="AG1" s="979"/>
      <c r="AH1" s="623"/>
      <c r="AI1" s="623"/>
      <c r="AJ1" s="623"/>
    </row>
    <row r="2" spans="1:37" x14ac:dyDescent="0.2">
      <c r="A2" s="945" t="s">
        <v>165</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c r="AH2" s="622"/>
      <c r="AI2" s="622"/>
      <c r="AJ2" s="622"/>
    </row>
    <row r="3" spans="1:37" ht="13.5"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c r="AH3" s="622"/>
      <c r="AI3" s="622"/>
      <c r="AJ3" s="622"/>
    </row>
    <row r="4" spans="1:37" s="4" customFormat="1" ht="21" thickTop="1" x14ac:dyDescent="0.2">
      <c r="A4" s="494" t="s">
        <v>1</v>
      </c>
      <c r="B4" s="980" t="s">
        <v>2</v>
      </c>
      <c r="C4" s="982" t="s">
        <v>3</v>
      </c>
      <c r="D4" s="871" t="s">
        <v>4</v>
      </c>
      <c r="E4" s="871"/>
      <c r="F4" s="872"/>
      <c r="G4" s="866" t="s">
        <v>5</v>
      </c>
      <c r="H4" s="987" t="s">
        <v>6</v>
      </c>
      <c r="I4" s="988"/>
      <c r="J4" s="988"/>
      <c r="K4" s="988"/>
      <c r="L4" s="988"/>
      <c r="M4" s="988"/>
      <c r="N4" s="988"/>
      <c r="O4" s="988"/>
      <c r="P4" s="988"/>
      <c r="Q4" s="988"/>
      <c r="R4" s="988"/>
      <c r="S4" s="988"/>
      <c r="T4" s="988"/>
      <c r="U4" s="988"/>
      <c r="V4" s="988"/>
      <c r="W4" s="988"/>
      <c r="X4" s="988"/>
      <c r="Y4" s="988"/>
      <c r="Z4" s="988"/>
      <c r="AA4" s="988"/>
      <c r="AB4" s="989"/>
      <c r="AC4" s="989"/>
      <c r="AD4" s="3"/>
      <c r="AE4" s="3"/>
      <c r="AF4" s="3"/>
      <c r="AG4" s="3"/>
      <c r="AK4" s="201"/>
    </row>
    <row r="5" spans="1:37" s="8" customFormat="1" ht="12.75" customHeight="1" x14ac:dyDescent="0.2">
      <c r="A5" s="10"/>
      <c r="B5" s="981"/>
      <c r="C5" s="983"/>
      <c r="D5" s="851" t="s">
        <v>7</v>
      </c>
      <c r="E5" s="852" t="s">
        <v>8</v>
      </c>
      <c r="F5" s="873"/>
      <c r="G5" s="874"/>
      <c r="H5" s="991" t="s">
        <v>238</v>
      </c>
      <c r="I5" s="992"/>
      <c r="J5" s="992"/>
      <c r="K5" s="992"/>
      <c r="L5" s="992"/>
      <c r="M5" s="992"/>
      <c r="N5" s="992"/>
      <c r="O5" s="992"/>
      <c r="P5" s="993"/>
      <c r="Q5" s="956" t="s">
        <v>238</v>
      </c>
      <c r="R5" s="956"/>
      <c r="S5" s="1062" t="s">
        <v>525</v>
      </c>
      <c r="T5" s="1047" t="s">
        <v>524</v>
      </c>
      <c r="U5" s="1019"/>
      <c r="V5" s="1019"/>
      <c r="W5" s="1019"/>
      <c r="X5" s="1019"/>
      <c r="Y5" s="1048"/>
      <c r="Z5" s="972" t="s">
        <v>12</v>
      </c>
      <c r="AA5" s="972" t="s">
        <v>183</v>
      </c>
      <c r="AB5" s="5"/>
      <c r="AC5" s="5"/>
      <c r="AD5" s="838" t="s">
        <v>14</v>
      </c>
      <c r="AE5" s="842" t="s">
        <v>15</v>
      </c>
      <c r="AF5" s="7"/>
      <c r="AG5" s="7"/>
      <c r="AK5" s="541"/>
    </row>
    <row r="6" spans="1:37" s="8" customFormat="1" ht="12.75" customHeight="1" x14ac:dyDescent="0.2">
      <c r="A6" s="10"/>
      <c r="B6" s="981"/>
      <c r="C6" s="983"/>
      <c r="D6" s="867"/>
      <c r="E6" s="867"/>
      <c r="F6" s="840" t="s">
        <v>610</v>
      </c>
      <c r="G6" s="839"/>
      <c r="H6" s="859" t="s">
        <v>664</v>
      </c>
      <c r="I6" s="859" t="s">
        <v>233</v>
      </c>
      <c r="J6" s="900" t="s">
        <v>235</v>
      </c>
      <c r="K6" s="915" t="s">
        <v>234</v>
      </c>
      <c r="L6" s="994" t="s">
        <v>612</v>
      </c>
      <c r="M6" s="971" t="s">
        <v>31</v>
      </c>
      <c r="N6" s="859" t="s">
        <v>549</v>
      </c>
      <c r="O6" s="859" t="s">
        <v>23</v>
      </c>
      <c r="P6" s="971" t="s">
        <v>514</v>
      </c>
      <c r="Q6" s="903" t="s">
        <v>232</v>
      </c>
      <c r="R6" s="905"/>
      <c r="S6" s="1011"/>
      <c r="T6" s="1049"/>
      <c r="U6" s="1066"/>
      <c r="V6" s="1066"/>
      <c r="W6" s="1066"/>
      <c r="X6" s="1066"/>
      <c r="Y6" s="1050"/>
      <c r="Z6" s="857"/>
      <c r="AA6" s="857"/>
      <c r="AB6" s="838" t="s">
        <v>613</v>
      </c>
      <c r="AC6" s="838" t="s">
        <v>22</v>
      </c>
      <c r="AD6" s="838"/>
      <c r="AE6" s="842"/>
      <c r="AF6" s="838" t="s">
        <v>25</v>
      </c>
      <c r="AG6" s="878" t="s">
        <v>26</v>
      </c>
      <c r="AH6" s="315"/>
      <c r="AI6" s="315"/>
      <c r="AJ6" s="315"/>
      <c r="AK6" s="541"/>
    </row>
    <row r="7" spans="1:37" s="8" customFormat="1" x14ac:dyDescent="0.2">
      <c r="A7" s="10"/>
      <c r="B7" s="981"/>
      <c r="C7" s="983"/>
      <c r="D7" s="867"/>
      <c r="E7" s="867"/>
      <c r="F7" s="841"/>
      <c r="G7" s="839"/>
      <c r="H7" s="859"/>
      <c r="I7" s="859"/>
      <c r="J7" s="900"/>
      <c r="K7" s="900"/>
      <c r="L7" s="859"/>
      <c r="M7" s="1018"/>
      <c r="N7" s="859"/>
      <c r="O7" s="859"/>
      <c r="P7" s="1018"/>
      <c r="Q7" s="909"/>
      <c r="R7" s="911"/>
      <c r="S7" s="1011"/>
      <c r="T7" s="915" t="s">
        <v>27</v>
      </c>
      <c r="U7" s="915" t="s">
        <v>440</v>
      </c>
      <c r="V7" s="915" t="s">
        <v>23</v>
      </c>
      <c r="W7" s="957" t="s">
        <v>30</v>
      </c>
      <c r="X7" s="957" t="s">
        <v>30</v>
      </c>
      <c r="Y7" s="957" t="s">
        <v>672</v>
      </c>
      <c r="Z7" s="857"/>
      <c r="AA7" s="857"/>
      <c r="AB7" s="838"/>
      <c r="AC7" s="874"/>
      <c r="AD7" s="838"/>
      <c r="AE7" s="842"/>
      <c r="AF7" s="970"/>
      <c r="AG7" s="878"/>
      <c r="AH7" s="315"/>
      <c r="AI7" s="315"/>
      <c r="AJ7" s="315"/>
      <c r="AK7" s="541"/>
    </row>
    <row r="8" spans="1:37" s="8" customFormat="1" x14ac:dyDescent="0.2">
      <c r="A8" s="10"/>
      <c r="B8" s="981"/>
      <c r="C8" s="984"/>
      <c r="D8" s="11"/>
      <c r="E8" s="107"/>
      <c r="F8" s="238"/>
      <c r="G8" s="495"/>
      <c r="H8" s="859"/>
      <c r="I8" s="859"/>
      <c r="J8" s="900"/>
      <c r="K8" s="900"/>
      <c r="L8" s="859"/>
      <c r="M8" s="857"/>
      <c r="N8" s="859"/>
      <c r="O8" s="859"/>
      <c r="P8" s="857"/>
      <c r="Q8" s="851" t="s">
        <v>27</v>
      </c>
      <c r="R8" s="851" t="s">
        <v>33</v>
      </c>
      <c r="S8" s="1011"/>
      <c r="T8" s="900"/>
      <c r="U8" s="900"/>
      <c r="V8" s="900"/>
      <c r="W8" s="949"/>
      <c r="X8" s="949"/>
      <c r="Y8" s="949"/>
      <c r="Z8" s="857"/>
      <c r="AA8" s="857"/>
      <c r="AB8" s="838"/>
      <c r="AC8" s="874"/>
      <c r="AD8" s="838"/>
      <c r="AE8" s="959"/>
      <c r="AF8" s="970"/>
      <c r="AG8" s="878"/>
      <c r="AH8" s="315"/>
      <c r="AI8" s="315"/>
      <c r="AJ8" s="315"/>
      <c r="AK8" s="541"/>
    </row>
    <row r="9" spans="1:37" s="8" customFormat="1" x14ac:dyDescent="0.2">
      <c r="A9" s="10"/>
      <c r="B9" s="981"/>
      <c r="C9" s="984"/>
      <c r="D9" s="11"/>
      <c r="E9" s="107"/>
      <c r="F9" s="238"/>
      <c r="G9" s="495"/>
      <c r="H9" s="859"/>
      <c r="I9" s="859"/>
      <c r="J9" s="900"/>
      <c r="K9" s="900"/>
      <c r="L9" s="859"/>
      <c r="M9" s="857"/>
      <c r="N9" s="859"/>
      <c r="O9" s="859"/>
      <c r="P9" s="857"/>
      <c r="Q9" s="838"/>
      <c r="R9" s="838"/>
      <c r="S9" s="1011"/>
      <c r="T9" s="900"/>
      <c r="U9" s="900"/>
      <c r="V9" s="900"/>
      <c r="W9" s="949"/>
      <c r="X9" s="949"/>
      <c r="Y9" s="949"/>
      <c r="Z9" s="857"/>
      <c r="AA9" s="857"/>
      <c r="AB9" s="109"/>
      <c r="AC9" s="109"/>
      <c r="AD9" s="838"/>
      <c r="AE9" s="959"/>
      <c r="AF9" s="7"/>
      <c r="AG9" s="7"/>
      <c r="AK9" s="541"/>
    </row>
    <row r="10" spans="1:37" s="15" customFormat="1" ht="16.5" thickBot="1" x14ac:dyDescent="0.35">
      <c r="A10" s="13">
        <v>1</v>
      </c>
      <c r="B10" s="13" t="s">
        <v>657</v>
      </c>
      <c r="C10" s="13">
        <v>3</v>
      </c>
      <c r="D10" s="13">
        <v>4</v>
      </c>
      <c r="E10" s="13">
        <v>5</v>
      </c>
      <c r="F10" s="13">
        <v>6</v>
      </c>
      <c r="G10" s="13">
        <v>7</v>
      </c>
      <c r="H10" s="13">
        <v>8</v>
      </c>
      <c r="I10" s="13">
        <v>10</v>
      </c>
      <c r="J10" s="13">
        <v>13</v>
      </c>
      <c r="K10" s="13">
        <v>12</v>
      </c>
      <c r="L10" s="13">
        <v>16</v>
      </c>
      <c r="M10" s="13">
        <v>17</v>
      </c>
      <c r="N10" s="13"/>
      <c r="O10" s="13"/>
      <c r="P10" s="13">
        <v>17</v>
      </c>
      <c r="Q10" s="13">
        <v>21</v>
      </c>
      <c r="R10" s="13">
        <v>22</v>
      </c>
      <c r="S10" s="1063"/>
      <c r="T10" s="13">
        <v>18</v>
      </c>
      <c r="U10" s="13">
        <v>19</v>
      </c>
      <c r="V10" s="13">
        <v>20</v>
      </c>
      <c r="W10" s="13">
        <v>28</v>
      </c>
      <c r="X10" s="13">
        <v>21</v>
      </c>
      <c r="Y10" s="13">
        <v>21</v>
      </c>
      <c r="Z10" s="13">
        <v>22</v>
      </c>
      <c r="AA10" s="13">
        <v>23</v>
      </c>
      <c r="AB10" s="13">
        <v>25</v>
      </c>
      <c r="AC10" s="13">
        <v>26</v>
      </c>
      <c r="AD10" s="13">
        <v>24</v>
      </c>
      <c r="AE10" s="13">
        <v>25</v>
      </c>
      <c r="AF10" s="13">
        <v>26</v>
      </c>
      <c r="AG10" s="13">
        <v>27</v>
      </c>
      <c r="AH10" s="100"/>
      <c r="AI10" s="100"/>
      <c r="AJ10" s="100"/>
      <c r="AK10" s="542"/>
    </row>
    <row r="11" spans="1:37" s="15" customFormat="1" ht="16.5" thickTop="1" x14ac:dyDescent="0.3">
      <c r="A11" s="543"/>
      <c r="B11" s="492" t="s">
        <v>71</v>
      </c>
      <c r="C11" s="404"/>
      <c r="D11" s="404"/>
      <c r="E11" s="404"/>
      <c r="F11" s="25"/>
      <c r="G11" s="25"/>
      <c r="H11" s="208"/>
      <c r="I11" s="208"/>
      <c r="J11" s="208"/>
      <c r="K11" s="208"/>
      <c r="L11" s="208"/>
      <c r="M11" s="208"/>
      <c r="N11" s="208"/>
      <c r="O11" s="208"/>
      <c r="P11" s="208"/>
      <c r="Q11" s="493"/>
      <c r="R11" s="493"/>
      <c r="S11" s="493"/>
      <c r="T11" s="208"/>
      <c r="U11" s="208"/>
      <c r="V11" s="208"/>
      <c r="W11" s="208"/>
      <c r="X11" s="208"/>
      <c r="Y11" s="208"/>
      <c r="Z11" s="208"/>
      <c r="AA11" s="208"/>
      <c r="AB11" s="208"/>
      <c r="AC11" s="208"/>
      <c r="AD11" s="208"/>
      <c r="AE11" s="208"/>
      <c r="AF11" s="208"/>
      <c r="AG11" s="544"/>
      <c r="AH11" s="100"/>
      <c r="AI11" s="100"/>
      <c r="AJ11" s="100"/>
      <c r="AK11" s="542"/>
    </row>
    <row r="12" spans="1:37" s="15" customFormat="1" ht="17.25" customHeight="1" x14ac:dyDescent="0.3">
      <c r="A12" s="545" t="s">
        <v>38</v>
      </c>
      <c r="B12" s="44"/>
      <c r="C12" s="210" t="s">
        <v>73</v>
      </c>
      <c r="D12" s="935" t="s">
        <v>686</v>
      </c>
      <c r="E12" s="935"/>
      <c r="F12" s="54">
        <f>'[1]Reg.2(1-15)'!$G$12</f>
        <v>93016</v>
      </c>
      <c r="G12" s="54">
        <f t="shared" ref="G12:G25" si="0">F12/2</f>
        <v>46508</v>
      </c>
      <c r="H12" s="56"/>
      <c r="I12" s="56"/>
      <c r="J12" s="471"/>
      <c r="K12" s="56"/>
      <c r="L12" s="56">
        <v>1500</v>
      </c>
      <c r="M12" s="56"/>
      <c r="N12" s="56"/>
      <c r="O12" s="56">
        <v>18976.95</v>
      </c>
      <c r="P12" s="56"/>
      <c r="Q12" s="56"/>
      <c r="R12" s="54"/>
      <c r="S12" s="54">
        <v>11989.71</v>
      </c>
      <c r="T12" s="56">
        <f>F12*0.02</f>
        <v>1860.32</v>
      </c>
      <c r="U12" s="56">
        <f>T12</f>
        <v>1860.32</v>
      </c>
      <c r="V12" s="56"/>
      <c r="W12" s="56"/>
      <c r="X12" s="56"/>
      <c r="Y12" s="56"/>
      <c r="Z12" s="56"/>
      <c r="AA12" s="56"/>
      <c r="AB12" s="56"/>
      <c r="AC12" s="56"/>
      <c r="AD12" s="56">
        <f t="shared" ref="AD12:AD25" si="1">G12-SUM(H12:T12)-SUM(V12:AC12)</f>
        <v>12181.019999999997</v>
      </c>
      <c r="AE12" s="413" t="s">
        <v>38</v>
      </c>
      <c r="AF12" s="634"/>
      <c r="AG12" s="22"/>
      <c r="AH12" s="100"/>
      <c r="AI12" s="100"/>
      <c r="AJ12" s="100"/>
      <c r="AK12" s="542"/>
    </row>
    <row r="13" spans="1:37" s="15" customFormat="1" ht="17.25" x14ac:dyDescent="0.3">
      <c r="A13" s="222" t="s">
        <v>127</v>
      </c>
      <c r="B13" s="44"/>
      <c r="C13" s="526" t="s">
        <v>636</v>
      </c>
      <c r="D13" s="210" t="s">
        <v>208</v>
      </c>
      <c r="E13" s="210" t="s">
        <v>175</v>
      </c>
      <c r="F13" s="54">
        <v>31776</v>
      </c>
      <c r="G13" s="54">
        <f t="shared" si="0"/>
        <v>15888</v>
      </c>
      <c r="H13" s="56">
        <v>900</v>
      </c>
      <c r="I13" s="56"/>
      <c r="J13" s="56"/>
      <c r="K13" s="56"/>
      <c r="L13" s="56">
        <v>300</v>
      </c>
      <c r="M13" s="56"/>
      <c r="N13" s="56">
        <v>983.34</v>
      </c>
      <c r="O13" s="56">
        <v>1570.6</v>
      </c>
      <c r="P13" s="56"/>
      <c r="Q13" s="56"/>
      <c r="R13" s="54"/>
      <c r="S13" s="54">
        <v>947.64</v>
      </c>
      <c r="T13" s="56">
        <v>700</v>
      </c>
      <c r="U13" s="56">
        <f>F13*0.02</f>
        <v>635.52</v>
      </c>
      <c r="V13" s="56">
        <v>1220.29</v>
      </c>
      <c r="W13" s="56"/>
      <c r="X13" s="56"/>
      <c r="Y13" s="56"/>
      <c r="Z13" s="425"/>
      <c r="AA13" s="56">
        <v>8400.9</v>
      </c>
      <c r="AB13" s="56"/>
      <c r="AC13" s="56"/>
      <c r="AD13" s="56">
        <f t="shared" si="1"/>
        <v>865.23000000000138</v>
      </c>
      <c r="AE13" s="510" t="s">
        <v>127</v>
      </c>
      <c r="AF13" s="634"/>
      <c r="AG13" s="546"/>
      <c r="AH13" s="100"/>
      <c r="AI13" s="100"/>
      <c r="AJ13" s="100"/>
      <c r="AK13" s="542"/>
    </row>
    <row r="14" spans="1:37" s="15" customFormat="1" ht="15.75" customHeight="1" x14ac:dyDescent="0.3">
      <c r="A14" s="545" t="s">
        <v>128</v>
      </c>
      <c r="B14" s="44"/>
      <c r="C14" s="616" t="s">
        <v>640</v>
      </c>
      <c r="D14" s="210" t="s">
        <v>208</v>
      </c>
      <c r="E14" s="210" t="s">
        <v>175</v>
      </c>
      <c r="F14" s="56">
        <f>'[1]Reg.2(1-15)'!$G$14</f>
        <v>25520</v>
      </c>
      <c r="G14" s="54">
        <f>F14/2</f>
        <v>12760</v>
      </c>
      <c r="H14" s="56"/>
      <c r="I14" s="56"/>
      <c r="J14" s="56">
        <v>1311.12</v>
      </c>
      <c r="K14" s="56"/>
      <c r="L14" s="56"/>
      <c r="M14" s="56"/>
      <c r="N14" s="56"/>
      <c r="O14" s="56"/>
      <c r="P14" s="56"/>
      <c r="Q14" s="55"/>
      <c r="R14" s="57"/>
      <c r="S14" s="57">
        <v>186.22</v>
      </c>
      <c r="T14" s="56">
        <f>F14*0.02</f>
        <v>510.40000000000003</v>
      </c>
      <c r="U14" s="56">
        <f>T14</f>
        <v>510.40000000000003</v>
      </c>
      <c r="V14" s="56"/>
      <c r="W14" s="56"/>
      <c r="X14" s="56"/>
      <c r="Y14" s="56"/>
      <c r="Z14" s="56"/>
      <c r="AA14" s="56"/>
      <c r="AB14" s="56"/>
      <c r="AC14" s="56"/>
      <c r="AD14" s="56">
        <f t="shared" si="1"/>
        <v>10752.26</v>
      </c>
      <c r="AE14" s="413" t="s">
        <v>128</v>
      </c>
      <c r="AF14" s="634"/>
      <c r="AG14" s="546"/>
      <c r="AH14" s="100"/>
      <c r="AI14" s="100"/>
      <c r="AJ14" s="100"/>
      <c r="AK14" s="542"/>
    </row>
    <row r="15" spans="1:37" s="15" customFormat="1" ht="17.25" x14ac:dyDescent="0.3">
      <c r="A15" s="545" t="s">
        <v>129</v>
      </c>
      <c r="B15" s="44"/>
      <c r="C15" s="210" t="s">
        <v>161</v>
      </c>
      <c r="D15" s="210" t="s">
        <v>208</v>
      </c>
      <c r="E15" s="210" t="s">
        <v>175</v>
      </c>
      <c r="F15" s="54">
        <f>'[1]Reg.2(1-15)'!$G$15</f>
        <v>22810</v>
      </c>
      <c r="G15" s="54">
        <f t="shared" si="0"/>
        <v>11405</v>
      </c>
      <c r="H15" s="56"/>
      <c r="I15" s="56"/>
      <c r="J15" s="56">
        <v>1311.12</v>
      </c>
      <c r="K15" s="56"/>
      <c r="L15" s="56"/>
      <c r="M15" s="56"/>
      <c r="N15" s="56"/>
      <c r="O15" s="56"/>
      <c r="P15" s="56"/>
      <c r="Q15" s="55"/>
      <c r="R15" s="57"/>
      <c r="S15" s="57"/>
      <c r="T15" s="56">
        <f>500</f>
        <v>500</v>
      </c>
      <c r="U15" s="56">
        <f>F15*0.02</f>
        <v>456.2</v>
      </c>
      <c r="V15" s="56">
        <v>835.59</v>
      </c>
      <c r="W15" s="56"/>
      <c r="X15" s="56"/>
      <c r="Y15" s="56"/>
      <c r="Z15" s="56"/>
      <c r="AA15" s="56"/>
      <c r="AB15" s="56"/>
      <c r="AC15" s="56"/>
      <c r="AD15" s="56">
        <f t="shared" si="1"/>
        <v>8758.2900000000009</v>
      </c>
      <c r="AE15" s="413" t="s">
        <v>129</v>
      </c>
      <c r="AF15" s="634"/>
      <c r="AG15" s="546"/>
      <c r="AH15" s="100"/>
      <c r="AI15" s="100"/>
      <c r="AJ15" s="100"/>
      <c r="AK15" s="542"/>
    </row>
    <row r="16" spans="1:37" s="15" customFormat="1" ht="17.25" x14ac:dyDescent="0.3">
      <c r="A16" s="222" t="s">
        <v>130</v>
      </c>
      <c r="B16" s="44"/>
      <c r="C16" s="210" t="s">
        <v>161</v>
      </c>
      <c r="D16" s="210" t="s">
        <v>208</v>
      </c>
      <c r="E16" s="210" t="s">
        <v>175</v>
      </c>
      <c r="F16" s="54">
        <v>21748</v>
      </c>
      <c r="G16" s="54">
        <f>F16/2</f>
        <v>10874</v>
      </c>
      <c r="H16" s="56"/>
      <c r="I16" s="56"/>
      <c r="J16" s="56"/>
      <c r="K16" s="56"/>
      <c r="L16" s="56"/>
      <c r="M16" s="56"/>
      <c r="N16" s="56"/>
      <c r="O16" s="56">
        <v>1733.89</v>
      </c>
      <c r="P16" s="56"/>
      <c r="Q16" s="55"/>
      <c r="R16" s="57"/>
      <c r="S16" s="57"/>
      <c r="T16" s="56">
        <f>F16*0.02</f>
        <v>434.96000000000004</v>
      </c>
      <c r="U16" s="56">
        <f>T16</f>
        <v>434.96000000000004</v>
      </c>
      <c r="V16" s="56"/>
      <c r="W16" s="56"/>
      <c r="X16" s="56"/>
      <c r="Y16" s="56"/>
      <c r="Z16" s="56"/>
      <c r="AA16" s="56">
        <v>6673.67</v>
      </c>
      <c r="AB16" s="56"/>
      <c r="AC16" s="56"/>
      <c r="AD16" s="56">
        <f t="shared" si="1"/>
        <v>2031.4799999999996</v>
      </c>
      <c r="AE16" s="510" t="s">
        <v>130</v>
      </c>
      <c r="AF16" s="634"/>
      <c r="AG16" s="546"/>
      <c r="AH16" s="100"/>
      <c r="AI16" s="100"/>
      <c r="AJ16" s="100"/>
      <c r="AK16" s="542"/>
    </row>
    <row r="17" spans="1:37" s="15" customFormat="1" ht="17.25" x14ac:dyDescent="0.3">
      <c r="A17" s="545" t="s">
        <v>131</v>
      </c>
      <c r="B17" s="44"/>
      <c r="C17" s="210" t="s">
        <v>473</v>
      </c>
      <c r="D17" s="210" t="s">
        <v>208</v>
      </c>
      <c r="E17" s="210" t="s">
        <v>175</v>
      </c>
      <c r="F17" s="54">
        <f>'[1]Reg.2(1-15)'!$G$17</f>
        <v>21748</v>
      </c>
      <c r="G17" s="54">
        <f>F17/2</f>
        <v>10874</v>
      </c>
      <c r="H17" s="56"/>
      <c r="I17" s="56"/>
      <c r="J17" s="56">
        <v>655.56</v>
      </c>
      <c r="K17" s="56"/>
      <c r="L17" s="56">
        <v>600</v>
      </c>
      <c r="M17" s="56"/>
      <c r="N17" s="56"/>
      <c r="O17" s="56">
        <v>2342.7399999999998</v>
      </c>
      <c r="P17" s="56"/>
      <c r="Q17" s="55"/>
      <c r="R17" s="57"/>
      <c r="S17" s="57"/>
      <c r="T17" s="56">
        <v>500</v>
      </c>
      <c r="U17" s="56">
        <f>(F17*0.02)</f>
        <v>434.96000000000004</v>
      </c>
      <c r="V17" s="56"/>
      <c r="W17" s="56"/>
      <c r="X17" s="56"/>
      <c r="Y17" s="56">
        <v>500</v>
      </c>
      <c r="Z17" s="56"/>
      <c r="AA17" s="56">
        <v>2378</v>
      </c>
      <c r="AB17" s="56"/>
      <c r="AC17" s="56"/>
      <c r="AD17" s="56">
        <f t="shared" si="1"/>
        <v>3897.7000000000007</v>
      </c>
      <c r="AE17" s="413" t="s">
        <v>131</v>
      </c>
      <c r="AF17" s="634"/>
      <c r="AG17" s="546"/>
      <c r="AH17" s="100"/>
      <c r="AI17" s="100"/>
      <c r="AJ17" s="100"/>
      <c r="AK17" s="542"/>
    </row>
    <row r="18" spans="1:37" s="15" customFormat="1" ht="17.25" x14ac:dyDescent="0.3">
      <c r="A18" s="545" t="s">
        <v>132</v>
      </c>
      <c r="B18" s="44"/>
      <c r="C18" s="210" t="s">
        <v>473</v>
      </c>
      <c r="D18" s="210" t="s">
        <v>208</v>
      </c>
      <c r="E18" s="210" t="s">
        <v>175</v>
      </c>
      <c r="F18" s="54">
        <v>21748</v>
      </c>
      <c r="G18" s="54">
        <f>F18/2</f>
        <v>10874</v>
      </c>
      <c r="H18" s="56"/>
      <c r="I18" s="56"/>
      <c r="J18" s="56">
        <v>655.56</v>
      </c>
      <c r="K18" s="56"/>
      <c r="L18" s="56"/>
      <c r="M18" s="56"/>
      <c r="N18" s="56"/>
      <c r="O18" s="56">
        <v>1010</v>
      </c>
      <c r="P18" s="56"/>
      <c r="Q18" s="55"/>
      <c r="R18" s="57"/>
      <c r="S18" s="57"/>
      <c r="T18" s="56">
        <f t="shared" ref="T18:T19" si="2">F18*0.02</f>
        <v>434.96000000000004</v>
      </c>
      <c r="U18" s="56">
        <f>F18*0.02</f>
        <v>434.96000000000004</v>
      </c>
      <c r="V18" s="56"/>
      <c r="W18" s="56"/>
      <c r="X18" s="56"/>
      <c r="Y18" s="56"/>
      <c r="Z18" s="56"/>
      <c r="AA18" s="56"/>
      <c r="AB18" s="56"/>
      <c r="AC18" s="56"/>
      <c r="AD18" s="56">
        <f t="shared" si="1"/>
        <v>8773.48</v>
      </c>
      <c r="AE18" s="413" t="s">
        <v>132</v>
      </c>
      <c r="AF18" s="634"/>
      <c r="AG18" s="546"/>
      <c r="AH18" s="100"/>
      <c r="AI18" s="720"/>
      <c r="AJ18" s="100"/>
      <c r="AK18" s="542"/>
    </row>
    <row r="19" spans="1:37" s="15" customFormat="1" ht="17.25" x14ac:dyDescent="0.3">
      <c r="A19" s="222" t="s">
        <v>133</v>
      </c>
      <c r="B19" s="44"/>
      <c r="C19" s="210" t="s">
        <v>655</v>
      </c>
      <c r="D19" s="210" t="s">
        <v>208</v>
      </c>
      <c r="E19" s="210" t="s">
        <v>175</v>
      </c>
      <c r="F19" s="56">
        <f>'[1]Reg.2(1-15)'!$G$19</f>
        <v>16113</v>
      </c>
      <c r="G19" s="54">
        <f>F19/2</f>
        <v>8056.5</v>
      </c>
      <c r="H19" s="56"/>
      <c r="I19" s="56"/>
      <c r="J19" s="56"/>
      <c r="K19" s="56"/>
      <c r="L19" s="56"/>
      <c r="M19" s="56"/>
      <c r="N19" s="56"/>
      <c r="O19" s="56"/>
      <c r="P19" s="56"/>
      <c r="Q19" s="55"/>
      <c r="R19" s="57"/>
      <c r="S19" s="57"/>
      <c r="T19" s="56">
        <f t="shared" si="2"/>
        <v>322.26</v>
      </c>
      <c r="U19" s="56">
        <f t="shared" ref="U19" si="3">T19</f>
        <v>322.26</v>
      </c>
      <c r="V19" s="56"/>
      <c r="W19" s="56"/>
      <c r="X19" s="56"/>
      <c r="Y19" s="56"/>
      <c r="Z19" s="56">
        <v>2435.13</v>
      </c>
      <c r="AA19" s="56"/>
      <c r="AB19" s="56"/>
      <c r="AC19" s="56"/>
      <c r="AD19" s="56">
        <f t="shared" si="1"/>
        <v>5299.11</v>
      </c>
      <c r="AE19" s="510" t="s">
        <v>133</v>
      </c>
      <c r="AF19" s="634"/>
      <c r="AG19" s="546"/>
      <c r="AH19" s="100"/>
      <c r="AI19" s="100"/>
      <c r="AJ19" s="100"/>
      <c r="AK19" s="542"/>
    </row>
    <row r="20" spans="1:37" s="15" customFormat="1" ht="17.25" x14ac:dyDescent="0.3">
      <c r="A20" s="545" t="s">
        <v>65</v>
      </c>
      <c r="B20" s="44"/>
      <c r="C20" s="210" t="s">
        <v>499</v>
      </c>
      <c r="D20" s="210" t="s">
        <v>208</v>
      </c>
      <c r="E20" s="210" t="s">
        <v>175</v>
      </c>
      <c r="F20" s="56">
        <f>'[1]Reg.2(1-15)'!$G$20</f>
        <v>14521</v>
      </c>
      <c r="G20" s="54">
        <f>F20/2</f>
        <v>7260.5</v>
      </c>
      <c r="H20" s="56"/>
      <c r="I20" s="56"/>
      <c r="J20" s="56"/>
      <c r="K20" s="702"/>
      <c r="L20" s="702"/>
      <c r="M20" s="56"/>
      <c r="N20" s="56"/>
      <c r="O20" s="56">
        <v>1112.83</v>
      </c>
      <c r="P20" s="56"/>
      <c r="Q20" s="55"/>
      <c r="R20" s="57"/>
      <c r="S20" s="57"/>
      <c r="T20" s="56">
        <f t="shared" ref="T20:T25" si="4">F20*0.02</f>
        <v>290.42</v>
      </c>
      <c r="U20" s="56">
        <f>T20</f>
        <v>290.42</v>
      </c>
      <c r="V20" s="56"/>
      <c r="W20" s="56"/>
      <c r="X20" s="56"/>
      <c r="Y20" s="56"/>
      <c r="Z20" s="56"/>
      <c r="AA20" s="56"/>
      <c r="AB20" s="56"/>
      <c r="AC20" s="56"/>
      <c r="AD20" s="56">
        <f t="shared" si="1"/>
        <v>5857.25</v>
      </c>
      <c r="AE20" s="413" t="s">
        <v>65</v>
      </c>
      <c r="AF20" s="634"/>
      <c r="AG20" s="546"/>
      <c r="AH20" s="100"/>
      <c r="AI20" s="100"/>
      <c r="AJ20" s="100"/>
      <c r="AK20" s="542"/>
    </row>
    <row r="21" spans="1:37" s="15" customFormat="1" ht="17.25" x14ac:dyDescent="0.3">
      <c r="A21" s="545" t="s">
        <v>134</v>
      </c>
      <c r="B21" s="44"/>
      <c r="C21" s="210" t="s">
        <v>499</v>
      </c>
      <c r="D21" s="210" t="s">
        <v>208</v>
      </c>
      <c r="E21" s="210" t="s">
        <v>175</v>
      </c>
      <c r="F21" s="54">
        <f>'[1]Reg.2(1-15)'!$G$21</f>
        <v>14308</v>
      </c>
      <c r="G21" s="54">
        <f t="shared" si="0"/>
        <v>7154</v>
      </c>
      <c r="H21" s="56"/>
      <c r="I21" s="56"/>
      <c r="J21" s="56">
        <v>655.56</v>
      </c>
      <c r="K21" s="56"/>
      <c r="L21" s="56"/>
      <c r="M21" s="56"/>
      <c r="N21" s="56"/>
      <c r="O21" s="56"/>
      <c r="P21" s="56"/>
      <c r="Q21" s="55"/>
      <c r="R21" s="57"/>
      <c r="S21" s="57"/>
      <c r="T21" s="56">
        <f t="shared" si="4"/>
        <v>286.16000000000003</v>
      </c>
      <c r="U21" s="56">
        <f t="shared" ref="U21:U25" si="5">T21</f>
        <v>286.16000000000003</v>
      </c>
      <c r="V21" s="56"/>
      <c r="W21" s="56"/>
      <c r="X21" s="56"/>
      <c r="Y21" s="56"/>
      <c r="Z21" s="56"/>
      <c r="AA21" s="56"/>
      <c r="AB21" s="56"/>
      <c r="AC21" s="56"/>
      <c r="AD21" s="56">
        <f t="shared" si="1"/>
        <v>6212.28</v>
      </c>
      <c r="AE21" s="413" t="s">
        <v>134</v>
      </c>
      <c r="AF21" s="634"/>
      <c r="AG21" s="546"/>
      <c r="AH21" s="100"/>
      <c r="AI21" s="100"/>
      <c r="AJ21" s="100"/>
      <c r="AK21" s="542"/>
    </row>
    <row r="22" spans="1:37" s="15" customFormat="1" ht="17.25" x14ac:dyDescent="0.3">
      <c r="A22" s="222" t="s">
        <v>135</v>
      </c>
      <c r="B22" s="44"/>
      <c r="C22" s="210" t="s">
        <v>499</v>
      </c>
      <c r="D22" s="210" t="s">
        <v>208</v>
      </c>
      <c r="E22" s="210" t="s">
        <v>175</v>
      </c>
      <c r="F22" s="54">
        <f>'[1]Reg.2(1-15)'!$G$22</f>
        <v>14308</v>
      </c>
      <c r="G22" s="54">
        <f t="shared" si="0"/>
        <v>7154</v>
      </c>
      <c r="H22" s="56"/>
      <c r="I22" s="56"/>
      <c r="J22" s="56">
        <v>655.56</v>
      </c>
      <c r="K22" s="56"/>
      <c r="L22" s="56"/>
      <c r="M22" s="56"/>
      <c r="N22" s="56"/>
      <c r="O22" s="56"/>
      <c r="P22" s="56"/>
      <c r="Q22" s="56"/>
      <c r="R22" s="54"/>
      <c r="S22" s="54"/>
      <c r="T22" s="56">
        <f t="shared" si="4"/>
        <v>286.16000000000003</v>
      </c>
      <c r="U22" s="56">
        <f t="shared" si="5"/>
        <v>286.16000000000003</v>
      </c>
      <c r="V22" s="56"/>
      <c r="W22" s="56"/>
      <c r="X22" s="56"/>
      <c r="Y22" s="56"/>
      <c r="Z22" s="56"/>
      <c r="AA22" s="56">
        <v>2081.62</v>
      </c>
      <c r="AB22" s="56"/>
      <c r="AC22" s="56"/>
      <c r="AD22" s="56">
        <f t="shared" si="1"/>
        <v>4130.66</v>
      </c>
      <c r="AE22" s="510" t="s">
        <v>135</v>
      </c>
      <c r="AF22" s="634"/>
      <c r="AG22" s="546"/>
      <c r="AH22" s="100"/>
      <c r="AI22" s="100"/>
      <c r="AJ22" s="100"/>
      <c r="AK22" s="542"/>
    </row>
    <row r="23" spans="1:37" s="15" customFormat="1" ht="17.25" x14ac:dyDescent="0.3">
      <c r="A23" s="545" t="s">
        <v>136</v>
      </c>
      <c r="B23" s="44"/>
      <c r="C23" s="23" t="s">
        <v>446</v>
      </c>
      <c r="D23" s="210" t="s">
        <v>208</v>
      </c>
      <c r="E23" s="210" t="s">
        <v>175</v>
      </c>
      <c r="F23" s="54">
        <f>'[1]Reg.2(1-15)'!$G$23</f>
        <v>13474</v>
      </c>
      <c r="G23" s="54">
        <f t="shared" si="0"/>
        <v>6737</v>
      </c>
      <c r="H23" s="56">
        <v>475</v>
      </c>
      <c r="I23" s="56"/>
      <c r="J23" s="56"/>
      <c r="K23" s="56"/>
      <c r="L23" s="56"/>
      <c r="M23" s="56"/>
      <c r="N23" s="56"/>
      <c r="O23" s="56"/>
      <c r="P23" s="56"/>
      <c r="Q23" s="56"/>
      <c r="R23" s="54"/>
      <c r="S23" s="54"/>
      <c r="T23" s="56">
        <f t="shared" si="4"/>
        <v>269.48</v>
      </c>
      <c r="U23" s="56">
        <f t="shared" si="5"/>
        <v>269.48</v>
      </c>
      <c r="V23" s="56">
        <f>582.68</f>
        <v>582.67999999999995</v>
      </c>
      <c r="W23" s="56"/>
      <c r="X23" s="56"/>
      <c r="Y23" s="56"/>
      <c r="Z23" s="56"/>
      <c r="AA23" s="56"/>
      <c r="AB23" s="56"/>
      <c r="AC23" s="56"/>
      <c r="AD23" s="56">
        <f t="shared" si="1"/>
        <v>5409.84</v>
      </c>
      <c r="AE23" s="413" t="s">
        <v>136</v>
      </c>
      <c r="AF23" s="634"/>
      <c r="AG23" s="546"/>
      <c r="AH23" s="100"/>
      <c r="AI23" s="100"/>
      <c r="AJ23" s="100"/>
      <c r="AK23" s="542"/>
    </row>
    <row r="24" spans="1:37" s="15" customFormat="1" ht="17.25" x14ac:dyDescent="0.3">
      <c r="A24" s="545" t="s">
        <v>137</v>
      </c>
      <c r="B24" s="44"/>
      <c r="C24" s="23" t="s">
        <v>446</v>
      </c>
      <c r="D24" s="210" t="s">
        <v>208</v>
      </c>
      <c r="E24" s="210" t="s">
        <v>175</v>
      </c>
      <c r="F24" s="54">
        <f>'[1]Reg.2(1-15)'!$G$24</f>
        <v>13474</v>
      </c>
      <c r="G24" s="54">
        <f t="shared" si="0"/>
        <v>6737</v>
      </c>
      <c r="H24" s="56"/>
      <c r="I24" s="56"/>
      <c r="J24" s="56"/>
      <c r="K24" s="56"/>
      <c r="L24" s="56"/>
      <c r="M24" s="56"/>
      <c r="N24" s="56"/>
      <c r="O24" s="56"/>
      <c r="P24" s="56"/>
      <c r="Q24" s="56"/>
      <c r="R24" s="54"/>
      <c r="S24" s="54"/>
      <c r="T24" s="56">
        <f t="shared" si="4"/>
        <v>269.48</v>
      </c>
      <c r="U24" s="56">
        <f t="shared" si="5"/>
        <v>269.48</v>
      </c>
      <c r="V24" s="56"/>
      <c r="W24" s="56"/>
      <c r="X24" s="56"/>
      <c r="Y24" s="56"/>
      <c r="Z24" s="56"/>
      <c r="AA24" s="56"/>
      <c r="AB24" s="56"/>
      <c r="AC24" s="56"/>
      <c r="AD24" s="56">
        <f t="shared" si="1"/>
        <v>6467.52</v>
      </c>
      <c r="AE24" s="413" t="s">
        <v>137</v>
      </c>
      <c r="AF24" s="634"/>
      <c r="AG24" s="546"/>
      <c r="AH24" s="100"/>
      <c r="AI24" s="100"/>
      <c r="AJ24" s="100"/>
      <c r="AK24" s="542"/>
    </row>
    <row r="25" spans="1:37" s="15" customFormat="1" ht="18" thickBot="1" x14ac:dyDescent="0.35">
      <c r="A25" s="222" t="s">
        <v>138</v>
      </c>
      <c r="B25" s="44"/>
      <c r="C25" s="23" t="s">
        <v>446</v>
      </c>
      <c r="D25" s="210" t="s">
        <v>208</v>
      </c>
      <c r="E25" s="210" t="s">
        <v>175</v>
      </c>
      <c r="F25" s="62">
        <f>'[1]Reg.2(1-15)'!$G$25</f>
        <v>13474</v>
      </c>
      <c r="G25" s="62">
        <f t="shared" si="0"/>
        <v>6737</v>
      </c>
      <c r="H25" s="61"/>
      <c r="I25" s="61"/>
      <c r="J25" s="61"/>
      <c r="K25" s="61"/>
      <c r="L25" s="61"/>
      <c r="M25" s="61"/>
      <c r="N25" s="61"/>
      <c r="O25" s="61"/>
      <c r="P25" s="61"/>
      <c r="Q25" s="61"/>
      <c r="R25" s="62"/>
      <c r="S25" s="62"/>
      <c r="T25" s="55">
        <f t="shared" si="4"/>
        <v>269.48</v>
      </c>
      <c r="U25" s="55">
        <f t="shared" si="5"/>
        <v>269.48</v>
      </c>
      <c r="V25" s="61"/>
      <c r="W25" s="61"/>
      <c r="X25" s="61"/>
      <c r="Y25" s="61"/>
      <c r="Z25" s="61"/>
      <c r="AA25" s="61"/>
      <c r="AB25" s="61"/>
      <c r="AC25" s="61"/>
      <c r="AD25" s="55">
        <f t="shared" si="1"/>
        <v>6467.52</v>
      </c>
      <c r="AE25" s="510" t="s">
        <v>138</v>
      </c>
      <c r="AF25" s="634"/>
      <c r="AG25" s="546"/>
      <c r="AH25" s="100"/>
      <c r="AI25" s="100"/>
      <c r="AJ25" s="100"/>
      <c r="AK25" s="542"/>
    </row>
    <row r="26" spans="1:37" s="15" customFormat="1" ht="18" thickBot="1" x14ac:dyDescent="0.35">
      <c r="A26" s="545" t="s">
        <v>139</v>
      </c>
      <c r="B26" s="44"/>
      <c r="C26" s="210"/>
      <c r="D26" s="210"/>
      <c r="E26" s="210"/>
      <c r="F26" s="472">
        <f t="shared" ref="F26:AD26" si="6">SUM(F12:F25)</f>
        <v>338038</v>
      </c>
      <c r="G26" s="472">
        <f t="shared" si="6"/>
        <v>169019</v>
      </c>
      <c r="H26" s="472">
        <f t="shared" si="6"/>
        <v>1375</v>
      </c>
      <c r="I26" s="472">
        <f>SUM(I12:I25)</f>
        <v>0</v>
      </c>
      <c r="J26" s="472">
        <f t="shared" si="6"/>
        <v>5244.48</v>
      </c>
      <c r="K26" s="472">
        <f t="shared" si="6"/>
        <v>0</v>
      </c>
      <c r="L26" s="472">
        <f t="shared" si="6"/>
        <v>2400</v>
      </c>
      <c r="M26" s="472">
        <f>SUM(M12:M25)</f>
        <v>0</v>
      </c>
      <c r="N26" s="472">
        <f t="shared" si="6"/>
        <v>983.34</v>
      </c>
      <c r="O26" s="472">
        <f t="shared" si="6"/>
        <v>26747.010000000002</v>
      </c>
      <c r="P26" s="472">
        <f t="shared" si="6"/>
        <v>0</v>
      </c>
      <c r="Q26" s="472">
        <f t="shared" si="6"/>
        <v>0</v>
      </c>
      <c r="R26" s="472">
        <f t="shared" si="6"/>
        <v>0</v>
      </c>
      <c r="S26" s="472">
        <f t="shared" si="6"/>
        <v>13123.569999999998</v>
      </c>
      <c r="T26" s="472">
        <f t="shared" si="6"/>
        <v>6934.08</v>
      </c>
      <c r="U26" s="472">
        <f t="shared" si="6"/>
        <v>6760.76</v>
      </c>
      <c r="V26" s="472">
        <f t="shared" si="6"/>
        <v>2638.56</v>
      </c>
      <c r="W26" s="472">
        <f t="shared" si="6"/>
        <v>0</v>
      </c>
      <c r="X26" s="472">
        <f>SUM(X12:X25)</f>
        <v>0</v>
      </c>
      <c r="Y26" s="472">
        <f t="shared" si="6"/>
        <v>500</v>
      </c>
      <c r="Z26" s="472">
        <f>SUM(Z12:Z25)</f>
        <v>2435.13</v>
      </c>
      <c r="AA26" s="472">
        <f t="shared" si="6"/>
        <v>19534.189999999999</v>
      </c>
      <c r="AB26" s="472">
        <f t="shared" si="6"/>
        <v>0</v>
      </c>
      <c r="AC26" s="472">
        <f t="shared" si="6"/>
        <v>0</v>
      </c>
      <c r="AD26" s="472">
        <f t="shared" si="6"/>
        <v>87103.64</v>
      </c>
      <c r="AE26" s="413" t="s">
        <v>139</v>
      </c>
      <c r="AF26" s="634"/>
      <c r="AG26" s="546"/>
      <c r="AH26" s="100"/>
      <c r="AI26" s="100"/>
      <c r="AJ26" s="100"/>
      <c r="AK26" s="542"/>
    </row>
    <row r="27" spans="1:37" s="15" customFormat="1" ht="16.5" thickTop="1" x14ac:dyDescent="0.3">
      <c r="A27" s="545" t="s">
        <v>140</v>
      </c>
      <c r="B27" s="492" t="s">
        <v>433</v>
      </c>
      <c r="C27" s="100"/>
      <c r="D27" s="547"/>
      <c r="E27" s="547"/>
      <c r="F27" s="476"/>
      <c r="G27" s="98"/>
      <c r="H27" s="479"/>
      <c r="I27" s="479"/>
      <c r="J27" s="479"/>
      <c r="K27" s="479"/>
      <c r="L27" s="481"/>
      <c r="M27" s="481"/>
      <c r="N27" s="481"/>
      <c r="O27" s="481"/>
      <c r="P27" s="481"/>
      <c r="Q27" s="482"/>
      <c r="R27" s="483"/>
      <c r="S27" s="483"/>
      <c r="T27" s="475"/>
      <c r="U27" s="480"/>
      <c r="V27" s="480"/>
      <c r="W27" s="480"/>
      <c r="X27" s="480"/>
      <c r="Y27" s="480"/>
      <c r="Z27" s="475"/>
      <c r="AA27" s="480"/>
      <c r="AB27" s="609"/>
      <c r="AC27" s="609"/>
      <c r="AD27" s="479"/>
      <c r="AE27" s="413" t="s">
        <v>140</v>
      </c>
      <c r="AF27" s="475"/>
      <c r="AG27" s="546"/>
      <c r="AH27" s="100"/>
      <c r="AI27" s="100"/>
      <c r="AJ27" s="100"/>
      <c r="AK27" s="542"/>
    </row>
    <row r="28" spans="1:37" s="15" customFormat="1" ht="15.75" customHeight="1" x14ac:dyDescent="0.3">
      <c r="A28" s="222" t="s">
        <v>141</v>
      </c>
      <c r="B28" s="44"/>
      <c r="C28" s="210" t="s">
        <v>185</v>
      </c>
      <c r="D28" s="935" t="s">
        <v>686</v>
      </c>
      <c r="E28" s="935"/>
      <c r="F28" s="54">
        <v>90205</v>
      </c>
      <c r="G28" s="54">
        <f t="shared" ref="G28:G33" si="7">F28/2</f>
        <v>45102.5</v>
      </c>
      <c r="H28" s="56">
        <v>2333.33</v>
      </c>
      <c r="I28" s="56"/>
      <c r="J28" s="56"/>
      <c r="K28" s="471"/>
      <c r="L28" s="56">
        <v>1000</v>
      </c>
      <c r="M28" s="56"/>
      <c r="N28" s="56"/>
      <c r="O28" s="56">
        <v>7580.3</v>
      </c>
      <c r="P28" s="56">
        <v>4817.22</v>
      </c>
      <c r="Q28" s="56"/>
      <c r="R28" s="54"/>
      <c r="S28" s="54">
        <v>11381.83</v>
      </c>
      <c r="T28" s="56">
        <f>F28*0.02</f>
        <v>1804.1000000000001</v>
      </c>
      <c r="U28" s="56">
        <f>T28</f>
        <v>1804.1000000000001</v>
      </c>
      <c r="V28" s="56">
        <v>2968.1</v>
      </c>
      <c r="W28" s="56"/>
      <c r="X28" s="56">
        <v>2119.81</v>
      </c>
      <c r="Y28" s="56"/>
      <c r="Z28" s="56"/>
      <c r="AA28" s="56"/>
      <c r="AB28" s="56"/>
      <c r="AC28" s="56"/>
      <c r="AD28" s="56">
        <f t="shared" ref="AD28:AD44" si="8">G28-SUM(H28:T28)-SUM(V28:AC28)</f>
        <v>11097.810000000001</v>
      </c>
      <c r="AE28" s="510" t="s">
        <v>141</v>
      </c>
      <c r="AF28" s="208"/>
      <c r="AG28" s="22"/>
      <c r="AH28" s="100"/>
      <c r="AI28" s="100"/>
      <c r="AJ28" s="100"/>
      <c r="AK28" s="474"/>
    </row>
    <row r="29" spans="1:37" s="15" customFormat="1" ht="15.75" customHeight="1" x14ac:dyDescent="0.3">
      <c r="A29" s="545" t="s">
        <v>142</v>
      </c>
      <c r="B29" s="44"/>
      <c r="C29" s="621" t="s">
        <v>619</v>
      </c>
      <c r="D29" s="210" t="s">
        <v>208</v>
      </c>
      <c r="E29" s="210" t="s">
        <v>175</v>
      </c>
      <c r="F29" s="54">
        <f>'[1]Reg.2(1-15)'!$G$29</f>
        <v>67385</v>
      </c>
      <c r="G29" s="54">
        <f t="shared" si="7"/>
        <v>33692.5</v>
      </c>
      <c r="H29" s="56"/>
      <c r="I29" s="56"/>
      <c r="J29" s="56"/>
      <c r="K29" s="471"/>
      <c r="L29" s="56">
        <v>1000</v>
      </c>
      <c r="M29" s="56"/>
      <c r="N29" s="56"/>
      <c r="O29" s="56">
        <v>13716</v>
      </c>
      <c r="P29" s="56"/>
      <c r="Q29" s="55"/>
      <c r="R29" s="57"/>
      <c r="S29" s="57">
        <v>6865.94</v>
      </c>
      <c r="T29" s="56">
        <f>F29*0.02</f>
        <v>1347.7</v>
      </c>
      <c r="U29" s="56">
        <f>T29</f>
        <v>1347.7</v>
      </c>
      <c r="V29" s="56"/>
      <c r="W29" s="56"/>
      <c r="X29" s="56"/>
      <c r="Y29" s="56"/>
      <c r="Z29" s="56"/>
      <c r="AA29" s="56"/>
      <c r="AB29" s="56"/>
      <c r="AC29" s="56"/>
      <c r="AD29" s="56">
        <f t="shared" si="8"/>
        <v>10762.86</v>
      </c>
      <c r="AE29" s="413" t="s">
        <v>142</v>
      </c>
      <c r="AF29" s="208"/>
      <c r="AG29" s="22"/>
      <c r="AH29" s="100"/>
      <c r="AI29" s="100"/>
      <c r="AJ29" s="100"/>
      <c r="AK29" s="474"/>
    </row>
    <row r="30" spans="1:37" ht="14.25" x14ac:dyDescent="0.2">
      <c r="A30" s="545" t="s">
        <v>143</v>
      </c>
      <c r="B30" s="44"/>
      <c r="C30" s="210" t="s">
        <v>105</v>
      </c>
      <c r="D30" s="210" t="s">
        <v>208</v>
      </c>
      <c r="E30" s="210" t="s">
        <v>175</v>
      </c>
      <c r="F30" s="54">
        <v>44057</v>
      </c>
      <c r="G30" s="54">
        <f>F30/2</f>
        <v>22028.5</v>
      </c>
      <c r="H30" s="56"/>
      <c r="I30" s="56"/>
      <c r="J30" s="56"/>
      <c r="K30" s="56"/>
      <c r="L30" s="56"/>
      <c r="M30" s="56"/>
      <c r="N30" s="56"/>
      <c r="O30" s="56"/>
      <c r="P30" s="56"/>
      <c r="Q30" s="55"/>
      <c r="R30" s="57"/>
      <c r="S30" s="57">
        <v>2726.95</v>
      </c>
      <c r="T30" s="56">
        <v>1000</v>
      </c>
      <c r="U30" s="56">
        <f>(F30*0.02)</f>
        <v>881.14</v>
      </c>
      <c r="V30" s="56"/>
      <c r="W30" s="56"/>
      <c r="X30" s="56"/>
      <c r="Y30" s="56"/>
      <c r="Z30" s="56">
        <v>0</v>
      </c>
      <c r="AA30" s="56">
        <v>0</v>
      </c>
      <c r="AB30" s="56"/>
      <c r="AC30" s="56"/>
      <c r="AD30" s="56">
        <f t="shared" si="8"/>
        <v>18301.55</v>
      </c>
      <c r="AE30" s="413" t="s">
        <v>143</v>
      </c>
      <c r="AF30" s="635"/>
      <c r="AG30" s="546"/>
      <c r="AH30" s="522"/>
      <c r="AI30" s="522"/>
      <c r="AJ30" s="522"/>
    </row>
    <row r="31" spans="1:37" ht="14.25" x14ac:dyDescent="0.2">
      <c r="A31" s="222" t="s">
        <v>144</v>
      </c>
      <c r="B31" s="44"/>
      <c r="C31" s="443" t="s">
        <v>109</v>
      </c>
      <c r="D31" s="210" t="s">
        <v>208</v>
      </c>
      <c r="E31" s="210" t="s">
        <v>175</v>
      </c>
      <c r="F31" s="59">
        <f>'[1]Reg.2(1-15)'!$G$31</f>
        <v>31470</v>
      </c>
      <c r="G31" s="59">
        <f>F31/2</f>
        <v>15735</v>
      </c>
      <c r="H31" s="56">
        <v>1400</v>
      </c>
      <c r="I31" s="56"/>
      <c r="J31" s="56">
        <v>655.56</v>
      </c>
      <c r="K31" s="56"/>
      <c r="L31" s="56"/>
      <c r="M31" s="56"/>
      <c r="N31" s="56"/>
      <c r="O31" s="56">
        <v>1040.49</v>
      </c>
      <c r="P31" s="56"/>
      <c r="Q31" s="56"/>
      <c r="R31" s="54"/>
      <c r="S31" s="54">
        <v>958.23</v>
      </c>
      <c r="T31" s="56">
        <f>F31*0.02</f>
        <v>629.4</v>
      </c>
      <c r="U31" s="56">
        <f>T31</f>
        <v>629.4</v>
      </c>
      <c r="V31" s="56"/>
      <c r="W31" s="56"/>
      <c r="X31" s="56"/>
      <c r="Y31" s="56"/>
      <c r="Z31" s="56"/>
      <c r="AA31" s="56">
        <f>2844.14+2844.13</f>
        <v>5688.27</v>
      </c>
      <c r="AB31" s="56"/>
      <c r="AC31" s="56"/>
      <c r="AD31" s="56">
        <f t="shared" si="8"/>
        <v>5363.0499999999993</v>
      </c>
      <c r="AE31" s="510" t="s">
        <v>144</v>
      </c>
      <c r="AF31" s="635"/>
      <c r="AG31" s="546"/>
      <c r="AH31" s="522"/>
      <c r="AI31" s="522"/>
      <c r="AJ31" s="522"/>
      <c r="AK31" s="88"/>
    </row>
    <row r="32" spans="1:37" ht="14.25" x14ac:dyDescent="0.2">
      <c r="A32" s="545" t="s">
        <v>145</v>
      </c>
      <c r="B32" s="44"/>
      <c r="C32" s="210" t="s">
        <v>473</v>
      </c>
      <c r="D32" s="210" t="s">
        <v>208</v>
      </c>
      <c r="E32" s="210" t="s">
        <v>175</v>
      </c>
      <c r="F32" s="56">
        <v>21922</v>
      </c>
      <c r="G32" s="54">
        <f t="shared" ref="G32" si="9">F32/2</f>
        <v>10961</v>
      </c>
      <c r="H32" s="56"/>
      <c r="I32" s="56"/>
      <c r="J32" s="56">
        <v>589.44000000000005</v>
      </c>
      <c r="K32" s="56"/>
      <c r="L32" s="56"/>
      <c r="M32" s="56"/>
      <c r="N32" s="56"/>
      <c r="O32" s="56"/>
      <c r="P32" s="56"/>
      <c r="Q32" s="55"/>
      <c r="R32" s="57"/>
      <c r="S32" s="57"/>
      <c r="T32" s="56">
        <f>F32*0.02</f>
        <v>438.44</v>
      </c>
      <c r="U32" s="56">
        <f>T32</f>
        <v>438.44</v>
      </c>
      <c r="V32" s="56"/>
      <c r="W32" s="56"/>
      <c r="X32" s="56"/>
      <c r="Y32" s="56"/>
      <c r="Z32" s="56">
        <v>0</v>
      </c>
      <c r="AA32" s="56"/>
      <c r="AB32" s="56"/>
      <c r="AC32" s="56"/>
      <c r="AD32" s="56">
        <f t="shared" si="8"/>
        <v>9933.119999999999</v>
      </c>
      <c r="AE32" s="413" t="s">
        <v>145</v>
      </c>
      <c r="AF32" s="635"/>
      <c r="AG32" s="546"/>
      <c r="AH32" s="522"/>
      <c r="AI32" s="522"/>
      <c r="AJ32" s="522"/>
      <c r="AK32" s="88"/>
    </row>
    <row r="33" spans="1:37" ht="14.25" x14ac:dyDescent="0.2">
      <c r="A33" s="545" t="s">
        <v>146</v>
      </c>
      <c r="B33" s="44"/>
      <c r="C33" s="210" t="s">
        <v>167</v>
      </c>
      <c r="D33" s="210" t="s">
        <v>208</v>
      </c>
      <c r="E33" s="210" t="s">
        <v>175</v>
      </c>
      <c r="F33" s="54">
        <f>'[1]Reg.2(1-15)'!$G$33</f>
        <v>17735</v>
      </c>
      <c r="G33" s="54">
        <f t="shared" si="7"/>
        <v>8867.5</v>
      </c>
      <c r="H33" s="56"/>
      <c r="I33" s="56"/>
      <c r="J33" s="56">
        <v>1311.12</v>
      </c>
      <c r="K33" s="56"/>
      <c r="L33" s="56"/>
      <c r="M33" s="56"/>
      <c r="N33" s="56">
        <v>983.33</v>
      </c>
      <c r="O33" s="56">
        <v>1150.08</v>
      </c>
      <c r="P33" s="56"/>
      <c r="Q33" s="55"/>
      <c r="R33" s="57"/>
      <c r="S33" s="57"/>
      <c r="T33" s="56">
        <f t="shared" ref="T33:T41" si="10">F33*0.02</f>
        <v>354.7</v>
      </c>
      <c r="U33" s="56">
        <f t="shared" ref="U33:U42" si="11">T33</f>
        <v>354.7</v>
      </c>
      <c r="V33" s="56"/>
      <c r="W33" s="56"/>
      <c r="X33" s="56"/>
      <c r="Y33" s="56"/>
      <c r="Z33" s="56">
        <v>1282.6500000000001</v>
      </c>
      <c r="AA33" s="56">
        <v>0</v>
      </c>
      <c r="AB33" s="56"/>
      <c r="AC33" s="56"/>
      <c r="AD33" s="56">
        <f t="shared" si="8"/>
        <v>3785.6200000000003</v>
      </c>
      <c r="AE33" s="413" t="s">
        <v>146</v>
      </c>
      <c r="AF33" s="635"/>
      <c r="AG33" s="546"/>
      <c r="AH33" s="522"/>
      <c r="AI33" s="522"/>
      <c r="AJ33" s="522"/>
      <c r="AK33" s="88"/>
    </row>
    <row r="34" spans="1:37" ht="14.25" x14ac:dyDescent="0.2">
      <c r="A34" s="222" t="s">
        <v>147</v>
      </c>
      <c r="B34" s="44"/>
      <c r="C34" s="210" t="s">
        <v>167</v>
      </c>
      <c r="D34" s="210" t="s">
        <v>208</v>
      </c>
      <c r="E34" s="210" t="s">
        <v>175</v>
      </c>
      <c r="F34" s="56">
        <v>17219</v>
      </c>
      <c r="G34" s="54">
        <f>F34/2</f>
        <v>8609.5</v>
      </c>
      <c r="H34" s="56"/>
      <c r="I34" s="56"/>
      <c r="J34" s="56"/>
      <c r="K34" s="56"/>
      <c r="L34" s="56"/>
      <c r="M34" s="56"/>
      <c r="N34" s="56"/>
      <c r="O34" s="56"/>
      <c r="P34" s="56"/>
      <c r="Q34" s="55"/>
      <c r="R34" s="57"/>
      <c r="S34" s="57"/>
      <c r="T34" s="56">
        <f>F34*0.02</f>
        <v>344.38</v>
      </c>
      <c r="U34" s="56">
        <f>T34</f>
        <v>344.38</v>
      </c>
      <c r="V34" s="56">
        <v>738.02</v>
      </c>
      <c r="W34" s="56"/>
      <c r="X34" s="56"/>
      <c r="Y34" s="56"/>
      <c r="Z34" s="56"/>
      <c r="AA34" s="56"/>
      <c r="AB34" s="56"/>
      <c r="AC34" s="56"/>
      <c r="AD34" s="56">
        <f t="shared" si="8"/>
        <v>7527.1</v>
      </c>
      <c r="AE34" s="510" t="s">
        <v>147</v>
      </c>
      <c r="AF34" s="635"/>
      <c r="AG34" s="546"/>
      <c r="AH34" s="522"/>
      <c r="AI34" s="522"/>
      <c r="AJ34" s="522"/>
      <c r="AK34" s="88"/>
    </row>
    <row r="35" spans="1:37" ht="14.25" x14ac:dyDescent="0.2">
      <c r="A35" s="545" t="s">
        <v>148</v>
      </c>
      <c r="B35" s="30"/>
      <c r="C35" s="210" t="s">
        <v>167</v>
      </c>
      <c r="D35" s="210" t="s">
        <v>208</v>
      </c>
      <c r="E35" s="210" t="s">
        <v>175</v>
      </c>
      <c r="F35" s="56">
        <v>17219</v>
      </c>
      <c r="G35" s="54">
        <f>F35/2</f>
        <v>8609.5</v>
      </c>
      <c r="H35" s="56"/>
      <c r="I35" s="56"/>
      <c r="J35" s="56"/>
      <c r="K35" s="56"/>
      <c r="L35" s="56"/>
      <c r="M35" s="56"/>
      <c r="N35" s="56"/>
      <c r="O35" s="56"/>
      <c r="P35" s="56"/>
      <c r="Q35" s="55"/>
      <c r="R35" s="57"/>
      <c r="S35" s="57"/>
      <c r="T35" s="56">
        <f>F35*0.02</f>
        <v>344.38</v>
      </c>
      <c r="U35" s="56">
        <f>T35</f>
        <v>344.38</v>
      </c>
      <c r="V35" s="56"/>
      <c r="W35" s="56"/>
      <c r="X35" s="56"/>
      <c r="Y35" s="56"/>
      <c r="Z35" s="56"/>
      <c r="AA35" s="56"/>
      <c r="AB35" s="56"/>
      <c r="AC35" s="56"/>
      <c r="AD35" s="56">
        <f t="shared" si="8"/>
        <v>8265.1200000000008</v>
      </c>
      <c r="AE35" s="413" t="s">
        <v>148</v>
      </c>
      <c r="AF35" s="635"/>
      <c r="AG35" s="546"/>
      <c r="AH35" s="522"/>
      <c r="AI35" s="522"/>
      <c r="AJ35" s="522"/>
      <c r="AK35" s="88"/>
    </row>
    <row r="36" spans="1:37" ht="14.25" x14ac:dyDescent="0.2">
      <c r="A36" s="545" t="s">
        <v>149</v>
      </c>
      <c r="B36" s="30"/>
      <c r="C36" s="210" t="s">
        <v>167</v>
      </c>
      <c r="D36" s="210" t="s">
        <v>208</v>
      </c>
      <c r="E36" s="210" t="s">
        <v>175</v>
      </c>
      <c r="F36" s="56">
        <v>17094</v>
      </c>
      <c r="G36" s="54">
        <f>F36/2</f>
        <v>8547</v>
      </c>
      <c r="H36" s="56">
        <v>475</v>
      </c>
      <c r="I36" s="56"/>
      <c r="J36" s="56">
        <v>655.56</v>
      </c>
      <c r="K36" s="56"/>
      <c r="L36" s="56"/>
      <c r="M36" s="56"/>
      <c r="N36" s="56">
        <v>983.33</v>
      </c>
      <c r="O36" s="56">
        <v>505.59</v>
      </c>
      <c r="P36" s="56"/>
      <c r="Q36" s="55"/>
      <c r="R36" s="57"/>
      <c r="S36" s="57"/>
      <c r="T36" s="56">
        <f>F36*0.02</f>
        <v>341.88</v>
      </c>
      <c r="U36" s="56">
        <f>T36</f>
        <v>341.88</v>
      </c>
      <c r="V36" s="56"/>
      <c r="W36" s="56"/>
      <c r="X36" s="56"/>
      <c r="Y36" s="56"/>
      <c r="Z36" s="56"/>
      <c r="AA36" s="56"/>
      <c r="AB36" s="56"/>
      <c r="AC36" s="56"/>
      <c r="AD36" s="56">
        <f t="shared" si="8"/>
        <v>5585.6399999999994</v>
      </c>
      <c r="AE36" s="413" t="s">
        <v>149</v>
      </c>
      <c r="AF36" s="635"/>
      <c r="AG36" s="546"/>
      <c r="AH36" s="522"/>
      <c r="AI36" s="522"/>
      <c r="AJ36" s="522"/>
      <c r="AK36" s="88"/>
    </row>
    <row r="37" spans="1:37" ht="14.25" x14ac:dyDescent="0.2">
      <c r="A37" s="222" t="s">
        <v>150</v>
      </c>
      <c r="B37" s="30"/>
      <c r="C37" s="210" t="s">
        <v>556</v>
      </c>
      <c r="D37" s="210" t="s">
        <v>208</v>
      </c>
      <c r="E37" s="210" t="s">
        <v>175</v>
      </c>
      <c r="F37" s="56">
        <f>'[1]Reg.2(1-15)'!$G$37</f>
        <v>16113</v>
      </c>
      <c r="G37" s="54">
        <f>F37/2</f>
        <v>8056.5</v>
      </c>
      <c r="H37" s="56"/>
      <c r="I37" s="56"/>
      <c r="J37" s="56"/>
      <c r="K37" s="56"/>
      <c r="L37" s="56"/>
      <c r="M37" s="56"/>
      <c r="N37" s="56"/>
      <c r="O37" s="56"/>
      <c r="P37" s="56"/>
      <c r="Q37" s="55"/>
      <c r="R37" s="57"/>
      <c r="S37" s="57"/>
      <c r="T37" s="56">
        <f>F37*0.02</f>
        <v>322.26</v>
      </c>
      <c r="U37" s="56">
        <f>T37</f>
        <v>322.26</v>
      </c>
      <c r="V37" s="56"/>
      <c r="W37" s="56"/>
      <c r="X37" s="56"/>
      <c r="Y37" s="56"/>
      <c r="Z37" s="56"/>
      <c r="AA37" s="56">
        <v>2844.14</v>
      </c>
      <c r="AB37" s="56"/>
      <c r="AC37" s="56"/>
      <c r="AD37" s="56">
        <f t="shared" si="8"/>
        <v>4890.1000000000004</v>
      </c>
      <c r="AE37" s="510" t="s">
        <v>150</v>
      </c>
      <c r="AF37" s="635"/>
      <c r="AG37" s="546"/>
      <c r="AH37" s="522"/>
      <c r="AI37" s="522"/>
      <c r="AJ37" s="522"/>
      <c r="AK37" s="88"/>
    </row>
    <row r="38" spans="1:37" ht="14.25" x14ac:dyDescent="0.2">
      <c r="A38" s="545" t="s">
        <v>151</v>
      </c>
      <c r="B38" s="44"/>
      <c r="C38" s="210" t="s">
        <v>499</v>
      </c>
      <c r="D38" s="210" t="s">
        <v>208</v>
      </c>
      <c r="E38" s="210" t="s">
        <v>175</v>
      </c>
      <c r="F38" s="56">
        <v>14308</v>
      </c>
      <c r="G38" s="54">
        <f>F38/2</f>
        <v>7154</v>
      </c>
      <c r="H38" s="56"/>
      <c r="I38" s="56"/>
      <c r="J38" s="56">
        <v>1311.12</v>
      </c>
      <c r="K38" s="56"/>
      <c r="L38" s="56"/>
      <c r="M38" s="56"/>
      <c r="N38" s="56">
        <v>983.33</v>
      </c>
      <c r="O38" s="56">
        <v>797.95</v>
      </c>
      <c r="P38" s="56"/>
      <c r="Q38" s="55"/>
      <c r="R38" s="57"/>
      <c r="S38" s="57"/>
      <c r="T38" s="56">
        <f>F38*0.02</f>
        <v>286.16000000000003</v>
      </c>
      <c r="U38" s="56">
        <f>T38</f>
        <v>286.16000000000003</v>
      </c>
      <c r="V38" s="56"/>
      <c r="W38" s="56"/>
      <c r="X38" s="56"/>
      <c r="Y38" s="56"/>
      <c r="Z38" s="56"/>
      <c r="AA38" s="56">
        <v>3568.49</v>
      </c>
      <c r="AB38" s="56"/>
      <c r="AC38" s="56"/>
      <c r="AD38" s="56">
        <f t="shared" si="8"/>
        <v>206.95000000000073</v>
      </c>
      <c r="AE38" s="413" t="s">
        <v>151</v>
      </c>
      <c r="AF38" s="635"/>
      <c r="AG38" s="546"/>
      <c r="AH38" s="522"/>
      <c r="AI38" s="522"/>
      <c r="AJ38" s="522"/>
      <c r="AK38" s="88"/>
    </row>
    <row r="39" spans="1:37" ht="14.25" x14ac:dyDescent="0.2">
      <c r="A39" s="545" t="s">
        <v>152</v>
      </c>
      <c r="B39" s="44"/>
      <c r="C39" s="210" t="s">
        <v>446</v>
      </c>
      <c r="D39" s="210" t="s">
        <v>208</v>
      </c>
      <c r="E39" s="210" t="s">
        <v>175</v>
      </c>
      <c r="F39" s="56">
        <f>'[1]Reg.2(1-15)'!$G$39</f>
        <v>13575</v>
      </c>
      <c r="G39" s="54">
        <f t="shared" ref="G39:G44" si="12">F39/2</f>
        <v>6787.5</v>
      </c>
      <c r="H39" s="56">
        <v>700</v>
      </c>
      <c r="I39" s="56"/>
      <c r="J39" s="56">
        <v>655.56</v>
      </c>
      <c r="L39" s="56">
        <v>100</v>
      </c>
      <c r="M39" s="56"/>
      <c r="N39" s="56"/>
      <c r="O39" s="56">
        <f>767.81+767.82</f>
        <v>1535.63</v>
      </c>
      <c r="P39" s="56"/>
      <c r="Q39" s="55"/>
      <c r="R39" s="57"/>
      <c r="S39" s="57"/>
      <c r="T39" s="56">
        <f t="shared" si="10"/>
        <v>271.5</v>
      </c>
      <c r="U39" s="56">
        <f t="shared" si="11"/>
        <v>271.5</v>
      </c>
      <c r="V39" s="56"/>
      <c r="W39" s="56"/>
      <c r="X39" s="56"/>
      <c r="Y39" s="56"/>
      <c r="Z39" s="56"/>
      <c r="AA39" s="56"/>
      <c r="AB39" s="56"/>
      <c r="AC39" s="56"/>
      <c r="AD39" s="56">
        <f t="shared" si="8"/>
        <v>3524.81</v>
      </c>
      <c r="AE39" s="413" t="s">
        <v>152</v>
      </c>
      <c r="AF39" s="635"/>
      <c r="AG39" s="546"/>
      <c r="AH39" s="522"/>
      <c r="AI39" s="522"/>
      <c r="AJ39" s="522"/>
      <c r="AK39" s="88"/>
    </row>
    <row r="40" spans="1:37" ht="14.25" x14ac:dyDescent="0.2">
      <c r="A40" s="222" t="s">
        <v>153</v>
      </c>
      <c r="B40" s="44"/>
      <c r="C40" s="210" t="s">
        <v>446</v>
      </c>
      <c r="D40" s="210" t="s">
        <v>208</v>
      </c>
      <c r="E40" s="210" t="s">
        <v>175</v>
      </c>
      <c r="F40" s="56">
        <f>'[1]Reg.2(1-15)'!$G$40</f>
        <v>13575</v>
      </c>
      <c r="G40" s="54">
        <f t="shared" si="12"/>
        <v>6787.5</v>
      </c>
      <c r="H40" s="56"/>
      <c r="I40" s="56"/>
      <c r="J40" s="56">
        <v>655.56</v>
      </c>
      <c r="K40" s="56"/>
      <c r="L40" s="56">
        <v>300</v>
      </c>
      <c r="M40" s="56"/>
      <c r="N40" s="56"/>
      <c r="O40" s="56">
        <v>916.16</v>
      </c>
      <c r="P40" s="56"/>
      <c r="Q40" s="55"/>
      <c r="R40" s="57"/>
      <c r="S40" s="57"/>
      <c r="T40" s="56">
        <f t="shared" si="10"/>
        <v>271.5</v>
      </c>
      <c r="U40" s="56">
        <f t="shared" si="11"/>
        <v>271.5</v>
      </c>
      <c r="V40" s="56"/>
      <c r="W40" s="56"/>
      <c r="X40" s="56"/>
      <c r="Y40" s="56"/>
      <c r="Z40" s="56"/>
      <c r="AA40" s="56"/>
      <c r="AB40" s="56"/>
      <c r="AC40" s="56"/>
      <c r="AD40" s="56">
        <f t="shared" si="8"/>
        <v>4644.2800000000007</v>
      </c>
      <c r="AE40" s="510" t="s">
        <v>153</v>
      </c>
      <c r="AF40" s="635"/>
      <c r="AG40" s="546"/>
      <c r="AH40" s="522"/>
      <c r="AI40" s="522"/>
      <c r="AJ40" s="522"/>
      <c r="AK40" s="88"/>
    </row>
    <row r="41" spans="1:37" ht="14.25" x14ac:dyDescent="0.2">
      <c r="A41" s="545" t="s">
        <v>154</v>
      </c>
      <c r="B41" s="44"/>
      <c r="C41" s="210" t="s">
        <v>446</v>
      </c>
      <c r="D41" s="210" t="s">
        <v>208</v>
      </c>
      <c r="E41" s="210" t="s">
        <v>175</v>
      </c>
      <c r="F41" s="56">
        <v>13474</v>
      </c>
      <c r="G41" s="54">
        <f t="shared" si="12"/>
        <v>6737</v>
      </c>
      <c r="H41" s="56">
        <v>475</v>
      </c>
      <c r="I41" s="56"/>
      <c r="J41" s="56">
        <v>638.73</v>
      </c>
      <c r="K41" s="56"/>
      <c r="L41" s="56"/>
      <c r="M41" s="56"/>
      <c r="N41" s="56">
        <v>983.33</v>
      </c>
      <c r="O41" s="56">
        <v>398.53</v>
      </c>
      <c r="P41" s="56"/>
      <c r="Q41" s="56"/>
      <c r="R41" s="54"/>
      <c r="S41" s="54"/>
      <c r="T41" s="56">
        <f t="shared" si="10"/>
        <v>269.48</v>
      </c>
      <c r="U41" s="56">
        <f t="shared" si="11"/>
        <v>269.48</v>
      </c>
      <c r="V41" s="56"/>
      <c r="W41" s="56"/>
      <c r="X41" s="56"/>
      <c r="Y41" s="56"/>
      <c r="Z41" s="56"/>
      <c r="AA41" s="56"/>
      <c r="AB41" s="56"/>
      <c r="AC41" s="56"/>
      <c r="AD41" s="56">
        <f t="shared" si="8"/>
        <v>3971.93</v>
      </c>
      <c r="AE41" s="413" t="s">
        <v>154</v>
      </c>
      <c r="AF41" s="635"/>
      <c r="AG41" s="546"/>
      <c r="AH41" s="522"/>
      <c r="AI41" s="522"/>
      <c r="AJ41" s="522"/>
      <c r="AK41" s="88"/>
    </row>
    <row r="42" spans="1:37" ht="14.25" x14ac:dyDescent="0.2">
      <c r="A42" s="545" t="s">
        <v>155</v>
      </c>
      <c r="B42" s="44"/>
      <c r="C42" s="210" t="s">
        <v>446</v>
      </c>
      <c r="D42" s="210" t="s">
        <v>208</v>
      </c>
      <c r="E42" s="210" t="s">
        <v>175</v>
      </c>
      <c r="F42" s="56">
        <v>13474</v>
      </c>
      <c r="G42" s="59">
        <f t="shared" si="12"/>
        <v>6737</v>
      </c>
      <c r="H42" s="56">
        <v>475</v>
      </c>
      <c r="I42" s="58"/>
      <c r="J42" s="58">
        <v>638.73</v>
      </c>
      <c r="K42" s="58"/>
      <c r="L42" s="58"/>
      <c r="M42" s="58"/>
      <c r="N42" s="58">
        <v>466.67</v>
      </c>
      <c r="O42" s="58"/>
      <c r="P42" s="58"/>
      <c r="Q42" s="58"/>
      <c r="R42" s="59"/>
      <c r="S42" s="59"/>
      <c r="T42" s="56">
        <f>F42*0.02</f>
        <v>269.48</v>
      </c>
      <c r="U42" s="56">
        <f t="shared" si="11"/>
        <v>269.48</v>
      </c>
      <c r="V42" s="58">
        <v>922.53</v>
      </c>
      <c r="W42" s="58"/>
      <c r="X42" s="58"/>
      <c r="Y42" s="58"/>
      <c r="Z42" s="58"/>
      <c r="AA42" s="58">
        <v>2973.74</v>
      </c>
      <c r="AB42" s="61"/>
      <c r="AC42" s="61"/>
      <c r="AD42" s="61">
        <f t="shared" si="8"/>
        <v>990.85000000000036</v>
      </c>
      <c r="AE42" s="413" t="s">
        <v>155</v>
      </c>
      <c r="AF42" s="635"/>
      <c r="AG42" s="546"/>
      <c r="AH42" s="522"/>
      <c r="AI42" s="522"/>
      <c r="AJ42" s="522"/>
      <c r="AK42" s="88"/>
    </row>
    <row r="43" spans="1:37" ht="14.25" x14ac:dyDescent="0.2">
      <c r="A43" s="222" t="s">
        <v>156</v>
      </c>
      <c r="B43" s="44"/>
      <c r="C43" s="210" t="s">
        <v>446</v>
      </c>
      <c r="D43" s="210" t="s">
        <v>208</v>
      </c>
      <c r="E43" s="210" t="s">
        <v>175</v>
      </c>
      <c r="F43" s="56">
        <v>13474</v>
      </c>
      <c r="G43" s="54">
        <f t="shared" si="12"/>
        <v>6737</v>
      </c>
      <c r="H43" s="56"/>
      <c r="I43" s="56"/>
      <c r="J43" s="56"/>
      <c r="K43" s="56"/>
      <c r="L43" s="56"/>
      <c r="M43" s="56"/>
      <c r="N43" s="56"/>
      <c r="O43" s="56"/>
      <c r="P43" s="56"/>
      <c r="Q43" s="56"/>
      <c r="R43" s="54"/>
      <c r="S43" s="54"/>
      <c r="T43" s="56">
        <f>F43*0.02</f>
        <v>269.48</v>
      </c>
      <c r="U43" s="56">
        <f>T43</f>
        <v>269.48</v>
      </c>
      <c r="V43" s="56"/>
      <c r="W43" s="56"/>
      <c r="X43" s="56"/>
      <c r="Y43" s="56"/>
      <c r="Z43" s="56"/>
      <c r="AA43" s="56"/>
      <c r="AB43" s="56"/>
      <c r="AC43" s="56"/>
      <c r="AD43" s="56">
        <f t="shared" si="8"/>
        <v>6467.52</v>
      </c>
      <c r="AE43" s="510" t="s">
        <v>156</v>
      </c>
      <c r="AF43" s="635"/>
      <c r="AG43" s="546"/>
      <c r="AH43" s="522"/>
      <c r="AI43" s="522"/>
      <c r="AJ43" s="522"/>
      <c r="AK43" s="88"/>
    </row>
    <row r="44" spans="1:37" ht="15" thickBot="1" x14ac:dyDescent="0.25">
      <c r="A44" s="545" t="s">
        <v>157</v>
      </c>
      <c r="B44" s="44"/>
      <c r="C44" s="210" t="s">
        <v>446</v>
      </c>
      <c r="D44" s="210" t="s">
        <v>208</v>
      </c>
      <c r="E44" s="210" t="s">
        <v>175</v>
      </c>
      <c r="F44" s="60">
        <f>'[1]Reg.2(1-15)'!$G$44</f>
        <v>13474</v>
      </c>
      <c r="G44" s="54">
        <f t="shared" si="12"/>
        <v>6737</v>
      </c>
      <c r="H44" s="61"/>
      <c r="I44" s="61"/>
      <c r="J44" s="61"/>
      <c r="K44" s="61"/>
      <c r="L44" s="61"/>
      <c r="M44" s="61"/>
      <c r="N44" s="61"/>
      <c r="O44" s="61"/>
      <c r="P44" s="61"/>
      <c r="Q44" s="61"/>
      <c r="R44" s="62"/>
      <c r="S44" s="62"/>
      <c r="T44" s="56">
        <f>F44*0.02</f>
        <v>269.48</v>
      </c>
      <c r="U44" s="56">
        <f>T44</f>
        <v>269.48</v>
      </c>
      <c r="V44" s="61"/>
      <c r="W44" s="61"/>
      <c r="X44" s="61"/>
      <c r="Y44" s="61"/>
      <c r="Z44" s="61"/>
      <c r="AA44" s="61"/>
      <c r="AB44" s="61"/>
      <c r="AC44" s="61"/>
      <c r="AD44" s="56">
        <f t="shared" si="8"/>
        <v>6467.52</v>
      </c>
      <c r="AE44" s="413" t="s">
        <v>157</v>
      </c>
      <c r="AF44" s="635"/>
      <c r="AG44" s="546"/>
      <c r="AH44" s="522"/>
      <c r="AI44" s="522"/>
      <c r="AJ44" s="522"/>
      <c r="AK44" s="88"/>
    </row>
    <row r="45" spans="1:37" ht="15" thickBot="1" x14ac:dyDescent="0.25">
      <c r="A45" s="545" t="s">
        <v>97</v>
      </c>
      <c r="B45" s="44"/>
      <c r="C45" s="210"/>
      <c r="D45" s="210"/>
      <c r="E45" s="210"/>
      <c r="F45" s="472">
        <f t="shared" ref="F45:AD45" si="13">SUM(F28:F44)</f>
        <v>435773</v>
      </c>
      <c r="G45" s="472">
        <f t="shared" si="13"/>
        <v>217886.5</v>
      </c>
      <c r="H45" s="472">
        <f t="shared" si="13"/>
        <v>5858.33</v>
      </c>
      <c r="I45" s="472">
        <f>SUM(I28:I44)</f>
        <v>0</v>
      </c>
      <c r="J45" s="472">
        <f t="shared" si="13"/>
        <v>7111.3799999999974</v>
      </c>
      <c r="K45" s="472">
        <f t="shared" si="13"/>
        <v>0</v>
      </c>
      <c r="L45" s="472">
        <f t="shared" si="13"/>
        <v>2400</v>
      </c>
      <c r="M45" s="472">
        <f>SUM(M28:M44)</f>
        <v>0</v>
      </c>
      <c r="N45" s="472">
        <f t="shared" si="13"/>
        <v>4399.99</v>
      </c>
      <c r="O45" s="472">
        <f t="shared" si="13"/>
        <v>27640.730000000003</v>
      </c>
      <c r="P45" s="472">
        <f t="shared" si="13"/>
        <v>4817.22</v>
      </c>
      <c r="Q45" s="472">
        <f t="shared" si="13"/>
        <v>0</v>
      </c>
      <c r="R45" s="472">
        <f t="shared" si="13"/>
        <v>0</v>
      </c>
      <c r="S45" s="472">
        <f t="shared" si="13"/>
        <v>21932.95</v>
      </c>
      <c r="T45" s="472">
        <f t="shared" si="13"/>
        <v>8834.3199999999979</v>
      </c>
      <c r="U45" s="472">
        <f t="shared" si="13"/>
        <v>8715.4599999999991</v>
      </c>
      <c r="V45" s="472">
        <f t="shared" si="13"/>
        <v>4628.6499999999996</v>
      </c>
      <c r="W45" s="472">
        <f t="shared" si="13"/>
        <v>0</v>
      </c>
      <c r="X45" s="472">
        <f>SUM(X28:X44)</f>
        <v>2119.81</v>
      </c>
      <c r="Y45" s="472">
        <f>SUM(Y28:Y44)</f>
        <v>0</v>
      </c>
      <c r="Z45" s="472">
        <f>SUM(Z28:Z44)</f>
        <v>1282.6500000000001</v>
      </c>
      <c r="AA45" s="472">
        <f t="shared" si="13"/>
        <v>15074.64</v>
      </c>
      <c r="AB45" s="472">
        <f t="shared" si="13"/>
        <v>0</v>
      </c>
      <c r="AC45" s="472">
        <f t="shared" si="13"/>
        <v>0</v>
      </c>
      <c r="AD45" s="472">
        <f t="shared" si="13"/>
        <v>111785.83</v>
      </c>
      <c r="AE45" s="413" t="s">
        <v>97</v>
      </c>
      <c r="AF45" s="635"/>
      <c r="AG45" s="546"/>
      <c r="AH45" s="522"/>
      <c r="AI45" s="522"/>
      <c r="AJ45" s="522"/>
    </row>
    <row r="46" spans="1:37" ht="16.5" customHeight="1" thickTop="1" x14ac:dyDescent="0.2">
      <c r="A46" s="222" t="s">
        <v>99</v>
      </c>
      <c r="B46" s="408" t="s">
        <v>76</v>
      </c>
      <c r="C46" s="210"/>
      <c r="D46" s="210"/>
      <c r="E46" s="210"/>
      <c r="F46" s="56"/>
      <c r="G46" s="56"/>
      <c r="H46" s="58"/>
      <c r="I46" s="58"/>
      <c r="J46" s="58"/>
      <c r="K46" s="58"/>
      <c r="L46" s="58"/>
      <c r="M46" s="58"/>
      <c r="N46" s="58"/>
      <c r="O46" s="58"/>
      <c r="P46" s="58"/>
      <c r="Q46" s="58"/>
      <c r="R46" s="58"/>
      <c r="S46" s="58"/>
      <c r="T46" s="58"/>
      <c r="U46" s="58"/>
      <c r="V46" s="58"/>
      <c r="W46" s="484"/>
      <c r="X46" s="484"/>
      <c r="Y46" s="484"/>
      <c r="Z46" s="58"/>
      <c r="AA46" s="58"/>
      <c r="AB46" s="58"/>
      <c r="AC46" s="58"/>
      <c r="AD46" s="56"/>
      <c r="AE46" s="510" t="s">
        <v>99</v>
      </c>
      <c r="AF46" s="612"/>
      <c r="AG46" s="22"/>
    </row>
    <row r="47" spans="1:37" s="15" customFormat="1" ht="15.75" customHeight="1" x14ac:dyDescent="0.3">
      <c r="A47" s="545" t="s">
        <v>46</v>
      </c>
      <c r="B47" s="44"/>
      <c r="C47" s="210" t="s">
        <v>77</v>
      </c>
      <c r="D47" s="935" t="s">
        <v>686</v>
      </c>
      <c r="E47" s="935"/>
      <c r="F47" s="54">
        <f>'[1]Reg.2(1-15)'!$G$47</f>
        <v>88811</v>
      </c>
      <c r="G47" s="54">
        <f t="shared" ref="G47:G52" si="14">F47/2</f>
        <v>44405.5</v>
      </c>
      <c r="H47" s="56"/>
      <c r="I47" s="56">
        <v>8534.32</v>
      </c>
      <c r="J47" s="56"/>
      <c r="K47" s="56"/>
      <c r="L47" s="56"/>
      <c r="M47" s="56"/>
      <c r="N47" s="56"/>
      <c r="O47" s="56"/>
      <c r="P47" s="56"/>
      <c r="Q47" s="56"/>
      <c r="R47" s="54"/>
      <c r="S47" s="54">
        <v>11080.38</v>
      </c>
      <c r="T47" s="56">
        <f>F47*0.02</f>
        <v>1776.22</v>
      </c>
      <c r="U47" s="56">
        <f t="shared" ref="U47:U52" si="15">T47</f>
        <v>1776.22</v>
      </c>
      <c r="V47" s="56"/>
      <c r="W47" s="56"/>
      <c r="X47" s="56"/>
      <c r="Y47" s="56"/>
      <c r="Z47" s="56"/>
      <c r="AA47" s="56"/>
      <c r="AB47" s="56"/>
      <c r="AC47" s="56"/>
      <c r="AD47" s="56">
        <f t="shared" ref="AD47:AD52" si="16">G47-SUM(H47:T47)-SUM(V47:AC47)</f>
        <v>23014.58</v>
      </c>
      <c r="AE47" s="413" t="s">
        <v>46</v>
      </c>
      <c r="AF47" s="207"/>
      <c r="AG47" s="21"/>
      <c r="AH47" s="100"/>
      <c r="AI47" s="100"/>
      <c r="AJ47" s="100"/>
      <c r="AK47" s="542">
        <v>1087</v>
      </c>
    </row>
    <row r="48" spans="1:37" s="15" customFormat="1" ht="18" x14ac:dyDescent="0.3">
      <c r="A48" s="545" t="s">
        <v>47</v>
      </c>
      <c r="B48" s="44"/>
      <c r="C48" s="636" t="s">
        <v>614</v>
      </c>
      <c r="D48" s="210" t="s">
        <v>208</v>
      </c>
      <c r="E48" s="210" t="s">
        <v>175</v>
      </c>
      <c r="F48" s="54">
        <f>'[1]Reg.2(1-15)'!$G$48</f>
        <v>34513</v>
      </c>
      <c r="G48" s="54">
        <f t="shared" si="14"/>
        <v>17256.5</v>
      </c>
      <c r="H48" s="56">
        <f>1166.67+1166.66</f>
        <v>2333.33</v>
      </c>
      <c r="I48" s="56"/>
      <c r="J48" s="56">
        <v>1311.12</v>
      </c>
      <c r="K48" s="56"/>
      <c r="L48" s="56">
        <v>150</v>
      </c>
      <c r="M48" s="56"/>
      <c r="N48" s="56">
        <v>983.34</v>
      </c>
      <c r="O48" s="56">
        <v>2282.25</v>
      </c>
      <c r="P48" s="56">
        <v>2553.13</v>
      </c>
      <c r="Q48" s="56"/>
      <c r="R48" s="54"/>
      <c r="S48" s="54">
        <v>1353.06</v>
      </c>
      <c r="T48" s="56">
        <f t="shared" ref="T48:T52" si="17">F48*0.02</f>
        <v>690.26</v>
      </c>
      <c r="U48" s="56">
        <f t="shared" si="15"/>
        <v>690.26</v>
      </c>
      <c r="V48" s="56">
        <v>2234.09</v>
      </c>
      <c r="W48" s="56"/>
      <c r="X48" s="56"/>
      <c r="Y48" s="56"/>
      <c r="Z48" s="56"/>
      <c r="AA48" s="56">
        <v>2973.74</v>
      </c>
      <c r="AB48" s="56"/>
      <c r="AC48" s="56"/>
      <c r="AD48" s="56">
        <f t="shared" si="16"/>
        <v>392.18000000000029</v>
      </c>
      <c r="AE48" s="413" t="s">
        <v>47</v>
      </c>
      <c r="AF48" s="207"/>
      <c r="AG48" s="21"/>
      <c r="AH48" s="100"/>
      <c r="AI48" s="100"/>
      <c r="AJ48" s="100"/>
      <c r="AK48" s="542"/>
    </row>
    <row r="49" spans="1:42" s="15" customFormat="1" ht="15.75" x14ac:dyDescent="0.3">
      <c r="A49" s="222" t="s">
        <v>100</v>
      </c>
      <c r="B49" s="44"/>
      <c r="C49" s="209" t="s">
        <v>635</v>
      </c>
      <c r="D49" s="210" t="s">
        <v>208</v>
      </c>
      <c r="E49" s="210" t="s">
        <v>175</v>
      </c>
      <c r="F49" s="56">
        <v>19899</v>
      </c>
      <c r="G49" s="54">
        <f t="shared" si="14"/>
        <v>9949.5</v>
      </c>
      <c r="H49" s="58"/>
      <c r="I49" s="58"/>
      <c r="J49" s="56">
        <v>410.51</v>
      </c>
      <c r="K49" s="56"/>
      <c r="L49" s="56"/>
      <c r="M49" s="58"/>
      <c r="N49" s="58"/>
      <c r="O49" s="58">
        <v>3418.57</v>
      </c>
      <c r="P49" s="58"/>
      <c r="Q49" s="58"/>
      <c r="R49" s="59"/>
      <c r="S49" s="54"/>
      <c r="T49" s="56">
        <f t="shared" si="17"/>
        <v>397.98</v>
      </c>
      <c r="U49" s="56">
        <f t="shared" si="15"/>
        <v>397.98</v>
      </c>
      <c r="V49" s="58"/>
      <c r="W49" s="58"/>
      <c r="X49" s="58"/>
      <c r="Y49" s="58"/>
      <c r="Z49" s="58"/>
      <c r="AA49" s="58"/>
      <c r="AB49" s="58"/>
      <c r="AC49" s="58"/>
      <c r="AD49" s="56">
        <f t="shared" si="16"/>
        <v>5722.4400000000005</v>
      </c>
      <c r="AE49" s="510" t="s">
        <v>100</v>
      </c>
      <c r="AF49" s="207"/>
      <c r="AG49" s="21"/>
      <c r="AH49" s="100"/>
      <c r="AI49" s="100"/>
      <c r="AJ49" s="100"/>
      <c r="AK49" s="542"/>
    </row>
    <row r="50" spans="1:42" s="15" customFormat="1" ht="15.75" x14ac:dyDescent="0.3">
      <c r="A50" s="545" t="s">
        <v>101</v>
      </c>
      <c r="B50" s="44"/>
      <c r="C50" s="209" t="s">
        <v>527</v>
      </c>
      <c r="D50" s="210" t="s">
        <v>208</v>
      </c>
      <c r="E50" s="210" t="s">
        <v>175</v>
      </c>
      <c r="F50" s="56">
        <v>16113</v>
      </c>
      <c r="G50" s="54">
        <f t="shared" si="14"/>
        <v>8056.5</v>
      </c>
      <c r="H50" s="56"/>
      <c r="I50" s="56"/>
      <c r="J50" s="56">
        <v>655.56</v>
      </c>
      <c r="K50" s="56"/>
      <c r="L50" s="56"/>
      <c r="M50" s="56"/>
      <c r="N50" s="56"/>
      <c r="O50" s="56"/>
      <c r="P50" s="56"/>
      <c r="Q50" s="55"/>
      <c r="R50" s="57"/>
      <c r="S50" s="57"/>
      <c r="T50" s="56">
        <f t="shared" si="17"/>
        <v>322.26</v>
      </c>
      <c r="U50" s="56">
        <f t="shared" si="15"/>
        <v>322.26</v>
      </c>
      <c r="V50" s="56"/>
      <c r="W50" s="56"/>
      <c r="X50" s="56"/>
      <c r="Y50" s="56"/>
      <c r="Z50" s="56">
        <v>0</v>
      </c>
      <c r="AA50" s="56"/>
      <c r="AB50" s="56"/>
      <c r="AC50" s="56"/>
      <c r="AD50" s="56">
        <f t="shared" si="16"/>
        <v>7078.68</v>
      </c>
      <c r="AE50" s="413" t="s">
        <v>101</v>
      </c>
      <c r="AF50" s="207"/>
      <c r="AG50" s="21"/>
      <c r="AH50" s="100"/>
      <c r="AI50" s="100"/>
      <c r="AJ50" s="100"/>
      <c r="AK50" s="542"/>
    </row>
    <row r="51" spans="1:42" s="15" customFormat="1" ht="15.75" x14ac:dyDescent="0.3">
      <c r="A51" s="545" t="s">
        <v>162</v>
      </c>
      <c r="B51" s="44"/>
      <c r="C51" s="32" t="s">
        <v>499</v>
      </c>
      <c r="D51" s="210" t="s">
        <v>208</v>
      </c>
      <c r="E51" s="210" t="s">
        <v>175</v>
      </c>
      <c r="F51" s="58">
        <f>'[1]Reg.2(1-15)'!$G$51</f>
        <v>14521</v>
      </c>
      <c r="G51" s="59">
        <f t="shared" si="14"/>
        <v>7260.5</v>
      </c>
      <c r="H51" s="58"/>
      <c r="I51" s="58"/>
      <c r="J51" s="58"/>
      <c r="K51" s="58"/>
      <c r="L51" s="58"/>
      <c r="M51" s="58"/>
      <c r="N51" s="58"/>
      <c r="O51" s="58">
        <v>928.84</v>
      </c>
      <c r="P51" s="58"/>
      <c r="Q51" s="61"/>
      <c r="R51" s="62"/>
      <c r="S51" s="62"/>
      <c r="T51" s="58">
        <f t="shared" si="17"/>
        <v>290.42</v>
      </c>
      <c r="U51" s="58">
        <f t="shared" si="15"/>
        <v>290.42</v>
      </c>
      <c r="V51" s="58"/>
      <c r="W51" s="58"/>
      <c r="X51" s="58"/>
      <c r="Y51" s="58"/>
      <c r="Z51" s="58"/>
      <c r="AA51" s="58">
        <v>1189.5</v>
      </c>
      <c r="AB51" s="58"/>
      <c r="AC51" s="58"/>
      <c r="AD51" s="56">
        <f t="shared" si="16"/>
        <v>4851.74</v>
      </c>
      <c r="AE51" s="413" t="s">
        <v>162</v>
      </c>
      <c r="AF51" s="207"/>
      <c r="AG51" s="21"/>
      <c r="AH51" s="100"/>
      <c r="AI51" s="100"/>
      <c r="AJ51" s="100"/>
      <c r="AK51" s="542"/>
    </row>
    <row r="52" spans="1:42" s="15" customFormat="1" ht="16.5" thickBot="1" x14ac:dyDescent="0.35">
      <c r="A52" s="222" t="s">
        <v>177</v>
      </c>
      <c r="B52" s="44"/>
      <c r="C52" s="210" t="s">
        <v>446</v>
      </c>
      <c r="D52" s="210" t="s">
        <v>208</v>
      </c>
      <c r="E52" s="210" t="s">
        <v>175</v>
      </c>
      <c r="F52" s="470">
        <v>13675</v>
      </c>
      <c r="G52" s="470">
        <f t="shared" si="14"/>
        <v>6837.5</v>
      </c>
      <c r="H52" s="60"/>
      <c r="I52" s="60"/>
      <c r="J52" s="60">
        <v>516.19000000000005</v>
      </c>
      <c r="K52" s="60"/>
      <c r="L52" s="60"/>
      <c r="M52" s="60"/>
      <c r="N52" s="60"/>
      <c r="O52" s="60"/>
      <c r="P52" s="60"/>
      <c r="Q52" s="60"/>
      <c r="R52" s="470"/>
      <c r="S52" s="470"/>
      <c r="T52" s="60">
        <f t="shared" si="17"/>
        <v>273.5</v>
      </c>
      <c r="U52" s="60">
        <f t="shared" si="15"/>
        <v>273.5</v>
      </c>
      <c r="V52" s="60"/>
      <c r="W52" s="60"/>
      <c r="X52" s="60">
        <v>1233.49</v>
      </c>
      <c r="Y52" s="60"/>
      <c r="Z52" s="60"/>
      <c r="AA52" s="60"/>
      <c r="AB52" s="60"/>
      <c r="AC52" s="60"/>
      <c r="AD52" s="60">
        <f t="shared" si="16"/>
        <v>4814.32</v>
      </c>
      <c r="AE52" s="510" t="s">
        <v>177</v>
      </c>
      <c r="AF52" s="207"/>
      <c r="AG52" s="21"/>
      <c r="AH52" s="100"/>
      <c r="AI52" s="100"/>
      <c r="AJ52" s="100"/>
      <c r="AK52" s="542"/>
    </row>
    <row r="53" spans="1:42" s="15" customFormat="1" ht="16.5" thickBot="1" x14ac:dyDescent="0.35">
      <c r="A53" s="545" t="s">
        <v>178</v>
      </c>
      <c r="B53" s="44"/>
      <c r="C53" s="210"/>
      <c r="D53" s="210"/>
      <c r="E53" s="210"/>
      <c r="F53" s="64">
        <f>SUM(F47:F52)</f>
        <v>187532</v>
      </c>
      <c r="G53" s="64">
        <f>SUM(G47:G52)</f>
        <v>93766</v>
      </c>
      <c r="H53" s="64">
        <f>SUM(H47:H52)</f>
        <v>2333.33</v>
      </c>
      <c r="I53" s="64">
        <f t="shared" ref="I53:AC53" si="18">SUM(I47:I52)</f>
        <v>8534.32</v>
      </c>
      <c r="J53" s="64">
        <f t="shared" si="18"/>
        <v>2893.3799999999997</v>
      </c>
      <c r="K53" s="64">
        <f>SUM(K47:K52)</f>
        <v>0</v>
      </c>
      <c r="L53" s="64">
        <f t="shared" si="18"/>
        <v>150</v>
      </c>
      <c r="M53" s="64">
        <f t="shared" ref="M53:T53" si="19">SUM(M47:M52)</f>
        <v>0</v>
      </c>
      <c r="N53" s="64">
        <f t="shared" si="19"/>
        <v>983.34</v>
      </c>
      <c r="O53" s="64">
        <f t="shared" si="19"/>
        <v>6629.66</v>
      </c>
      <c r="P53" s="64">
        <f t="shared" si="19"/>
        <v>2553.13</v>
      </c>
      <c r="Q53" s="64">
        <f t="shared" si="19"/>
        <v>0</v>
      </c>
      <c r="R53" s="64">
        <f t="shared" si="19"/>
        <v>0</v>
      </c>
      <c r="S53" s="64">
        <f t="shared" si="19"/>
        <v>12433.439999999999</v>
      </c>
      <c r="T53" s="64">
        <f t="shared" si="19"/>
        <v>3750.6400000000003</v>
      </c>
      <c r="U53" s="64">
        <f t="shared" si="18"/>
        <v>3750.6400000000003</v>
      </c>
      <c r="V53" s="64">
        <f>SUM(V47:V52)</f>
        <v>2234.09</v>
      </c>
      <c r="W53" s="64">
        <f t="shared" ref="W53:X53" si="20">SUM(W47:W52)</f>
        <v>0</v>
      </c>
      <c r="X53" s="64">
        <f t="shared" si="20"/>
        <v>1233.49</v>
      </c>
      <c r="Y53" s="64">
        <f t="shared" ref="Y53" si="21">SUM(Y47:Y52)</f>
        <v>0</v>
      </c>
      <c r="Z53" s="64">
        <f t="shared" si="18"/>
        <v>0</v>
      </c>
      <c r="AA53" s="64">
        <f>SUM(AA47:AA52)</f>
        <v>4163.24</v>
      </c>
      <c r="AB53" s="64">
        <f t="shared" si="18"/>
        <v>0</v>
      </c>
      <c r="AC53" s="64">
        <f t="shared" si="18"/>
        <v>0</v>
      </c>
      <c r="AD53" s="64">
        <f>SUM(AD47:AD52)</f>
        <v>45873.94</v>
      </c>
      <c r="AE53" s="413" t="s">
        <v>178</v>
      </c>
      <c r="AF53" s="207"/>
      <c r="AG53" s="21"/>
      <c r="AH53" s="100"/>
      <c r="AI53" s="100"/>
      <c r="AJ53" s="100"/>
      <c r="AK53" s="542"/>
    </row>
    <row r="54" spans="1:42" ht="20.100000000000001" customHeight="1" thickTop="1" x14ac:dyDescent="0.2">
      <c r="A54" s="545" t="s">
        <v>179</v>
      </c>
      <c r="B54" s="44"/>
      <c r="C54" s="210"/>
      <c r="D54" s="210"/>
      <c r="E54" s="210"/>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t="s">
        <v>37</v>
      </c>
      <c r="AE54" s="413" t="s">
        <v>179</v>
      </c>
      <c r="AF54" s="637"/>
      <c r="AG54" s="16"/>
    </row>
    <row r="55" spans="1:42" ht="19.5" customHeight="1" thickBot="1" x14ac:dyDescent="0.25">
      <c r="A55" s="48" t="s">
        <v>180</v>
      </c>
      <c r="B55" s="31" t="s">
        <v>541</v>
      </c>
      <c r="C55" s="211"/>
      <c r="D55" s="211"/>
      <c r="E55" s="211"/>
      <c r="F55" s="478">
        <f t="shared" ref="F55:AD55" si="22">F53+F45+F26</f>
        <v>961343</v>
      </c>
      <c r="G55" s="478">
        <f t="shared" si="22"/>
        <v>480671.5</v>
      </c>
      <c r="H55" s="478">
        <f t="shared" si="22"/>
        <v>9566.66</v>
      </c>
      <c r="I55" s="478">
        <f t="shared" si="22"/>
        <v>8534.32</v>
      </c>
      <c r="J55" s="478">
        <f t="shared" si="22"/>
        <v>15249.239999999996</v>
      </c>
      <c r="K55" s="478">
        <f t="shared" si="22"/>
        <v>0</v>
      </c>
      <c r="L55" s="478">
        <f t="shared" si="22"/>
        <v>4950</v>
      </c>
      <c r="M55" s="478">
        <f t="shared" si="22"/>
        <v>0</v>
      </c>
      <c r="N55" s="478">
        <f t="shared" si="22"/>
        <v>6366.67</v>
      </c>
      <c r="O55" s="478">
        <f t="shared" si="22"/>
        <v>61017.4</v>
      </c>
      <c r="P55" s="478">
        <f t="shared" si="22"/>
        <v>7370.35</v>
      </c>
      <c r="Q55" s="478">
        <f t="shared" si="22"/>
        <v>0</v>
      </c>
      <c r="R55" s="478">
        <f t="shared" si="22"/>
        <v>0</v>
      </c>
      <c r="S55" s="478">
        <f t="shared" si="22"/>
        <v>47489.96</v>
      </c>
      <c r="T55" s="478">
        <f t="shared" si="22"/>
        <v>19519.04</v>
      </c>
      <c r="U55" s="478">
        <f t="shared" si="22"/>
        <v>19226.86</v>
      </c>
      <c r="V55" s="478">
        <f t="shared" si="22"/>
        <v>9501.2999999999993</v>
      </c>
      <c r="W55" s="478">
        <f t="shared" si="22"/>
        <v>0</v>
      </c>
      <c r="X55" s="478">
        <f t="shared" si="22"/>
        <v>3353.3</v>
      </c>
      <c r="Y55" s="478">
        <f t="shared" si="22"/>
        <v>500</v>
      </c>
      <c r="Z55" s="478">
        <f t="shared" si="22"/>
        <v>3717.78</v>
      </c>
      <c r="AA55" s="478">
        <f t="shared" si="22"/>
        <v>38772.069999999992</v>
      </c>
      <c r="AB55" s="478">
        <f t="shared" si="22"/>
        <v>0</v>
      </c>
      <c r="AC55" s="478">
        <f t="shared" si="22"/>
        <v>0</v>
      </c>
      <c r="AD55" s="478">
        <f t="shared" si="22"/>
        <v>244763.41000000003</v>
      </c>
      <c r="AE55" s="514" t="s">
        <v>180</v>
      </c>
      <c r="AF55" s="638"/>
      <c r="AG55" s="548"/>
      <c r="AK55" s="88"/>
    </row>
    <row r="56" spans="1:42" ht="5.25" customHeight="1" thickTop="1" x14ac:dyDescent="0.2">
      <c r="S56" s="1" t="s">
        <v>637</v>
      </c>
      <c r="AD56" s="35"/>
      <c r="AF56" s="18"/>
      <c r="AO56" s="610"/>
      <c r="AP56" s="610"/>
    </row>
    <row r="57" spans="1:42" x14ac:dyDescent="0.2">
      <c r="A57" s="889" t="s">
        <v>49</v>
      </c>
      <c r="B57" s="889"/>
      <c r="C57" s="889"/>
      <c r="D57" s="889"/>
      <c r="E57" s="889"/>
      <c r="F57" s="889"/>
      <c r="I57" s="35"/>
      <c r="K57" s="35"/>
      <c r="T57" s="1" t="s">
        <v>50</v>
      </c>
      <c r="AD57" s="889" t="s">
        <v>48</v>
      </c>
      <c r="AE57" s="889"/>
      <c r="AF57" s="889"/>
      <c r="AG57" s="889"/>
    </row>
    <row r="58" spans="1:42" x14ac:dyDescent="0.2">
      <c r="A58" s="889"/>
      <c r="B58" s="889"/>
      <c r="C58" s="889"/>
      <c r="D58" s="889"/>
      <c r="E58" s="889"/>
      <c r="F58" s="889"/>
      <c r="AD58" s="889"/>
      <c r="AE58" s="889"/>
      <c r="AF58" s="889"/>
      <c r="AG58" s="889"/>
    </row>
    <row r="59" spans="1:42" x14ac:dyDescent="0.2">
      <c r="A59" s="889"/>
      <c r="B59" s="889"/>
      <c r="C59" s="889"/>
      <c r="D59" s="889"/>
      <c r="E59" s="889"/>
      <c r="F59" s="889"/>
      <c r="G59" s="35"/>
      <c r="I59" s="488"/>
      <c r="J59" s="488"/>
      <c r="K59" s="488"/>
      <c r="L59" s="488"/>
      <c r="M59" s="488"/>
      <c r="N59" s="488"/>
      <c r="O59" s="488"/>
      <c r="P59" s="488"/>
      <c r="AD59" s="889"/>
      <c r="AE59" s="889"/>
      <c r="AF59" s="889"/>
      <c r="AG59" s="889"/>
    </row>
    <row r="60" spans="1:42" x14ac:dyDescent="0.2">
      <c r="I60" s="201"/>
      <c r="J60" s="201"/>
      <c r="Q60" s="488"/>
      <c r="R60" s="488"/>
      <c r="S60" s="488"/>
      <c r="T60" s="921" t="s">
        <v>673</v>
      </c>
      <c r="U60" s="921"/>
      <c r="V60" s="921"/>
      <c r="W60" s="488"/>
      <c r="X60" s="488"/>
      <c r="Y60" s="488"/>
      <c r="Z60" s="1075"/>
      <c r="AA60" s="1075"/>
      <c r="AB60" s="1075"/>
      <c r="AC60" s="1075"/>
      <c r="AD60" s="966"/>
      <c r="AE60" s="966"/>
      <c r="AF60" s="966"/>
      <c r="AG60" s="966"/>
    </row>
    <row r="61" spans="1:42" ht="15" x14ac:dyDescent="0.25">
      <c r="C61"/>
      <c r="E61" s="615" t="s">
        <v>673</v>
      </c>
      <c r="F61" s="521"/>
      <c r="G61" s="522"/>
      <c r="I61" s="201"/>
      <c r="J61" s="201"/>
      <c r="Q61" s="201"/>
      <c r="R61" s="201"/>
      <c r="S61" s="201"/>
      <c r="T61" s="824" t="s">
        <v>171</v>
      </c>
      <c r="U61" s="824"/>
      <c r="V61" s="824"/>
      <c r="W61" s="201"/>
      <c r="X61" s="201"/>
      <c r="Y61" s="201"/>
      <c r="Z61" s="201"/>
      <c r="AA61" s="201"/>
      <c r="AB61" s="201"/>
      <c r="AC61" s="201"/>
      <c r="AD61" s="967"/>
      <c r="AE61" s="967"/>
      <c r="AF61" s="967"/>
      <c r="AG61" s="967"/>
    </row>
    <row r="62" spans="1:42" x14ac:dyDescent="0.2">
      <c r="D62" s="824" t="s">
        <v>677</v>
      </c>
      <c r="E62" s="824"/>
      <c r="F62" s="824"/>
      <c r="Q62" s="201"/>
      <c r="R62" s="201"/>
      <c r="S62" s="201"/>
      <c r="T62" s="824" t="s">
        <v>51</v>
      </c>
      <c r="U62" s="824"/>
      <c r="V62" s="824"/>
      <c r="W62" s="201"/>
      <c r="X62" s="201"/>
      <c r="Y62" s="201"/>
      <c r="Z62" s="201"/>
      <c r="AA62" s="201"/>
      <c r="AB62" s="201"/>
      <c r="AC62" s="201"/>
      <c r="AD62" s="967"/>
      <c r="AE62" s="967"/>
      <c r="AF62" s="967"/>
      <c r="AG62" s="967"/>
    </row>
    <row r="63" spans="1:42" x14ac:dyDescent="0.2">
      <c r="AD63" s="967"/>
      <c r="AE63" s="967"/>
      <c r="AF63" s="967"/>
      <c r="AG63" s="967"/>
    </row>
    <row r="64" spans="1:42" x14ac:dyDescent="0.2">
      <c r="A64" s="17" t="s">
        <v>52</v>
      </c>
      <c r="AD64" s="967"/>
      <c r="AE64" s="967"/>
      <c r="AF64" s="967"/>
      <c r="AG64" s="967"/>
    </row>
    <row r="65" spans="1:36" x14ac:dyDescent="0.2">
      <c r="AD65" s="524"/>
      <c r="AE65" s="524"/>
      <c r="AF65" s="524"/>
    </row>
    <row r="66" spans="1:36" x14ac:dyDescent="0.2">
      <c r="E66" s="1" t="s">
        <v>53</v>
      </c>
      <c r="AD66" s="523"/>
      <c r="AE66" s="523"/>
      <c r="AF66" s="523" t="s">
        <v>111</v>
      </c>
    </row>
    <row r="67" spans="1:36" x14ac:dyDescent="0.2">
      <c r="AD67" s="524"/>
      <c r="AE67" s="524"/>
      <c r="AF67" s="524" t="s">
        <v>105</v>
      </c>
    </row>
    <row r="68" spans="1:36" ht="12.75" customHeight="1" x14ac:dyDescent="0.2">
      <c r="A68" s="17" t="s">
        <v>54</v>
      </c>
      <c r="AD68" s="888" t="s">
        <v>55</v>
      </c>
      <c r="AE68" s="888"/>
      <c r="AF68" s="888"/>
      <c r="AG68" s="888"/>
    </row>
    <row r="69" spans="1:36" x14ac:dyDescent="0.2">
      <c r="AD69" s="888"/>
      <c r="AE69" s="888"/>
      <c r="AF69" s="888"/>
      <c r="AG69" s="888"/>
    </row>
    <row r="70" spans="1:36" x14ac:dyDescent="0.2">
      <c r="C70" s="1" t="s">
        <v>56</v>
      </c>
      <c r="E70" s="1" t="s">
        <v>57</v>
      </c>
      <c r="AD70" s="888"/>
      <c r="AE70" s="888"/>
      <c r="AF70" s="888"/>
      <c r="AG70" s="888"/>
    </row>
    <row r="71" spans="1:36" x14ac:dyDescent="0.2">
      <c r="AD71" s="965"/>
      <c r="AE71" s="965"/>
      <c r="AF71" s="965"/>
      <c r="AG71" s="965"/>
    </row>
    <row r="72" spans="1:36" x14ac:dyDescent="0.2">
      <c r="AD72" s="965"/>
      <c r="AE72" s="965"/>
      <c r="AF72" s="965"/>
      <c r="AG72" s="965"/>
    </row>
    <row r="73" spans="1:36" ht="12.75" hidden="1" customHeight="1" x14ac:dyDescent="0.2">
      <c r="AD73" s="965"/>
      <c r="AE73" s="965"/>
      <c r="AF73" s="965"/>
      <c r="AG73" s="965"/>
    </row>
    <row r="74" spans="1:36" ht="12.75" hidden="1" customHeight="1" x14ac:dyDescent="0.2">
      <c r="C74" s="1000" t="s">
        <v>58</v>
      </c>
      <c r="D74" s="1000"/>
      <c r="E74" s="1000"/>
    </row>
    <row r="75" spans="1:36" x14ac:dyDescent="0.2">
      <c r="AD75" s="525"/>
      <c r="AE75" s="525" t="s">
        <v>184</v>
      </c>
      <c r="AF75" s="525"/>
      <c r="AH75" s="549"/>
      <c r="AI75" s="549"/>
      <c r="AJ75" s="549"/>
    </row>
    <row r="76" spans="1:36" x14ac:dyDescent="0.2">
      <c r="AF76" s="639" t="s">
        <v>185</v>
      </c>
      <c r="AG76" s="549"/>
      <c r="AH76" s="549"/>
      <c r="AI76" s="549"/>
      <c r="AJ76" s="549"/>
    </row>
    <row r="80" spans="1:36" x14ac:dyDescent="0.2">
      <c r="D80" s="539"/>
      <c r="E80" s="539"/>
    </row>
  </sheetData>
  <mergeCells count="53">
    <mergeCell ref="T62:V62"/>
    <mergeCell ref="AD68:AG73"/>
    <mergeCell ref="C74:E74"/>
    <mergeCell ref="R8:R9"/>
    <mergeCell ref="D12:E12"/>
    <mergeCell ref="D28:E28"/>
    <mergeCell ref="D47:E47"/>
    <mergeCell ref="A57:F59"/>
    <mergeCell ref="AD57:AG64"/>
    <mergeCell ref="T60:V60"/>
    <mergeCell ref="Z60:AC60"/>
    <mergeCell ref="T61:V61"/>
    <mergeCell ref="D62:F62"/>
    <mergeCell ref="AB6:AB8"/>
    <mergeCell ref="AC6:AC8"/>
    <mergeCell ref="AF6:AF8"/>
    <mergeCell ref="AG6:AG8"/>
    <mergeCell ref="T7:T9"/>
    <mergeCell ref="U7:U9"/>
    <mergeCell ref="V7:V9"/>
    <mergeCell ref="W7:W9"/>
    <mergeCell ref="Y7:Y9"/>
    <mergeCell ref="AD5:AD9"/>
    <mergeCell ref="AE5:AE9"/>
    <mergeCell ref="X7:X9"/>
    <mergeCell ref="T5:Y6"/>
    <mergeCell ref="Q5:R5"/>
    <mergeCell ref="F6:F7"/>
    <mergeCell ref="H6:H9"/>
    <mergeCell ref="I6:I9"/>
    <mergeCell ref="J6:J9"/>
    <mergeCell ref="K6:K9"/>
    <mergeCell ref="Q6:R7"/>
    <mergeCell ref="Q8:Q9"/>
    <mergeCell ref="L6:L9"/>
    <mergeCell ref="M6:M9"/>
    <mergeCell ref="N6:N9"/>
    <mergeCell ref="A1:AG1"/>
    <mergeCell ref="A2:AG3"/>
    <mergeCell ref="B4:B9"/>
    <mergeCell ref="C4:C9"/>
    <mergeCell ref="D4:E4"/>
    <mergeCell ref="F4:F5"/>
    <mergeCell ref="G4:G7"/>
    <mergeCell ref="H4:AC4"/>
    <mergeCell ref="D5:D7"/>
    <mergeCell ref="E5:E7"/>
    <mergeCell ref="S5:S10"/>
    <mergeCell ref="Z5:Z9"/>
    <mergeCell ref="AA5:AA9"/>
    <mergeCell ref="O6:O9"/>
    <mergeCell ref="P6:P9"/>
    <mergeCell ref="H5:P5"/>
  </mergeCells>
  <phoneticPr fontId="99" type="noConversion"/>
  <pageMargins left="0.96" right="0.26" top="0.56000000000000005" bottom="0.75" header="0.21" footer="0.3"/>
  <pageSetup paperSize="8" scale="59" orientation="landscape" r:id="rId1"/>
  <colBreaks count="1" manualBreakCount="1">
    <brk id="33" max="1048575" man="1"/>
  </col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rgb="FFFF7C80"/>
  </sheetPr>
  <dimension ref="A1:AV92"/>
  <sheetViews>
    <sheetView zoomScaleNormal="100" workbookViewId="0">
      <pane xSplit="5" ySplit="11" topLeftCell="F15" activePane="bottomRight" state="frozen"/>
      <selection pane="topRight" activeCell="F1" sqref="F1"/>
      <selection pane="bottomLeft" activeCell="A12" sqref="A12"/>
      <selection pane="bottomRight" activeCell="B58" sqref="B58:B65"/>
    </sheetView>
  </sheetViews>
  <sheetFormatPr defaultColWidth="9.140625" defaultRowHeight="11.25" x14ac:dyDescent="0.2"/>
  <cols>
    <col min="1" max="1" width="3" style="105" customWidth="1"/>
    <col min="2" max="2" width="27.42578125" style="17" customWidth="1"/>
    <col min="3" max="3" width="19.140625" style="1" customWidth="1"/>
    <col min="4" max="4" width="9.5703125" style="1" customWidth="1"/>
    <col min="5" max="5" width="8.85546875" style="1" customWidth="1"/>
    <col min="6" max="6" width="14.140625" style="1" customWidth="1"/>
    <col min="7" max="7" width="14.85546875" style="1" customWidth="1"/>
    <col min="8" max="8" width="9.42578125" style="1" hidden="1" customWidth="1"/>
    <col min="9" max="9" width="9.140625" style="1" hidden="1" customWidth="1"/>
    <col min="10" max="11" width="10.42578125" style="1" hidden="1" customWidth="1"/>
    <col min="12" max="12" width="13.28515625" style="1" customWidth="1"/>
    <col min="13" max="13" width="11.42578125" style="1" customWidth="1"/>
    <col min="14" max="14" width="10" style="1" customWidth="1"/>
    <col min="15" max="15" width="10.42578125" style="1" customWidth="1"/>
    <col min="16" max="16" width="8.42578125" style="1" customWidth="1"/>
    <col min="17" max="17" width="9.5703125" style="1" customWidth="1"/>
    <col min="18" max="18" width="11.140625" style="1" customWidth="1"/>
    <col min="19" max="19" width="12.140625" style="1" customWidth="1"/>
    <col min="20" max="20" width="10.28515625" style="1" customWidth="1"/>
    <col min="21" max="21" width="12.140625" style="1" hidden="1" customWidth="1"/>
    <col min="22" max="22" width="11.85546875" style="1" hidden="1" customWidth="1"/>
    <col min="23" max="23" width="11.85546875" style="1" customWidth="1"/>
    <col min="24" max="24" width="11.7109375" style="1" customWidth="1"/>
    <col min="25" max="25" width="11.140625" style="1" customWidth="1"/>
    <col min="26" max="26" width="12.28515625" style="1" customWidth="1"/>
    <col min="27" max="27" width="11.85546875" style="1" hidden="1" customWidth="1"/>
    <col min="28" max="28" width="11.140625" style="1" customWidth="1"/>
    <col min="29" max="29" width="11.42578125" style="1" customWidth="1"/>
    <col min="30" max="30" width="11.140625" style="1" hidden="1" customWidth="1"/>
    <col min="31" max="31" width="12.7109375" style="1" customWidth="1"/>
    <col min="32" max="32" width="3" style="1" customWidth="1"/>
    <col min="33" max="33" width="16.140625" style="1" customWidth="1"/>
    <col min="34" max="34" width="8.85546875" style="1" customWidth="1"/>
    <col min="35" max="35" width="11.7109375" style="1" customWidth="1"/>
    <col min="36" max="16384" width="9.140625" style="1"/>
  </cols>
  <sheetData>
    <row r="1" spans="1:39" ht="26.25"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c r="AH1" s="863"/>
    </row>
    <row r="2" spans="1:39" x14ac:dyDescent="0.2">
      <c r="A2" s="945" t="s">
        <v>60</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c r="AH2" s="945"/>
    </row>
    <row r="3" spans="1:39"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c r="AH3" s="946"/>
    </row>
    <row r="4" spans="1:39" s="4" customFormat="1" ht="24" customHeight="1" thickTop="1" thickBot="1" x14ac:dyDescent="0.2">
      <c r="A4" s="866" t="s">
        <v>1</v>
      </c>
      <c r="B4" s="1006" t="s">
        <v>2</v>
      </c>
      <c r="C4" s="948" t="s">
        <v>3</v>
      </c>
      <c r="D4" s="871" t="s">
        <v>4</v>
      </c>
      <c r="E4" s="871"/>
      <c r="F4" s="1007"/>
      <c r="G4" s="866" t="s">
        <v>5</v>
      </c>
      <c r="H4" s="987" t="s">
        <v>6</v>
      </c>
      <c r="I4" s="1077"/>
      <c r="J4" s="1077"/>
      <c r="K4" s="1077"/>
      <c r="L4" s="988"/>
      <c r="M4" s="988"/>
      <c r="N4" s="988"/>
      <c r="O4" s="988"/>
      <c r="P4" s="988"/>
      <c r="Q4" s="988"/>
      <c r="R4" s="988"/>
      <c r="S4" s="988"/>
      <c r="T4" s="988"/>
      <c r="U4" s="988"/>
      <c r="V4" s="988"/>
      <c r="W4" s="988"/>
      <c r="X4" s="988"/>
      <c r="Y4" s="988"/>
      <c r="Z4" s="988"/>
      <c r="AA4" s="988"/>
      <c r="AB4" s="988"/>
      <c r="AC4" s="988"/>
      <c r="AD4" s="988"/>
      <c r="AE4" s="3"/>
      <c r="AF4" s="3"/>
      <c r="AG4" s="3"/>
      <c r="AH4" s="3"/>
    </row>
    <row r="5" spans="1:39" s="8" customFormat="1" ht="13.5" customHeight="1" thickTop="1" thickBot="1" x14ac:dyDescent="0.2">
      <c r="A5" s="1005"/>
      <c r="B5" s="869"/>
      <c r="C5" s="949"/>
      <c r="D5" s="851" t="s">
        <v>7</v>
      </c>
      <c r="E5" s="852" t="s">
        <v>8</v>
      </c>
      <c r="F5" s="1008"/>
      <c r="G5" s="874"/>
      <c r="H5" s="856" t="s">
        <v>9</v>
      </c>
      <c r="I5" s="870" t="s">
        <v>650</v>
      </c>
      <c r="J5" s="722"/>
      <c r="K5" s="724"/>
      <c r="L5" s="1004" t="s">
        <v>240</v>
      </c>
      <c r="M5" s="1004"/>
      <c r="N5" s="1004"/>
      <c r="O5" s="1004"/>
      <c r="P5" s="1004"/>
      <c r="Q5" s="1004"/>
      <c r="R5" s="1004"/>
      <c r="S5" s="1004"/>
      <c r="T5" s="1076"/>
      <c r="U5" s="1047" t="s">
        <v>238</v>
      </c>
      <c r="V5" s="1020"/>
      <c r="W5" s="1062" t="s">
        <v>525</v>
      </c>
      <c r="X5" s="1078" t="s">
        <v>524</v>
      </c>
      <c r="Y5" s="1033"/>
      <c r="Z5" s="1033"/>
      <c r="AA5" s="1079"/>
      <c r="AB5" s="972" t="s">
        <v>12</v>
      </c>
      <c r="AC5" s="972" t="s">
        <v>183</v>
      </c>
      <c r="AD5" s="5"/>
      <c r="AE5" s="838" t="s">
        <v>14</v>
      </c>
      <c r="AF5" s="842" t="s">
        <v>15</v>
      </c>
      <c r="AG5" s="7"/>
      <c r="AH5" s="7"/>
    </row>
    <row r="6" spans="1:39" s="8" customFormat="1" ht="13.5" customHeight="1" thickTop="1" x14ac:dyDescent="0.15">
      <c r="A6" s="1005"/>
      <c r="B6" s="869"/>
      <c r="C6" s="949"/>
      <c r="D6" s="867"/>
      <c r="E6" s="867"/>
      <c r="F6" s="973" t="s">
        <v>610</v>
      </c>
      <c r="G6" s="839"/>
      <c r="H6" s="857"/>
      <c r="I6" s="859"/>
      <c r="J6" s="983" t="s">
        <v>674</v>
      </c>
      <c r="K6" s="983" t="s">
        <v>675</v>
      </c>
      <c r="L6" s="1012" t="s">
        <v>233</v>
      </c>
      <c r="M6" s="859" t="s">
        <v>241</v>
      </c>
      <c r="N6" s="856" t="s">
        <v>234</v>
      </c>
      <c r="O6" s="900" t="s">
        <v>236</v>
      </c>
      <c r="P6" s="900" t="s">
        <v>526</v>
      </c>
      <c r="Q6" s="1009" t="s">
        <v>664</v>
      </c>
      <c r="R6" s="859" t="s">
        <v>549</v>
      </c>
      <c r="S6" s="859" t="s">
        <v>23</v>
      </c>
      <c r="T6" s="900" t="s">
        <v>514</v>
      </c>
      <c r="U6" s="994" t="s">
        <v>232</v>
      </c>
      <c r="V6" s="1014"/>
      <c r="W6" s="1011"/>
      <c r="X6" s="1080"/>
      <c r="Y6" s="1035"/>
      <c r="Z6" s="1035"/>
      <c r="AA6" s="1081"/>
      <c r="AB6" s="867"/>
      <c r="AC6" s="857"/>
      <c r="AD6" s="838" t="s">
        <v>24</v>
      </c>
      <c r="AE6" s="838"/>
      <c r="AF6" s="842"/>
      <c r="AG6" s="838" t="s">
        <v>25</v>
      </c>
      <c r="AH6" s="838" t="s">
        <v>26</v>
      </c>
    </row>
    <row r="7" spans="1:39" s="8" customFormat="1" ht="13.5" customHeight="1" x14ac:dyDescent="0.15">
      <c r="A7" s="1005"/>
      <c r="B7" s="869"/>
      <c r="C7" s="949"/>
      <c r="D7" s="867"/>
      <c r="E7" s="867"/>
      <c r="F7" s="974"/>
      <c r="G7" s="839"/>
      <c r="H7" s="858"/>
      <c r="I7" s="859"/>
      <c r="J7" s="983"/>
      <c r="K7" s="983"/>
      <c r="L7" s="1012"/>
      <c r="M7" s="886"/>
      <c r="N7" s="859"/>
      <c r="O7" s="900"/>
      <c r="P7" s="900"/>
      <c r="Q7" s="1010"/>
      <c r="R7" s="859"/>
      <c r="S7" s="859"/>
      <c r="T7" s="900"/>
      <c r="U7" s="1015"/>
      <c r="V7" s="1016"/>
      <c r="W7" s="1011"/>
      <c r="X7" s="856" t="s">
        <v>27</v>
      </c>
      <c r="Y7" s="856" t="s">
        <v>28</v>
      </c>
      <c r="Z7" s="972" t="s">
        <v>23</v>
      </c>
      <c r="AA7" s="972" t="s">
        <v>30</v>
      </c>
      <c r="AB7" s="867"/>
      <c r="AC7" s="857"/>
      <c r="AD7" s="838"/>
      <c r="AE7" s="838"/>
      <c r="AF7" s="842"/>
      <c r="AG7" s="970"/>
      <c r="AH7" s="838"/>
    </row>
    <row r="8" spans="1:39" s="8" customFormat="1" ht="13.5" customHeight="1" x14ac:dyDescent="0.2">
      <c r="A8" s="10"/>
      <c r="B8" s="869"/>
      <c r="C8" s="950"/>
      <c r="D8" s="11"/>
      <c r="E8" s="107"/>
      <c r="F8" s="4"/>
      <c r="G8" s="495"/>
      <c r="H8" s="858"/>
      <c r="I8" s="859"/>
      <c r="J8" s="983"/>
      <c r="K8" s="983"/>
      <c r="L8" s="1012"/>
      <c r="M8" s="886"/>
      <c r="N8" s="859"/>
      <c r="O8" s="900"/>
      <c r="P8" s="900"/>
      <c r="Q8" s="1010"/>
      <c r="R8" s="859"/>
      <c r="S8" s="859"/>
      <c r="T8" s="900"/>
      <c r="U8" s="851" t="s">
        <v>27</v>
      </c>
      <c r="V8" s="852" t="s">
        <v>33</v>
      </c>
      <c r="W8" s="1011"/>
      <c r="X8" s="859"/>
      <c r="Y8" s="859"/>
      <c r="Z8" s="857"/>
      <c r="AA8" s="857"/>
      <c r="AB8" s="867"/>
      <c r="AC8" s="857"/>
      <c r="AD8" s="838"/>
      <c r="AE8" s="838"/>
      <c r="AF8" s="959"/>
      <c r="AG8" s="970"/>
      <c r="AH8" s="838"/>
    </row>
    <row r="9" spans="1:39" s="8" customFormat="1" ht="13.5" customHeight="1" x14ac:dyDescent="0.2">
      <c r="A9" s="10"/>
      <c r="B9" s="869"/>
      <c r="C9" s="950"/>
      <c r="D9" s="11"/>
      <c r="E9" s="107"/>
      <c r="F9" s="4"/>
      <c r="G9" s="495"/>
      <c r="H9" s="7"/>
      <c r="I9" s="859"/>
      <c r="J9" s="405"/>
      <c r="K9" s="723"/>
      <c r="L9" s="1012"/>
      <c r="M9" s="886"/>
      <c r="N9" s="859"/>
      <c r="O9" s="900"/>
      <c r="P9" s="900"/>
      <c r="Q9" s="1010"/>
      <c r="R9" s="859"/>
      <c r="S9" s="859"/>
      <c r="T9" s="900"/>
      <c r="U9" s="838"/>
      <c r="V9" s="853"/>
      <c r="W9" s="1011"/>
      <c r="X9" s="859"/>
      <c r="Y9" s="859"/>
      <c r="Z9" s="857"/>
      <c r="AA9" s="857"/>
      <c r="AB9" s="867"/>
      <c r="AC9" s="857"/>
      <c r="AD9" s="106"/>
      <c r="AE9" s="838"/>
      <c r="AF9" s="959"/>
      <c r="AG9" s="7"/>
      <c r="AH9" s="7"/>
    </row>
    <row r="10" spans="1:39" s="15" customFormat="1" ht="12" thickBot="1" x14ac:dyDescent="0.25">
      <c r="A10" s="13">
        <v>1</v>
      </c>
      <c r="B10" s="13">
        <v>2</v>
      </c>
      <c r="C10" s="13">
        <v>3</v>
      </c>
      <c r="D10" s="13">
        <v>4</v>
      </c>
      <c r="E10" s="13">
        <v>5</v>
      </c>
      <c r="F10" s="13">
        <v>6</v>
      </c>
      <c r="G10" s="13">
        <v>7</v>
      </c>
      <c r="H10" s="13">
        <v>8</v>
      </c>
      <c r="I10" s="13">
        <v>11</v>
      </c>
      <c r="J10" s="13"/>
      <c r="K10" s="691"/>
      <c r="L10" s="691">
        <v>12</v>
      </c>
      <c r="M10" s="13">
        <v>13</v>
      </c>
      <c r="N10" s="13">
        <v>14</v>
      </c>
      <c r="O10" s="13">
        <v>15</v>
      </c>
      <c r="P10" s="13"/>
      <c r="Q10" s="13"/>
      <c r="R10" s="13"/>
      <c r="S10" s="13"/>
      <c r="T10" s="13"/>
      <c r="U10" s="13">
        <v>20</v>
      </c>
      <c r="V10" s="13">
        <v>21</v>
      </c>
      <c r="W10" s="1063"/>
      <c r="X10" s="13">
        <v>17</v>
      </c>
      <c r="Y10" s="13">
        <v>18</v>
      </c>
      <c r="Z10" s="13">
        <v>24</v>
      </c>
      <c r="AA10" s="13">
        <v>25</v>
      </c>
      <c r="AB10" s="13"/>
      <c r="AC10" s="13">
        <v>22</v>
      </c>
      <c r="AD10" s="13">
        <v>26</v>
      </c>
      <c r="AE10" s="13">
        <v>28</v>
      </c>
      <c r="AF10" s="13">
        <v>29</v>
      </c>
      <c r="AG10" s="13">
        <v>30</v>
      </c>
      <c r="AH10" s="13">
        <v>31</v>
      </c>
    </row>
    <row r="11" spans="1:39" ht="20.100000000000001" customHeight="1" thickTop="1" x14ac:dyDescent="0.2">
      <c r="A11" s="527"/>
      <c r="B11" s="194" t="s">
        <v>479</v>
      </c>
      <c r="C11" s="210"/>
      <c r="D11" s="210"/>
      <c r="E11" s="210"/>
      <c r="F11" s="26"/>
      <c r="G11" s="26" t="s">
        <v>37</v>
      </c>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5" t="s">
        <v>37</v>
      </c>
      <c r="AG11" s="624"/>
      <c r="AH11" s="546"/>
      <c r="AI11" s="522"/>
      <c r="AJ11" s="522"/>
      <c r="AK11" s="522"/>
      <c r="AL11" s="201"/>
    </row>
    <row r="12" spans="1:39" ht="20.100000000000001" customHeight="1" x14ac:dyDescent="0.2">
      <c r="A12" s="222" t="s">
        <v>38</v>
      </c>
      <c r="B12" s="44"/>
      <c r="C12" s="526" t="s">
        <v>113</v>
      </c>
      <c r="D12" s="935" t="s">
        <v>686</v>
      </c>
      <c r="E12" s="935"/>
      <c r="F12" s="57">
        <f>'Reg.3(1-15)'!F12</f>
        <v>109431</v>
      </c>
      <c r="G12" s="57">
        <f>F12/2</f>
        <v>54715.5</v>
      </c>
      <c r="H12" s="56"/>
      <c r="I12" s="56"/>
      <c r="J12" s="56"/>
      <c r="K12" s="56"/>
      <c r="L12" s="56"/>
      <c r="M12" s="56">
        <v>1211.5</v>
      </c>
      <c r="N12" s="56"/>
      <c r="O12" s="56"/>
      <c r="P12" s="56"/>
      <c r="Q12" s="56"/>
      <c r="R12" s="56"/>
      <c r="S12" s="56">
        <v>9947.07</v>
      </c>
      <c r="T12" s="56"/>
      <c r="U12" s="56"/>
      <c r="V12" s="56"/>
      <c r="W12" s="56">
        <v>6111.39</v>
      </c>
      <c r="X12" s="56">
        <f>F12*0.02</f>
        <v>2188.62</v>
      </c>
      <c r="Y12" s="56">
        <f>X12</f>
        <v>2188.62</v>
      </c>
      <c r="Z12" s="56">
        <v>2257.52</v>
      </c>
      <c r="AA12" s="56"/>
      <c r="AB12" s="56"/>
      <c r="AC12" s="56"/>
      <c r="AD12" s="56"/>
      <c r="AE12" s="55">
        <f t="shared" ref="AE12:AE33" si="0">G12-SUM(L12:X12)-SUM(Z12:AD12)</f>
        <v>32999.4</v>
      </c>
      <c r="AF12" s="502" t="s">
        <v>38</v>
      </c>
      <c r="AG12" s="510"/>
      <c r="AH12" s="546"/>
      <c r="AI12" s="522"/>
      <c r="AJ12" s="522"/>
      <c r="AK12" s="522"/>
      <c r="AL12" s="88"/>
    </row>
    <row r="13" spans="1:39" ht="20.100000000000001" customHeight="1" x14ac:dyDescent="0.2">
      <c r="A13" s="222" t="s">
        <v>127</v>
      </c>
      <c r="B13" s="44"/>
      <c r="C13" s="526" t="s">
        <v>115</v>
      </c>
      <c r="D13" s="210" t="s">
        <v>208</v>
      </c>
      <c r="E13" s="210" t="s">
        <v>175</v>
      </c>
      <c r="F13" s="54">
        <f>'Reg.3(1-15)'!F13</f>
        <v>50735</v>
      </c>
      <c r="G13" s="57">
        <f>F13/2</f>
        <v>25367.5</v>
      </c>
      <c r="H13" s="56"/>
      <c r="I13" s="56"/>
      <c r="J13" s="56"/>
      <c r="K13" s="56"/>
      <c r="L13" s="56">
        <v>2840.09</v>
      </c>
      <c r="M13" s="56">
        <v>551.05999999999995</v>
      </c>
      <c r="N13" s="56"/>
      <c r="O13" s="56"/>
      <c r="P13" s="56"/>
      <c r="Q13" s="56"/>
      <c r="R13" s="56"/>
      <c r="S13" s="56"/>
      <c r="T13" s="56">
        <f>3853.78+3853.78</f>
        <v>7707.56</v>
      </c>
      <c r="U13" s="56"/>
      <c r="V13" s="56"/>
      <c r="W13" s="56">
        <v>2174.08</v>
      </c>
      <c r="X13" s="56">
        <f t="shared" ref="X13:X32" si="1">F13*0.02</f>
        <v>1014.7</v>
      </c>
      <c r="Y13" s="56">
        <f t="shared" ref="Y13:Y32" si="2">X13</f>
        <v>1014.7</v>
      </c>
      <c r="Z13" s="56">
        <v>1280.19</v>
      </c>
      <c r="AA13" s="56"/>
      <c r="AB13" s="56"/>
      <c r="AC13" s="56"/>
      <c r="AD13" s="56"/>
      <c r="AE13" s="55">
        <f t="shared" si="0"/>
        <v>9799.8199999999979</v>
      </c>
      <c r="AF13" s="502" t="s">
        <v>127</v>
      </c>
      <c r="AG13" s="510"/>
      <c r="AH13" s="546"/>
      <c r="AI13" s="522"/>
      <c r="AJ13" s="522"/>
      <c r="AK13" s="522"/>
      <c r="AL13" s="88"/>
    </row>
    <row r="14" spans="1:39" ht="20.100000000000001" customHeight="1" x14ac:dyDescent="0.2">
      <c r="A14" s="222" t="s">
        <v>128</v>
      </c>
      <c r="B14" s="44"/>
      <c r="C14" s="210" t="s">
        <v>638</v>
      </c>
      <c r="D14" s="210" t="s">
        <v>208</v>
      </c>
      <c r="E14" s="210" t="s">
        <v>175</v>
      </c>
      <c r="F14" s="59">
        <f>'Reg.3(1-15)'!F14</f>
        <v>43996</v>
      </c>
      <c r="G14" s="57">
        <f>F14/2</f>
        <v>21998</v>
      </c>
      <c r="H14" s="58"/>
      <c r="I14" s="58"/>
      <c r="J14" s="58"/>
      <c r="K14" s="58"/>
      <c r="L14" s="58"/>
      <c r="M14" s="56">
        <v>655.56</v>
      </c>
      <c r="N14" s="58"/>
      <c r="O14" s="56"/>
      <c r="P14" s="58"/>
      <c r="Q14" s="58">
        <v>1166.67</v>
      </c>
      <c r="R14" s="58"/>
      <c r="S14" s="58"/>
      <c r="T14" s="58"/>
      <c r="U14" s="58"/>
      <c r="V14" s="58"/>
      <c r="W14" s="58">
        <v>1640.73</v>
      </c>
      <c r="X14" s="56">
        <f t="shared" si="1"/>
        <v>879.92000000000007</v>
      </c>
      <c r="Y14" s="56">
        <f t="shared" si="2"/>
        <v>879.92000000000007</v>
      </c>
      <c r="Z14" s="58"/>
      <c r="AA14" s="58"/>
      <c r="AB14" s="58"/>
      <c r="AC14" s="58"/>
      <c r="AD14" s="58"/>
      <c r="AE14" s="55">
        <f t="shared" si="0"/>
        <v>17655.12</v>
      </c>
      <c r="AF14" s="502" t="s">
        <v>128</v>
      </c>
      <c r="AG14" s="510"/>
      <c r="AH14" s="546"/>
      <c r="AI14" s="522"/>
      <c r="AJ14" s="522"/>
      <c r="AK14" s="522"/>
      <c r="AL14" s="88"/>
    </row>
    <row r="15" spans="1:39" ht="20.100000000000001" customHeight="1" x14ac:dyDescent="0.2">
      <c r="A15" s="222" t="s">
        <v>129</v>
      </c>
      <c r="B15" s="44"/>
      <c r="C15" s="210" t="s">
        <v>596</v>
      </c>
      <c r="D15" s="210" t="s">
        <v>208</v>
      </c>
      <c r="E15" s="210" t="s">
        <v>175</v>
      </c>
      <c r="F15" s="59">
        <f>'Reg.3(1-15)'!F15</f>
        <v>40604</v>
      </c>
      <c r="G15" s="57">
        <f>F15/2</f>
        <v>20302</v>
      </c>
      <c r="H15" s="58"/>
      <c r="I15" s="58"/>
      <c r="J15" s="58"/>
      <c r="K15" s="58"/>
      <c r="L15" s="58"/>
      <c r="M15" s="56"/>
      <c r="N15" s="58"/>
      <c r="O15" s="617"/>
      <c r="P15" s="58"/>
      <c r="Q15" s="58"/>
      <c r="R15" s="58"/>
      <c r="S15" s="58"/>
      <c r="T15" s="58"/>
      <c r="U15" s="58"/>
      <c r="V15" s="58"/>
      <c r="W15" s="58">
        <v>1421.01</v>
      </c>
      <c r="X15" s="56">
        <f t="shared" ref="X15:X20" si="3">F15*0.02</f>
        <v>812.08</v>
      </c>
      <c r="Y15" s="56">
        <f>X15</f>
        <v>812.08</v>
      </c>
      <c r="Z15" s="58"/>
      <c r="AA15" s="58"/>
      <c r="AB15" s="58"/>
      <c r="AC15" s="58"/>
      <c r="AD15" s="58"/>
      <c r="AE15" s="55">
        <f t="shared" si="0"/>
        <v>18068.91</v>
      </c>
      <c r="AF15" s="502" t="s">
        <v>129</v>
      </c>
      <c r="AG15" s="510"/>
      <c r="AH15" s="546"/>
      <c r="AI15" s="522"/>
      <c r="AJ15" s="522"/>
      <c r="AK15" s="522"/>
      <c r="AL15" s="88"/>
      <c r="AM15" s="35"/>
    </row>
    <row r="16" spans="1:39" ht="20.100000000000001" customHeight="1" x14ac:dyDescent="0.2">
      <c r="A16" s="222" t="s">
        <v>130</v>
      </c>
      <c r="B16" s="44"/>
      <c r="C16" s="210" t="s">
        <v>596</v>
      </c>
      <c r="D16" s="210" t="s">
        <v>208</v>
      </c>
      <c r="E16" s="210" t="s">
        <v>175</v>
      </c>
      <c r="F16" s="59">
        <f>'Reg.3(1-15)'!F16</f>
        <v>40604</v>
      </c>
      <c r="G16" s="57">
        <f>F16/2</f>
        <v>20302</v>
      </c>
      <c r="H16" s="58"/>
      <c r="I16" s="58"/>
      <c r="J16" s="58"/>
      <c r="K16" s="58"/>
      <c r="L16" s="58"/>
      <c r="M16" s="56"/>
      <c r="N16" s="58"/>
      <c r="O16" s="58">
        <v>500</v>
      </c>
      <c r="P16" s="58"/>
      <c r="Q16" s="58"/>
      <c r="R16" s="58"/>
      <c r="S16" s="58"/>
      <c r="T16" s="58"/>
      <c r="U16" s="58"/>
      <c r="V16" s="58"/>
      <c r="W16" s="58">
        <v>1421.01</v>
      </c>
      <c r="X16" s="56">
        <f t="shared" si="3"/>
        <v>812.08</v>
      </c>
      <c r="Y16" s="56">
        <f>X16</f>
        <v>812.08</v>
      </c>
      <c r="Z16" s="58"/>
      <c r="AA16" s="58"/>
      <c r="AB16" s="58"/>
      <c r="AC16" s="58"/>
      <c r="AD16" s="58"/>
      <c r="AE16" s="55">
        <f t="shared" si="0"/>
        <v>17568.91</v>
      </c>
      <c r="AF16" s="502" t="s">
        <v>130</v>
      </c>
      <c r="AG16" s="510"/>
      <c r="AH16" s="546"/>
      <c r="AI16" s="522"/>
      <c r="AJ16" s="522"/>
      <c r="AK16" s="522"/>
      <c r="AL16" s="201"/>
    </row>
    <row r="17" spans="1:39" ht="20.100000000000001" customHeight="1" x14ac:dyDescent="0.2">
      <c r="A17" s="222" t="s">
        <v>131</v>
      </c>
      <c r="B17" s="44"/>
      <c r="C17" s="210" t="s">
        <v>596</v>
      </c>
      <c r="D17" s="210" t="s">
        <v>208</v>
      </c>
      <c r="E17" s="210" t="s">
        <v>175</v>
      </c>
      <c r="F17" s="59">
        <f>'[1]Reg.3(1-15)'!$F$17</f>
        <v>40604</v>
      </c>
      <c r="G17" s="57">
        <f t="shared" ref="G17:G33" si="4">F17/2</f>
        <v>20302</v>
      </c>
      <c r="H17" s="58"/>
      <c r="I17" s="58"/>
      <c r="J17" s="58"/>
      <c r="K17" s="58"/>
      <c r="L17" s="58"/>
      <c r="M17" s="56"/>
      <c r="N17" s="58"/>
      <c r="O17" s="58"/>
      <c r="P17" s="58"/>
      <c r="Q17" s="58"/>
      <c r="R17" s="58"/>
      <c r="S17" s="58"/>
      <c r="T17" s="58"/>
      <c r="U17" s="58"/>
      <c r="V17" s="58"/>
      <c r="W17" s="58">
        <v>1421.01</v>
      </c>
      <c r="X17" s="56">
        <f t="shared" si="3"/>
        <v>812.08</v>
      </c>
      <c r="Y17" s="56">
        <f>X17</f>
        <v>812.08</v>
      </c>
      <c r="Z17" s="58">
        <v>1850.19</v>
      </c>
      <c r="AA17" s="58"/>
      <c r="AB17" s="58"/>
      <c r="AC17" s="58"/>
      <c r="AD17" s="58"/>
      <c r="AE17" s="55">
        <f t="shared" si="0"/>
        <v>16218.72</v>
      </c>
      <c r="AF17" s="502" t="s">
        <v>131</v>
      </c>
      <c r="AG17" s="510"/>
      <c r="AH17" s="546"/>
      <c r="AI17" s="522"/>
      <c r="AJ17" s="522"/>
      <c r="AK17" s="522"/>
      <c r="AL17" s="88"/>
      <c r="AM17" s="35"/>
    </row>
    <row r="18" spans="1:39" ht="20.100000000000001" customHeight="1" x14ac:dyDescent="0.2">
      <c r="A18" s="222" t="s">
        <v>132</v>
      </c>
      <c r="B18" s="44"/>
      <c r="C18" s="210" t="s">
        <v>611</v>
      </c>
      <c r="D18" s="210" t="s">
        <v>208</v>
      </c>
      <c r="E18" s="210" t="s">
        <v>175</v>
      </c>
      <c r="F18" s="59">
        <f>'[1]Reg.3(1-15)'!$F$18</f>
        <v>40604</v>
      </c>
      <c r="G18" s="57">
        <f t="shared" si="4"/>
        <v>20302</v>
      </c>
      <c r="H18" s="58"/>
      <c r="I18" s="58"/>
      <c r="J18" s="58"/>
      <c r="K18" s="58"/>
      <c r="L18" s="58"/>
      <c r="M18" s="56"/>
      <c r="N18" s="58"/>
      <c r="O18" s="58"/>
      <c r="P18" s="58"/>
      <c r="Q18" s="58"/>
      <c r="R18" s="58"/>
      <c r="S18" s="58"/>
      <c r="T18" s="58"/>
      <c r="U18" s="58"/>
      <c r="V18" s="58"/>
      <c r="W18" s="58">
        <v>1421.01</v>
      </c>
      <c r="X18" s="56">
        <f t="shared" si="3"/>
        <v>812.08</v>
      </c>
      <c r="Y18" s="56">
        <f>X18</f>
        <v>812.08</v>
      </c>
      <c r="Z18" s="58"/>
      <c r="AA18" s="58"/>
      <c r="AB18" s="58"/>
      <c r="AC18" s="58"/>
      <c r="AD18" s="58"/>
      <c r="AE18" s="55">
        <f t="shared" si="0"/>
        <v>18068.91</v>
      </c>
      <c r="AF18" s="502" t="s">
        <v>132</v>
      </c>
      <c r="AG18" s="510"/>
      <c r="AH18" s="546"/>
      <c r="AI18" s="522"/>
      <c r="AJ18" s="522"/>
      <c r="AK18" s="522"/>
      <c r="AL18" s="88"/>
      <c r="AM18" s="35"/>
    </row>
    <row r="19" spans="1:39" ht="20.100000000000001" customHeight="1" x14ac:dyDescent="0.2">
      <c r="A19" s="222" t="s">
        <v>133</v>
      </c>
      <c r="B19" s="44"/>
      <c r="C19" s="526" t="s">
        <v>636</v>
      </c>
      <c r="D19" s="210" t="s">
        <v>208</v>
      </c>
      <c r="E19" s="210" t="s">
        <v>175</v>
      </c>
      <c r="F19" s="59">
        <v>37384</v>
      </c>
      <c r="G19" s="57">
        <f t="shared" si="4"/>
        <v>18692</v>
      </c>
      <c r="H19" s="58"/>
      <c r="I19" s="58"/>
      <c r="J19" s="58"/>
      <c r="K19" s="58"/>
      <c r="L19" s="58"/>
      <c r="M19" s="56">
        <v>655.56</v>
      </c>
      <c r="N19" s="58"/>
      <c r="O19" s="58"/>
      <c r="P19" s="58"/>
      <c r="Q19" s="58"/>
      <c r="R19" s="58"/>
      <c r="S19" s="58"/>
      <c r="T19" s="58"/>
      <c r="U19" s="58"/>
      <c r="V19" s="58"/>
      <c r="W19" s="58">
        <v>1154.8900000000001</v>
      </c>
      <c r="X19" s="56">
        <f t="shared" si="3"/>
        <v>747.68000000000006</v>
      </c>
      <c r="Y19" s="56">
        <f>X19</f>
        <v>747.68000000000006</v>
      </c>
      <c r="Z19" s="58"/>
      <c r="AA19" s="58"/>
      <c r="AB19" s="58"/>
      <c r="AC19" s="58"/>
      <c r="AD19" s="58"/>
      <c r="AE19" s="55">
        <f t="shared" si="0"/>
        <v>16133.869999999999</v>
      </c>
      <c r="AF19" s="502" t="s">
        <v>133</v>
      </c>
      <c r="AG19" s="510"/>
      <c r="AH19" s="546"/>
      <c r="AI19" s="522"/>
      <c r="AJ19" s="522"/>
      <c r="AK19" s="522"/>
      <c r="AL19" s="88"/>
      <c r="AM19" s="35"/>
    </row>
    <row r="20" spans="1:39" ht="20.100000000000001" customHeight="1" x14ac:dyDescent="0.2">
      <c r="A20" s="222" t="s">
        <v>65</v>
      </c>
      <c r="B20" s="44"/>
      <c r="C20" s="210" t="s">
        <v>643</v>
      </c>
      <c r="D20" s="210" t="s">
        <v>208</v>
      </c>
      <c r="E20" s="210" t="s">
        <v>175</v>
      </c>
      <c r="F20" s="59">
        <f>'[1]Reg.3(1-15)'!$F$20</f>
        <v>34421</v>
      </c>
      <c r="G20" s="57">
        <f t="shared" si="4"/>
        <v>17210.5</v>
      </c>
      <c r="H20" s="58"/>
      <c r="I20" s="58"/>
      <c r="J20" s="58"/>
      <c r="K20" s="58"/>
      <c r="L20" s="58">
        <v>1654.52</v>
      </c>
      <c r="M20" s="56"/>
      <c r="N20" s="58"/>
      <c r="O20" s="58"/>
      <c r="P20" s="58"/>
      <c r="Q20" s="58"/>
      <c r="R20" s="58"/>
      <c r="S20" s="58"/>
      <c r="T20" s="58"/>
      <c r="U20" s="58"/>
      <c r="V20" s="58"/>
      <c r="W20" s="58">
        <v>961.4</v>
      </c>
      <c r="X20" s="56">
        <f t="shared" si="3"/>
        <v>688.42</v>
      </c>
      <c r="Y20" s="56">
        <f t="shared" si="2"/>
        <v>688.42</v>
      </c>
      <c r="Z20" s="58"/>
      <c r="AA20" s="58"/>
      <c r="AB20" s="58"/>
      <c r="AC20" s="58"/>
      <c r="AD20" s="58"/>
      <c r="AE20" s="55">
        <f t="shared" si="0"/>
        <v>13906.16</v>
      </c>
      <c r="AF20" s="502" t="s">
        <v>65</v>
      </c>
      <c r="AG20" s="570"/>
      <c r="AH20" s="546"/>
      <c r="AI20" s="522"/>
      <c r="AJ20" s="522"/>
      <c r="AK20" s="522"/>
      <c r="AL20" s="201"/>
    </row>
    <row r="21" spans="1:39" ht="20.100000000000001" customHeight="1" x14ac:dyDescent="0.2">
      <c r="A21" s="222" t="s">
        <v>134</v>
      </c>
      <c r="B21" s="44"/>
      <c r="C21" s="32" t="s">
        <v>116</v>
      </c>
      <c r="D21" s="210" t="s">
        <v>208</v>
      </c>
      <c r="E21" s="210" t="s">
        <v>175</v>
      </c>
      <c r="F21" s="54">
        <f>'[1]Reg.3(1-15)'!$F$21</f>
        <v>30308</v>
      </c>
      <c r="G21" s="57">
        <f t="shared" si="4"/>
        <v>15154</v>
      </c>
      <c r="H21" s="58"/>
      <c r="I21" s="58"/>
      <c r="J21" s="58"/>
      <c r="K21" s="58"/>
      <c r="L21" s="58"/>
      <c r="M21" s="56"/>
      <c r="N21" s="58"/>
      <c r="O21" s="58"/>
      <c r="P21" s="58"/>
      <c r="Q21" s="58"/>
      <c r="R21" s="58"/>
      <c r="S21" s="58">
        <v>510.14</v>
      </c>
      <c r="T21" s="58"/>
      <c r="U21" s="58"/>
      <c r="V21" s="58"/>
      <c r="W21" s="58">
        <v>655.68</v>
      </c>
      <c r="X21" s="56">
        <f t="shared" si="1"/>
        <v>606.16</v>
      </c>
      <c r="Y21" s="56">
        <f t="shared" si="2"/>
        <v>606.16</v>
      </c>
      <c r="Z21" s="58"/>
      <c r="AA21" s="58"/>
      <c r="AB21" s="58"/>
      <c r="AC21" s="58"/>
      <c r="AD21" s="58"/>
      <c r="AE21" s="55">
        <f t="shared" si="0"/>
        <v>13382.02</v>
      </c>
      <c r="AF21" s="502" t="s">
        <v>134</v>
      </c>
      <c r="AG21" s="510"/>
      <c r="AH21" s="546"/>
      <c r="AI21" s="522"/>
      <c r="AJ21" s="522"/>
      <c r="AK21" s="522"/>
      <c r="AL21" s="201"/>
    </row>
    <row r="22" spans="1:39" ht="20.100000000000001" customHeight="1" x14ac:dyDescent="0.2">
      <c r="A22" s="222" t="s">
        <v>135</v>
      </c>
      <c r="B22" s="44"/>
      <c r="C22" s="32" t="s">
        <v>116</v>
      </c>
      <c r="D22" s="210" t="s">
        <v>208</v>
      </c>
      <c r="E22" s="210" t="s">
        <v>175</v>
      </c>
      <c r="F22" s="54">
        <f>'[1]Reg.3(1-15)'!$F$22</f>
        <v>30308</v>
      </c>
      <c r="G22" s="57">
        <f t="shared" si="4"/>
        <v>15154</v>
      </c>
      <c r="H22" s="58"/>
      <c r="I22" s="58"/>
      <c r="J22" s="58"/>
      <c r="K22" s="58"/>
      <c r="L22" s="58"/>
      <c r="M22" s="56"/>
      <c r="N22" s="58"/>
      <c r="O22" s="58"/>
      <c r="P22" s="58"/>
      <c r="Q22" s="58"/>
      <c r="R22" s="58"/>
      <c r="S22" s="58"/>
      <c r="T22" s="58"/>
      <c r="U22" s="58"/>
      <c r="V22" s="58"/>
      <c r="W22" s="58">
        <v>655.68</v>
      </c>
      <c r="X22" s="56">
        <f t="shared" ref="X22:X24" si="5">F22*0.02</f>
        <v>606.16</v>
      </c>
      <c r="Y22" s="56">
        <f t="shared" ref="Y22:Y25" si="6">X22</f>
        <v>606.16</v>
      </c>
      <c r="Z22" s="58"/>
      <c r="AA22" s="58"/>
      <c r="AB22" s="58"/>
      <c r="AC22" s="58"/>
      <c r="AD22" s="58"/>
      <c r="AE22" s="55">
        <f t="shared" si="0"/>
        <v>13892.16</v>
      </c>
      <c r="AF22" s="502" t="s">
        <v>135</v>
      </c>
      <c r="AG22" s="510"/>
      <c r="AH22" s="546"/>
      <c r="AI22" s="522"/>
      <c r="AJ22" s="522"/>
      <c r="AK22" s="522"/>
      <c r="AL22" s="201"/>
    </row>
    <row r="23" spans="1:39" ht="20.100000000000001" customHeight="1" x14ac:dyDescent="0.2">
      <c r="A23" s="222" t="s">
        <v>136</v>
      </c>
      <c r="B23" s="44"/>
      <c r="C23" s="32" t="s">
        <v>116</v>
      </c>
      <c r="D23" s="210" t="s">
        <v>208</v>
      </c>
      <c r="E23" s="210" t="s">
        <v>175</v>
      </c>
      <c r="F23" s="54">
        <f>'[1]Reg.3(1-15)'!$F$23</f>
        <v>30308</v>
      </c>
      <c r="G23" s="57">
        <f t="shared" si="4"/>
        <v>15154</v>
      </c>
      <c r="H23" s="58"/>
      <c r="I23" s="58"/>
      <c r="J23" s="58"/>
      <c r="K23" s="58"/>
      <c r="L23" s="58"/>
      <c r="M23" s="56"/>
      <c r="N23" s="58"/>
      <c r="O23" s="58"/>
      <c r="P23" s="58"/>
      <c r="Q23" s="58"/>
      <c r="R23" s="58"/>
      <c r="S23" s="58"/>
      <c r="T23" s="58"/>
      <c r="U23" s="58"/>
      <c r="V23" s="58"/>
      <c r="W23" s="58">
        <v>655.68</v>
      </c>
      <c r="X23" s="56">
        <f t="shared" si="5"/>
        <v>606.16</v>
      </c>
      <c r="Y23" s="56">
        <f t="shared" si="6"/>
        <v>606.16</v>
      </c>
      <c r="Z23" s="58"/>
      <c r="AA23" s="58"/>
      <c r="AB23" s="58"/>
      <c r="AC23" s="58"/>
      <c r="AD23" s="58"/>
      <c r="AE23" s="55">
        <f t="shared" si="0"/>
        <v>13892.16</v>
      </c>
      <c r="AF23" s="502" t="s">
        <v>136</v>
      </c>
      <c r="AG23" s="510"/>
      <c r="AH23" s="546"/>
      <c r="AI23" s="522"/>
      <c r="AJ23" s="522"/>
      <c r="AK23" s="522"/>
      <c r="AL23" s="201"/>
    </row>
    <row r="24" spans="1:39" ht="20.100000000000001" customHeight="1" x14ac:dyDescent="0.2">
      <c r="A24" s="222" t="s">
        <v>137</v>
      </c>
      <c r="B24" s="44"/>
      <c r="C24" s="32" t="s">
        <v>116</v>
      </c>
      <c r="D24" s="210" t="s">
        <v>208</v>
      </c>
      <c r="E24" s="210" t="s">
        <v>175</v>
      </c>
      <c r="F24" s="54">
        <f>'[1]Reg.3(1-15)'!$F$24</f>
        <v>30024</v>
      </c>
      <c r="G24" s="57">
        <f t="shared" si="4"/>
        <v>15012</v>
      </c>
      <c r="H24" s="58"/>
      <c r="I24" s="58"/>
      <c r="J24" s="58"/>
      <c r="K24" s="58"/>
      <c r="L24" s="58"/>
      <c r="M24" s="56"/>
      <c r="N24" s="58"/>
      <c r="O24" s="58"/>
      <c r="P24" s="58"/>
      <c r="Q24" s="58"/>
      <c r="R24" s="58"/>
      <c r="S24" s="58"/>
      <c r="T24" s="58"/>
      <c r="U24" s="58"/>
      <c r="V24" s="58"/>
      <c r="W24" s="58">
        <v>634.57000000000005</v>
      </c>
      <c r="X24" s="56">
        <f t="shared" si="5"/>
        <v>600.48</v>
      </c>
      <c r="Y24" s="56">
        <f t="shared" si="6"/>
        <v>600.48</v>
      </c>
      <c r="Z24" s="58"/>
      <c r="AA24" s="58"/>
      <c r="AB24" s="58"/>
      <c r="AC24" s="58"/>
      <c r="AD24" s="58"/>
      <c r="AE24" s="55">
        <f t="shared" si="0"/>
        <v>13776.95</v>
      </c>
      <c r="AF24" s="502" t="s">
        <v>137</v>
      </c>
      <c r="AG24" s="510"/>
      <c r="AH24" s="546"/>
      <c r="AI24" s="522"/>
      <c r="AJ24" s="522"/>
      <c r="AK24" s="522"/>
      <c r="AL24" s="201"/>
    </row>
    <row r="25" spans="1:39" ht="20.100000000000001" customHeight="1" x14ac:dyDescent="0.2">
      <c r="A25" s="222" t="s">
        <v>138</v>
      </c>
      <c r="B25" s="44"/>
      <c r="C25" s="32" t="s">
        <v>517</v>
      </c>
      <c r="D25" s="210" t="s">
        <v>208</v>
      </c>
      <c r="E25" s="210" t="s">
        <v>175</v>
      </c>
      <c r="F25" s="54">
        <f>'[1]Reg.3(1-15)'!$F$25</f>
        <v>30308</v>
      </c>
      <c r="G25" s="57">
        <f t="shared" si="4"/>
        <v>15154</v>
      </c>
      <c r="H25" s="58"/>
      <c r="I25" s="58"/>
      <c r="J25" s="58"/>
      <c r="K25" s="58"/>
      <c r="L25" s="58"/>
      <c r="M25" s="56"/>
      <c r="N25" s="58"/>
      <c r="O25" s="58"/>
      <c r="P25" s="58"/>
      <c r="Q25" s="58"/>
      <c r="R25" s="58"/>
      <c r="S25" s="58">
        <v>593.79999999999995</v>
      </c>
      <c r="T25" s="58"/>
      <c r="U25" s="58"/>
      <c r="V25" s="58"/>
      <c r="W25" s="58">
        <v>655.68</v>
      </c>
      <c r="X25" s="56">
        <f>F25*0.02</f>
        <v>606.16</v>
      </c>
      <c r="Y25" s="56">
        <f t="shared" si="6"/>
        <v>606.16</v>
      </c>
      <c r="Z25" s="58"/>
      <c r="AA25" s="58"/>
      <c r="AB25" s="58"/>
      <c r="AC25" s="58"/>
      <c r="AD25" s="58"/>
      <c r="AE25" s="55">
        <f t="shared" si="0"/>
        <v>13298.36</v>
      </c>
      <c r="AF25" s="502" t="s">
        <v>138</v>
      </c>
      <c r="AG25" s="510"/>
      <c r="AH25" s="546"/>
      <c r="AI25" s="522"/>
      <c r="AJ25" s="522"/>
      <c r="AK25" s="522"/>
      <c r="AL25" s="201"/>
    </row>
    <row r="26" spans="1:39" ht="20.100000000000001" customHeight="1" x14ac:dyDescent="0.2">
      <c r="A26" s="222" t="s">
        <v>139</v>
      </c>
      <c r="B26" s="44"/>
      <c r="C26" s="210" t="s">
        <v>646</v>
      </c>
      <c r="D26" s="210" t="s">
        <v>208</v>
      </c>
      <c r="E26" s="210" t="s">
        <v>175</v>
      </c>
      <c r="F26" s="54">
        <f>'[1]Reg.3(1-15)'!$F$26</f>
        <v>22035</v>
      </c>
      <c r="G26" s="57">
        <f t="shared" si="4"/>
        <v>11017.5</v>
      </c>
      <c r="H26" s="58"/>
      <c r="I26" s="58"/>
      <c r="J26" s="58"/>
      <c r="K26" s="58"/>
      <c r="L26" s="58"/>
      <c r="M26" s="56">
        <v>1311.12</v>
      </c>
      <c r="N26" s="58"/>
      <c r="O26" s="58"/>
      <c r="P26" s="58"/>
      <c r="Q26" s="58"/>
      <c r="R26" s="58"/>
      <c r="S26" s="58">
        <v>4658.82</v>
      </c>
      <c r="T26" s="58"/>
      <c r="U26" s="58"/>
      <c r="V26" s="58"/>
      <c r="W26" s="58"/>
      <c r="X26" s="56">
        <f t="shared" si="1"/>
        <v>440.7</v>
      </c>
      <c r="Y26" s="56">
        <f t="shared" si="2"/>
        <v>440.7</v>
      </c>
      <c r="Z26" s="58">
        <v>2405.7399999999998</v>
      </c>
      <c r="AA26" s="58"/>
      <c r="AB26" s="58">
        <v>1830.91</v>
      </c>
      <c r="AC26" s="58"/>
      <c r="AD26" s="58"/>
      <c r="AE26" s="55">
        <f t="shared" si="0"/>
        <v>370.21000000000095</v>
      </c>
      <c r="AF26" s="502" t="s">
        <v>139</v>
      </c>
      <c r="AG26" s="510"/>
      <c r="AH26" s="546"/>
      <c r="AI26" s="522"/>
      <c r="AJ26" s="522"/>
      <c r="AK26" s="522"/>
      <c r="AL26" s="201"/>
    </row>
    <row r="27" spans="1:39" ht="20.100000000000001" customHeight="1" x14ac:dyDescent="0.2">
      <c r="A27" s="222" t="s">
        <v>140</v>
      </c>
      <c r="B27" s="44"/>
      <c r="C27" s="32" t="s">
        <v>42</v>
      </c>
      <c r="D27" s="210" t="s">
        <v>208</v>
      </c>
      <c r="E27" s="210" t="s">
        <v>175</v>
      </c>
      <c r="F27" s="54">
        <f>'[1]Reg.3(1-15)'!$F$27</f>
        <v>21642</v>
      </c>
      <c r="G27" s="57">
        <f t="shared" si="4"/>
        <v>10821</v>
      </c>
      <c r="H27" s="58"/>
      <c r="I27" s="58"/>
      <c r="J27" s="58"/>
      <c r="K27" s="58"/>
      <c r="L27" s="58"/>
      <c r="M27" s="56"/>
      <c r="N27" s="58"/>
      <c r="O27" s="58"/>
      <c r="P27" s="58"/>
      <c r="Q27" s="58"/>
      <c r="R27" s="58"/>
      <c r="S27" s="58"/>
      <c r="T27" s="58"/>
      <c r="U27" s="58"/>
      <c r="V27" s="58"/>
      <c r="W27" s="58"/>
      <c r="X27" s="56">
        <f>F27*0.02</f>
        <v>432.84000000000003</v>
      </c>
      <c r="Y27" s="56">
        <f>X27</f>
        <v>432.84000000000003</v>
      </c>
      <c r="Z27" s="58"/>
      <c r="AA27" s="58"/>
      <c r="AB27" s="58"/>
      <c r="AC27" s="58"/>
      <c r="AD27" s="58"/>
      <c r="AE27" s="55">
        <f t="shared" si="0"/>
        <v>10388.16</v>
      </c>
      <c r="AF27" s="502" t="s">
        <v>140</v>
      </c>
      <c r="AG27" s="510"/>
      <c r="AH27" s="546"/>
      <c r="AI27" s="522"/>
      <c r="AJ27" s="522"/>
      <c r="AK27" s="522"/>
      <c r="AL27" s="201"/>
    </row>
    <row r="28" spans="1:39" ht="20.100000000000001" customHeight="1" x14ac:dyDescent="0.2">
      <c r="A28" s="222" t="s">
        <v>141</v>
      </c>
      <c r="B28" s="44"/>
      <c r="C28" s="32" t="s">
        <v>644</v>
      </c>
      <c r="D28" s="210" t="s">
        <v>208</v>
      </c>
      <c r="E28" s="210" t="s">
        <v>175</v>
      </c>
      <c r="F28" s="59">
        <v>18957</v>
      </c>
      <c r="G28" s="57">
        <f t="shared" si="4"/>
        <v>9478.5</v>
      </c>
      <c r="H28" s="58"/>
      <c r="I28" s="58"/>
      <c r="J28" s="58"/>
      <c r="K28" s="58"/>
      <c r="L28" s="58"/>
      <c r="M28" s="56"/>
      <c r="N28" s="58"/>
      <c r="O28" s="58"/>
      <c r="P28" s="58"/>
      <c r="Q28" s="58"/>
      <c r="R28" s="58"/>
      <c r="S28" s="58"/>
      <c r="T28" s="58"/>
      <c r="U28" s="58"/>
      <c r="V28" s="58"/>
      <c r="W28" s="58"/>
      <c r="X28" s="56">
        <f>F28*0.02</f>
        <v>379.14</v>
      </c>
      <c r="Y28" s="56">
        <f>X28</f>
        <v>379.14</v>
      </c>
      <c r="Z28" s="58"/>
      <c r="AA28" s="58"/>
      <c r="AB28" s="58"/>
      <c r="AC28" s="58"/>
      <c r="AD28" s="58"/>
      <c r="AE28" s="55">
        <f t="shared" si="0"/>
        <v>9099.36</v>
      </c>
      <c r="AF28" s="502" t="s">
        <v>141</v>
      </c>
      <c r="AG28" s="510"/>
      <c r="AH28" s="546"/>
      <c r="AI28" s="522"/>
      <c r="AJ28" s="522"/>
      <c r="AK28" s="522"/>
      <c r="AL28" s="201"/>
    </row>
    <row r="29" spans="1:39" ht="20.100000000000001" customHeight="1" x14ac:dyDescent="0.2">
      <c r="A29" s="222" t="s">
        <v>142</v>
      </c>
      <c r="B29" s="44"/>
      <c r="C29" s="210" t="s">
        <v>645</v>
      </c>
      <c r="D29" s="210" t="s">
        <v>208</v>
      </c>
      <c r="E29" s="210" t="s">
        <v>175</v>
      </c>
      <c r="F29" s="59">
        <v>18957</v>
      </c>
      <c r="G29" s="57">
        <f t="shared" si="4"/>
        <v>9478.5</v>
      </c>
      <c r="H29" s="58"/>
      <c r="I29" s="58"/>
      <c r="J29" s="58"/>
      <c r="K29" s="58"/>
      <c r="L29" s="58"/>
      <c r="M29" s="56"/>
      <c r="N29" s="58"/>
      <c r="O29" s="58"/>
      <c r="P29" s="58"/>
      <c r="Q29" s="58"/>
      <c r="R29" s="58"/>
      <c r="S29" s="58"/>
      <c r="T29" s="58"/>
      <c r="U29" s="58"/>
      <c r="V29" s="58"/>
      <c r="W29" s="58"/>
      <c r="X29" s="56">
        <f>F29*0.02</f>
        <v>379.14</v>
      </c>
      <c r="Y29" s="56">
        <f>X29</f>
        <v>379.14</v>
      </c>
      <c r="Z29" s="58"/>
      <c r="AA29" s="58"/>
      <c r="AB29" s="58"/>
      <c r="AC29" s="58">
        <v>4982.1499999999996</v>
      </c>
      <c r="AD29" s="58"/>
      <c r="AE29" s="55">
        <f t="shared" si="0"/>
        <v>4117.2100000000009</v>
      </c>
      <c r="AF29" s="502" t="s">
        <v>142</v>
      </c>
      <c r="AG29" s="510"/>
      <c r="AH29" s="546"/>
      <c r="AI29" s="522"/>
      <c r="AJ29" s="522"/>
      <c r="AK29" s="522"/>
      <c r="AL29" s="201"/>
    </row>
    <row r="30" spans="1:39" ht="20.100000000000001" customHeight="1" x14ac:dyDescent="0.2">
      <c r="A30" s="222" t="s">
        <v>143</v>
      </c>
      <c r="B30" s="44"/>
      <c r="C30" s="210" t="s">
        <v>446</v>
      </c>
      <c r="D30" s="210" t="s">
        <v>208</v>
      </c>
      <c r="E30" s="210" t="s">
        <v>175</v>
      </c>
      <c r="F30" s="59">
        <f>'[1]Reg.3(1-15)'!$F$30</f>
        <v>17209</v>
      </c>
      <c r="G30" s="57">
        <f t="shared" si="4"/>
        <v>8604.5</v>
      </c>
      <c r="H30" s="58"/>
      <c r="I30" s="58"/>
      <c r="J30" s="58"/>
      <c r="K30" s="58"/>
      <c r="L30" s="58"/>
      <c r="M30" s="56">
        <v>584.69000000000005</v>
      </c>
      <c r="N30" s="58"/>
      <c r="O30" s="58"/>
      <c r="P30" s="58"/>
      <c r="Q30" s="58"/>
      <c r="R30" s="58"/>
      <c r="S30" s="58">
        <v>968.68</v>
      </c>
      <c r="T30" s="58"/>
      <c r="U30" s="58"/>
      <c r="V30" s="58"/>
      <c r="W30" s="58"/>
      <c r="X30" s="56">
        <f t="shared" si="1"/>
        <v>344.18</v>
      </c>
      <c r="Y30" s="56">
        <f t="shared" si="2"/>
        <v>344.18</v>
      </c>
      <c r="Z30" s="58"/>
      <c r="AA30" s="58"/>
      <c r="AB30" s="58"/>
      <c r="AC30" s="58"/>
      <c r="AD30" s="58"/>
      <c r="AE30" s="55">
        <f t="shared" si="0"/>
        <v>6706.95</v>
      </c>
      <c r="AF30" s="502" t="s">
        <v>143</v>
      </c>
      <c r="AG30" s="510"/>
      <c r="AH30" s="546"/>
      <c r="AI30" s="522"/>
      <c r="AJ30" s="522"/>
      <c r="AK30" s="522"/>
      <c r="AL30" s="201"/>
    </row>
    <row r="31" spans="1:39" ht="20.100000000000001" customHeight="1" x14ac:dyDescent="0.2">
      <c r="A31" s="222" t="s">
        <v>144</v>
      </c>
      <c r="B31" s="44"/>
      <c r="C31" s="210" t="s">
        <v>64</v>
      </c>
      <c r="D31" s="210" t="s">
        <v>208</v>
      </c>
      <c r="E31" s="210" t="s">
        <v>175</v>
      </c>
      <c r="F31" s="59">
        <v>16833</v>
      </c>
      <c r="G31" s="57">
        <f t="shared" si="4"/>
        <v>8416.5</v>
      </c>
      <c r="H31" s="58"/>
      <c r="I31" s="58"/>
      <c r="J31" s="58"/>
      <c r="K31" s="58"/>
      <c r="L31" s="58"/>
      <c r="M31" s="56">
        <v>655.56</v>
      </c>
      <c r="N31" s="58"/>
      <c r="O31" s="58"/>
      <c r="P31" s="58"/>
      <c r="Q31" s="58"/>
      <c r="R31" s="58"/>
      <c r="S31" s="58"/>
      <c r="T31" s="58"/>
      <c r="U31" s="58"/>
      <c r="V31" s="58"/>
      <c r="W31" s="58"/>
      <c r="X31" s="56">
        <f t="shared" si="1"/>
        <v>336.66</v>
      </c>
      <c r="Y31" s="56">
        <f t="shared" si="2"/>
        <v>336.66</v>
      </c>
      <c r="Z31" s="58">
        <v>615.45000000000005</v>
      </c>
      <c r="AA31" s="58"/>
      <c r="AB31" s="58"/>
      <c r="AC31" s="58">
        <v>2973.74</v>
      </c>
      <c r="AD31" s="58"/>
      <c r="AE31" s="55">
        <f t="shared" si="0"/>
        <v>3835.09</v>
      </c>
      <c r="AF31" s="502" t="s">
        <v>144</v>
      </c>
      <c r="AG31" s="510"/>
      <c r="AH31" s="546"/>
      <c r="AI31" s="522"/>
      <c r="AJ31" s="522"/>
      <c r="AK31" s="522"/>
      <c r="AL31" s="201"/>
    </row>
    <row r="32" spans="1:39" ht="20.100000000000001" customHeight="1" x14ac:dyDescent="0.2">
      <c r="A32" s="222" t="s">
        <v>145</v>
      </c>
      <c r="B32" s="44"/>
      <c r="C32" s="210" t="s">
        <v>446</v>
      </c>
      <c r="D32" s="210" t="s">
        <v>208</v>
      </c>
      <c r="E32" s="210" t="s">
        <v>175</v>
      </c>
      <c r="F32" s="54">
        <f>'[1]Reg.3(1-15)'!$F$32</f>
        <v>16088</v>
      </c>
      <c r="G32" s="57">
        <f t="shared" si="4"/>
        <v>8044</v>
      </c>
      <c r="H32" s="58"/>
      <c r="I32" s="58"/>
      <c r="J32" s="58"/>
      <c r="K32" s="58"/>
      <c r="L32" s="58"/>
      <c r="M32" s="56">
        <v>655.56</v>
      </c>
      <c r="N32" s="58"/>
      <c r="O32" s="58"/>
      <c r="P32" s="58"/>
      <c r="Q32" s="58"/>
      <c r="R32" s="58"/>
      <c r="S32" s="58"/>
      <c r="T32" s="58"/>
      <c r="U32" s="58"/>
      <c r="V32" s="58"/>
      <c r="W32" s="58"/>
      <c r="X32" s="56">
        <f t="shared" si="1"/>
        <v>321.76</v>
      </c>
      <c r="Y32" s="56">
        <f t="shared" si="2"/>
        <v>321.76</v>
      </c>
      <c r="Z32" s="58"/>
      <c r="AA32" s="58"/>
      <c r="AB32" s="58"/>
      <c r="AC32" s="58"/>
      <c r="AD32" s="58"/>
      <c r="AE32" s="55">
        <f t="shared" si="0"/>
        <v>7066.68</v>
      </c>
      <c r="AF32" s="502" t="s">
        <v>145</v>
      </c>
      <c r="AG32" s="510"/>
      <c r="AH32" s="546"/>
      <c r="AI32" s="522"/>
      <c r="AJ32" s="522"/>
      <c r="AK32" s="522"/>
      <c r="AL32" s="88"/>
      <c r="AM32" s="35"/>
    </row>
    <row r="33" spans="1:48" ht="20.100000000000001" customHeight="1" thickBot="1" x14ac:dyDescent="0.25">
      <c r="A33" s="222" t="s">
        <v>146</v>
      </c>
      <c r="B33" s="44"/>
      <c r="C33" s="210" t="s">
        <v>446</v>
      </c>
      <c r="D33" s="210" t="s">
        <v>208</v>
      </c>
      <c r="E33" s="210" t="s">
        <v>175</v>
      </c>
      <c r="F33" s="62">
        <v>15852</v>
      </c>
      <c r="G33" s="57">
        <f t="shared" si="4"/>
        <v>7926</v>
      </c>
      <c r="H33" s="58"/>
      <c r="I33" s="58"/>
      <c r="J33" s="58"/>
      <c r="K33" s="58"/>
      <c r="L33" s="58"/>
      <c r="M33" s="56">
        <v>655.56</v>
      </c>
      <c r="N33" s="58"/>
      <c r="O33" s="58"/>
      <c r="P33" s="58"/>
      <c r="Q33" s="58">
        <v>475</v>
      </c>
      <c r="R33" s="58"/>
      <c r="S33" s="58">
        <v>701.86</v>
      </c>
      <c r="T33" s="58"/>
      <c r="U33" s="58"/>
      <c r="V33" s="58"/>
      <c r="W33" s="58"/>
      <c r="X33" s="56">
        <f>F33*0.02</f>
        <v>317.04000000000002</v>
      </c>
      <c r="Y33" s="56">
        <f>X33</f>
        <v>317.04000000000002</v>
      </c>
      <c r="Z33" s="58"/>
      <c r="AA33" s="58"/>
      <c r="AB33" s="58"/>
      <c r="AC33" s="58"/>
      <c r="AD33" s="58"/>
      <c r="AE33" s="55">
        <f t="shared" si="0"/>
        <v>5776.54</v>
      </c>
      <c r="AF33" s="502" t="s">
        <v>146</v>
      </c>
      <c r="AG33" s="510"/>
      <c r="AH33" s="546"/>
      <c r="AI33" s="522"/>
      <c r="AJ33" s="522"/>
      <c r="AK33" s="522"/>
      <c r="AL33" s="201"/>
    </row>
    <row r="34" spans="1:48" ht="20.100000000000001" customHeight="1" thickBot="1" x14ac:dyDescent="0.25">
      <c r="A34" s="222" t="s">
        <v>147</v>
      </c>
      <c r="B34" s="44"/>
      <c r="C34" s="210"/>
      <c r="D34" s="210"/>
      <c r="E34" s="210"/>
      <c r="F34" s="607">
        <f>SUM(F12:F33)</f>
        <v>737212</v>
      </c>
      <c r="G34" s="607">
        <f t="shared" ref="G34:AD34" si="7">SUM(G12:G33)</f>
        <v>368606</v>
      </c>
      <c r="H34" s="607">
        <f t="shared" si="7"/>
        <v>0</v>
      </c>
      <c r="I34" s="607">
        <f t="shared" si="7"/>
        <v>0</v>
      </c>
      <c r="J34" s="607"/>
      <c r="K34" s="607"/>
      <c r="L34" s="607">
        <f>SUM(L12:L33)</f>
        <v>4494.6100000000006</v>
      </c>
      <c r="M34" s="607">
        <f>SUM(M12:M33)</f>
        <v>6936.1699999999983</v>
      </c>
      <c r="N34" s="607">
        <f>SUM(N12:N33)</f>
        <v>0</v>
      </c>
      <c r="O34" s="607">
        <f>SUM(O12:O33)</f>
        <v>500</v>
      </c>
      <c r="P34" s="607">
        <f t="shared" si="7"/>
        <v>0</v>
      </c>
      <c r="Q34" s="607">
        <f t="shared" si="7"/>
        <v>1641.67</v>
      </c>
      <c r="R34" s="607">
        <f t="shared" si="7"/>
        <v>0</v>
      </c>
      <c r="S34" s="607">
        <f t="shared" si="7"/>
        <v>17380.37</v>
      </c>
      <c r="T34" s="607">
        <f t="shared" si="7"/>
        <v>7707.56</v>
      </c>
      <c r="U34" s="607">
        <f t="shared" si="7"/>
        <v>0</v>
      </c>
      <c r="V34" s="607">
        <f t="shared" si="7"/>
        <v>0</v>
      </c>
      <c r="W34" s="607">
        <f>SUM(W12:W33)</f>
        <v>20983.820000000003</v>
      </c>
      <c r="X34" s="607">
        <f t="shared" si="7"/>
        <v>14744.24</v>
      </c>
      <c r="Y34" s="607">
        <f t="shared" si="7"/>
        <v>14744.24</v>
      </c>
      <c r="Z34" s="607">
        <f t="shared" si="7"/>
        <v>8409.09</v>
      </c>
      <c r="AA34" s="607">
        <f t="shared" si="7"/>
        <v>0</v>
      </c>
      <c r="AB34" s="607">
        <f t="shared" si="7"/>
        <v>1830.91</v>
      </c>
      <c r="AC34" s="607">
        <f t="shared" si="7"/>
        <v>7955.8899999999994</v>
      </c>
      <c r="AD34" s="607">
        <f t="shared" si="7"/>
        <v>0</v>
      </c>
      <c r="AE34" s="607">
        <f>SUM(AE12:AE33)</f>
        <v>276021.67</v>
      </c>
      <c r="AF34" s="502" t="s">
        <v>147</v>
      </c>
      <c r="AG34" s="510"/>
      <c r="AH34" s="546"/>
      <c r="AI34" s="522"/>
      <c r="AJ34" s="522"/>
      <c r="AK34" s="522"/>
      <c r="AL34" s="201"/>
    </row>
    <row r="35" spans="1:48" ht="20.100000000000001" customHeight="1" thickTop="1" x14ac:dyDescent="0.2">
      <c r="A35" s="222" t="s">
        <v>148</v>
      </c>
      <c r="B35" s="567" t="s">
        <v>504</v>
      </c>
      <c r="C35" s="528"/>
      <c r="D35" s="210"/>
      <c r="E35" s="210"/>
      <c r="F35" s="55"/>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502" t="s">
        <v>148</v>
      </c>
      <c r="AG35" s="510"/>
      <c r="AH35" s="608"/>
      <c r="AI35" s="522"/>
      <c r="AJ35" s="522"/>
      <c r="AK35" s="522"/>
      <c r="AL35" s="201"/>
    </row>
    <row r="36" spans="1:48" ht="20.100000000000001" customHeight="1" thickBot="1" x14ac:dyDescent="0.25">
      <c r="A36" s="222" t="s">
        <v>149</v>
      </c>
      <c r="B36" s="30"/>
      <c r="C36" s="210" t="s">
        <v>446</v>
      </c>
      <c r="D36" s="935" t="s">
        <v>686</v>
      </c>
      <c r="E36" s="935"/>
      <c r="F36" s="60">
        <f>'[1]Reg.3(1-15)'!$F$36</f>
        <v>13575</v>
      </c>
      <c r="G36" s="57">
        <f t="shared" ref="G36" si="8">F36/2</f>
        <v>6787.5</v>
      </c>
      <c r="H36" s="60"/>
      <c r="I36" s="60"/>
      <c r="J36" s="60"/>
      <c r="K36" s="60"/>
      <c r="L36" s="60"/>
      <c r="M36" s="60">
        <v>655.56</v>
      </c>
      <c r="N36" s="60"/>
      <c r="O36" s="60"/>
      <c r="P36" s="60"/>
      <c r="Q36" s="60"/>
      <c r="R36" s="60"/>
      <c r="S36" s="60"/>
      <c r="T36" s="60"/>
      <c r="U36" s="60"/>
      <c r="V36" s="60"/>
      <c r="W36" s="60"/>
      <c r="X36" s="60">
        <f>F36*0.02</f>
        <v>271.5</v>
      </c>
      <c r="Y36" s="60">
        <f>X36</f>
        <v>271.5</v>
      </c>
      <c r="Z36" s="60"/>
      <c r="AA36" s="60"/>
      <c r="AB36" s="60">
        <v>1788.1</v>
      </c>
      <c r="AC36" s="60"/>
      <c r="AD36" s="60"/>
      <c r="AE36" s="60">
        <f>G36-SUM(L36:X36)-SUM(Z36:AD36)</f>
        <v>4072.3400000000006</v>
      </c>
      <c r="AF36" s="502" t="s">
        <v>149</v>
      </c>
      <c r="AG36" s="510"/>
      <c r="AH36" s="608"/>
      <c r="AI36" s="522"/>
      <c r="AJ36" s="522"/>
      <c r="AK36" s="522"/>
      <c r="AL36" s="201"/>
    </row>
    <row r="37" spans="1:48" ht="20.100000000000001" customHeight="1" thickBot="1" x14ac:dyDescent="0.25">
      <c r="A37" s="222" t="s">
        <v>150</v>
      </c>
      <c r="B37" s="44"/>
      <c r="C37" s="210"/>
      <c r="D37" s="210"/>
      <c r="E37" s="210"/>
      <c r="F37" s="472">
        <f>F36</f>
        <v>13575</v>
      </c>
      <c r="G37" s="472">
        <f t="shared" ref="G37:AE37" si="9">G36</f>
        <v>6787.5</v>
      </c>
      <c r="H37" s="472">
        <f t="shared" si="9"/>
        <v>0</v>
      </c>
      <c r="I37" s="472">
        <f t="shared" si="9"/>
        <v>0</v>
      </c>
      <c r="J37" s="472"/>
      <c r="K37" s="472"/>
      <c r="L37" s="472">
        <f>L36</f>
        <v>0</v>
      </c>
      <c r="M37" s="472">
        <f t="shared" si="9"/>
        <v>655.56</v>
      </c>
      <c r="N37" s="472">
        <f t="shared" si="9"/>
        <v>0</v>
      </c>
      <c r="O37" s="472">
        <f t="shared" si="9"/>
        <v>0</v>
      </c>
      <c r="P37" s="472">
        <f t="shared" si="9"/>
        <v>0</v>
      </c>
      <c r="Q37" s="472">
        <f t="shared" si="9"/>
        <v>0</v>
      </c>
      <c r="R37" s="472">
        <f t="shared" si="9"/>
        <v>0</v>
      </c>
      <c r="S37" s="472">
        <f>S36</f>
        <v>0</v>
      </c>
      <c r="T37" s="472">
        <f t="shared" si="9"/>
        <v>0</v>
      </c>
      <c r="U37" s="472">
        <f t="shared" si="9"/>
        <v>0</v>
      </c>
      <c r="V37" s="472">
        <f t="shared" si="9"/>
        <v>0</v>
      </c>
      <c r="W37" s="472">
        <f t="shared" si="9"/>
        <v>0</v>
      </c>
      <c r="X37" s="472">
        <f t="shared" si="9"/>
        <v>271.5</v>
      </c>
      <c r="Y37" s="472">
        <f t="shared" si="9"/>
        <v>271.5</v>
      </c>
      <c r="Z37" s="472">
        <f t="shared" si="9"/>
        <v>0</v>
      </c>
      <c r="AA37" s="472">
        <f t="shared" si="9"/>
        <v>0</v>
      </c>
      <c r="AB37" s="472">
        <f t="shared" si="9"/>
        <v>1788.1</v>
      </c>
      <c r="AC37" s="472">
        <f t="shared" si="9"/>
        <v>0</v>
      </c>
      <c r="AD37" s="472">
        <f t="shared" si="9"/>
        <v>0</v>
      </c>
      <c r="AE37" s="472">
        <f t="shared" si="9"/>
        <v>4072.3400000000006</v>
      </c>
      <c r="AF37" s="502" t="s">
        <v>150</v>
      </c>
      <c r="AG37" s="510"/>
      <c r="AH37" s="608"/>
      <c r="AI37" s="522"/>
      <c r="AJ37" s="522"/>
      <c r="AK37" s="522"/>
      <c r="AL37" s="201"/>
    </row>
    <row r="38" spans="1:48" ht="20.100000000000001" customHeight="1" thickTop="1" x14ac:dyDescent="0.2">
      <c r="A38" s="222" t="s">
        <v>151</v>
      </c>
      <c r="B38" s="408" t="s">
        <v>503</v>
      </c>
      <c r="C38" s="404"/>
      <c r="D38" s="404"/>
      <c r="E38" s="404"/>
      <c r="F38" s="55"/>
      <c r="G38" s="55" t="s">
        <v>37</v>
      </c>
      <c r="H38" s="61"/>
      <c r="I38" s="61"/>
      <c r="J38" s="61"/>
      <c r="K38" s="61"/>
      <c r="L38" s="61"/>
      <c r="M38" s="61"/>
      <c r="N38" s="61"/>
      <c r="O38" s="61"/>
      <c r="P38" s="61"/>
      <c r="Q38" s="61"/>
      <c r="R38" s="61"/>
      <c r="S38" s="61"/>
      <c r="T38" s="61"/>
      <c r="U38" s="61"/>
      <c r="V38" s="61"/>
      <c r="W38" s="61"/>
      <c r="X38" s="61"/>
      <c r="Y38" s="61"/>
      <c r="Z38" s="61"/>
      <c r="AA38" s="61"/>
      <c r="AB38" s="61"/>
      <c r="AC38" s="61"/>
      <c r="AD38" s="61"/>
      <c r="AE38" s="513"/>
      <c r="AF38" s="502" t="s">
        <v>151</v>
      </c>
      <c r="AG38" s="510"/>
      <c r="AH38" s="22"/>
      <c r="AL38" s="201"/>
    </row>
    <row r="39" spans="1:48" s="15" customFormat="1" ht="20.100000000000001" customHeight="1" thickBot="1" x14ac:dyDescent="0.35">
      <c r="A39" s="222" t="s">
        <v>152</v>
      </c>
      <c r="B39" s="44"/>
      <c r="C39" s="210" t="s">
        <v>446</v>
      </c>
      <c r="D39" s="935" t="s">
        <v>686</v>
      </c>
      <c r="E39" s="935"/>
      <c r="F39" s="470">
        <f>'[1]Reg.3(1-15)'!$F$39</f>
        <v>13675</v>
      </c>
      <c r="G39" s="57">
        <f t="shared" ref="G39" si="10">F39/2</f>
        <v>6837.5</v>
      </c>
      <c r="H39" s="60"/>
      <c r="I39" s="60"/>
      <c r="J39" s="60"/>
      <c r="K39" s="60"/>
      <c r="L39" s="60"/>
      <c r="M39" s="60">
        <v>1311.12</v>
      </c>
      <c r="N39" s="60"/>
      <c r="O39" s="60"/>
      <c r="P39" s="60"/>
      <c r="Q39" s="60"/>
      <c r="R39" s="60"/>
      <c r="S39" s="60">
        <v>658.46</v>
      </c>
      <c r="T39" s="60"/>
      <c r="U39" s="60"/>
      <c r="V39" s="470"/>
      <c r="W39" s="470"/>
      <c r="X39" s="60">
        <f>F39*0.02</f>
        <v>273.5</v>
      </c>
      <c r="Y39" s="60">
        <f>X39</f>
        <v>273.5</v>
      </c>
      <c r="Z39" s="569">
        <v>702.97</v>
      </c>
      <c r="AA39" s="60"/>
      <c r="AB39" s="60"/>
      <c r="AC39" s="60"/>
      <c r="AD39" s="60"/>
      <c r="AE39" s="60">
        <f>G39-SUM(L39:X39)-SUM(Z39:AD39)</f>
        <v>3891.45</v>
      </c>
      <c r="AF39" s="502" t="s">
        <v>152</v>
      </c>
      <c r="AG39" s="510"/>
      <c r="AH39" s="21"/>
      <c r="AI39" s="100"/>
      <c r="AJ39" s="100"/>
      <c r="AK39" s="100"/>
      <c r="AL39" s="542"/>
    </row>
    <row r="40" spans="1:48" s="15" customFormat="1" ht="20.100000000000001" customHeight="1" thickBot="1" x14ac:dyDescent="0.35">
      <c r="A40" s="222" t="s">
        <v>153</v>
      </c>
      <c r="B40" s="44"/>
      <c r="C40" s="210"/>
      <c r="D40" s="210"/>
      <c r="E40" s="210"/>
      <c r="F40" s="477">
        <f t="shared" ref="F40:P40" si="11">SUM(F39:F39)</f>
        <v>13675</v>
      </c>
      <c r="G40" s="477">
        <f t="shared" si="11"/>
        <v>6837.5</v>
      </c>
      <c r="H40" s="477">
        <f t="shared" si="11"/>
        <v>0</v>
      </c>
      <c r="I40" s="477">
        <f t="shared" si="11"/>
        <v>0</v>
      </c>
      <c r="J40" s="477"/>
      <c r="K40" s="477"/>
      <c r="L40" s="477">
        <f t="shared" si="11"/>
        <v>0</v>
      </c>
      <c r="M40" s="477">
        <f t="shared" si="11"/>
        <v>1311.12</v>
      </c>
      <c r="N40" s="477">
        <f t="shared" si="11"/>
        <v>0</v>
      </c>
      <c r="O40" s="477">
        <f t="shared" si="11"/>
        <v>0</v>
      </c>
      <c r="P40" s="477">
        <f t="shared" si="11"/>
        <v>0</v>
      </c>
      <c r="Q40" s="477"/>
      <c r="R40" s="477">
        <f t="shared" ref="R40:AB40" si="12">SUM(R39:R39)</f>
        <v>0</v>
      </c>
      <c r="S40" s="477">
        <f t="shared" si="12"/>
        <v>658.46</v>
      </c>
      <c r="T40" s="477">
        <f t="shared" si="12"/>
        <v>0</v>
      </c>
      <c r="U40" s="477">
        <f t="shared" si="12"/>
        <v>0</v>
      </c>
      <c r="V40" s="477">
        <f t="shared" si="12"/>
        <v>0</v>
      </c>
      <c r="W40" s="477">
        <f t="shared" si="12"/>
        <v>0</v>
      </c>
      <c r="X40" s="477">
        <f t="shared" si="12"/>
        <v>273.5</v>
      </c>
      <c r="Y40" s="477">
        <f t="shared" si="12"/>
        <v>273.5</v>
      </c>
      <c r="Z40" s="477">
        <f t="shared" si="12"/>
        <v>702.97</v>
      </c>
      <c r="AA40" s="477">
        <f t="shared" si="12"/>
        <v>0</v>
      </c>
      <c r="AB40" s="477">
        <f t="shared" si="12"/>
        <v>0</v>
      </c>
      <c r="AC40" s="477">
        <f>SUM(AC39:AC39)</f>
        <v>0</v>
      </c>
      <c r="AD40" s="477">
        <f>SUM(AD39:AD39)</f>
        <v>0</v>
      </c>
      <c r="AE40" s="477">
        <f>SUM(AE39:AE39)</f>
        <v>3891.45</v>
      </c>
      <c r="AF40" s="502" t="s">
        <v>153</v>
      </c>
      <c r="AG40" s="510"/>
      <c r="AH40" s="21"/>
      <c r="AI40" s="100"/>
      <c r="AJ40" s="100"/>
      <c r="AK40" s="100"/>
      <c r="AL40" s="542"/>
    </row>
    <row r="41" spans="1:48" s="15" customFormat="1" ht="20.100000000000001" customHeight="1" thickTop="1" x14ac:dyDescent="0.25">
      <c r="A41" s="222" t="s">
        <v>154</v>
      </c>
      <c r="B41" s="408" t="s">
        <v>485</v>
      </c>
      <c r="C41" s="210"/>
      <c r="D41" s="210"/>
      <c r="E41" s="210"/>
      <c r="F41" s="56"/>
      <c r="G41" s="56" t="s">
        <v>37</v>
      </c>
      <c r="H41" s="98"/>
      <c r="I41" s="421"/>
      <c r="J41" s="421"/>
      <c r="K41" s="421"/>
      <c r="L41" s="421"/>
      <c r="M41" s="421"/>
      <c r="N41" s="421"/>
      <c r="O41" s="421"/>
      <c r="P41" s="421"/>
      <c r="Q41" s="421"/>
      <c r="R41" s="421"/>
      <c r="S41" s="421"/>
      <c r="T41" s="421"/>
      <c r="U41" s="485"/>
      <c r="V41" s="485"/>
      <c r="W41" s="485"/>
      <c r="X41" s="421"/>
      <c r="Y41" s="421"/>
      <c r="Z41" s="421"/>
      <c r="AA41" s="421"/>
      <c r="AB41" s="421"/>
      <c r="AC41" s="421"/>
      <c r="AD41" s="421"/>
      <c r="AE41" s="421"/>
      <c r="AF41" s="502" t="s">
        <v>154</v>
      </c>
      <c r="AG41" s="208"/>
      <c r="AH41" s="22"/>
    </row>
    <row r="42" spans="1:48" s="15" customFormat="1" ht="20.100000000000001" customHeight="1" x14ac:dyDescent="0.25">
      <c r="A42" s="222" t="s">
        <v>155</v>
      </c>
      <c r="B42" s="44"/>
      <c r="C42" s="210" t="s">
        <v>660</v>
      </c>
      <c r="D42" s="935" t="s">
        <v>686</v>
      </c>
      <c r="E42" s="935"/>
      <c r="F42" s="571">
        <v>34855</v>
      </c>
      <c r="G42" s="57">
        <f t="shared" ref="G42" si="13">F42/2</f>
        <v>17427.5</v>
      </c>
      <c r="H42" s="98"/>
      <c r="I42" s="55"/>
      <c r="J42" s="55"/>
      <c r="K42" s="55"/>
      <c r="L42" s="55"/>
      <c r="M42" s="55">
        <v>655.56</v>
      </c>
      <c r="N42" s="55"/>
      <c r="O42" s="55"/>
      <c r="P42" s="55"/>
      <c r="Q42" s="55"/>
      <c r="R42" s="55"/>
      <c r="S42" s="55">
        <v>6318.31</v>
      </c>
      <c r="T42" s="55"/>
      <c r="U42" s="55"/>
      <c r="V42" s="55"/>
      <c r="W42" s="55">
        <v>2632.45</v>
      </c>
      <c r="X42" s="56">
        <f t="shared" ref="X42:X49" si="14">F42*0.02</f>
        <v>697.1</v>
      </c>
      <c r="Y42" s="56">
        <f t="shared" ref="Y42:Y53" si="15">X42</f>
        <v>697.1</v>
      </c>
      <c r="Z42" s="55"/>
      <c r="AA42" s="55"/>
      <c r="AB42" s="55"/>
      <c r="AC42" s="55"/>
      <c r="AD42" s="55"/>
      <c r="AE42" s="55">
        <f>G42-SUM(L42:X42)-SUM(Z42:AD42)+J42+K42</f>
        <v>7124.08</v>
      </c>
      <c r="AF42" s="502" t="s">
        <v>155</v>
      </c>
      <c r="AG42" s="207"/>
      <c r="AH42" s="21"/>
    </row>
    <row r="43" spans="1:48" s="15" customFormat="1" ht="20.100000000000001" customHeight="1" x14ac:dyDescent="0.25">
      <c r="A43" s="222" t="s">
        <v>156</v>
      </c>
      <c r="B43" s="44"/>
      <c r="C43" s="210" t="s">
        <v>123</v>
      </c>
      <c r="D43" s="210" t="s">
        <v>208</v>
      </c>
      <c r="E43" s="528" t="s">
        <v>175</v>
      </c>
      <c r="F43" s="59">
        <f>'[1]Reg.3(1-15)'!$F$43</f>
        <v>19417</v>
      </c>
      <c r="G43" s="54">
        <f>F43/2</f>
        <v>9708.5</v>
      </c>
      <c r="H43" s="98"/>
      <c r="I43" s="61"/>
      <c r="J43" s="61"/>
      <c r="K43" s="61"/>
      <c r="L43" s="61"/>
      <c r="M43" s="61">
        <v>655.56</v>
      </c>
      <c r="N43" s="61"/>
      <c r="O43" s="61"/>
      <c r="P43" s="61"/>
      <c r="Q43" s="61">
        <v>1166.67</v>
      </c>
      <c r="R43" s="61">
        <v>983.33</v>
      </c>
      <c r="S43" s="61">
        <v>2422.61</v>
      </c>
      <c r="T43" s="61"/>
      <c r="U43" s="61"/>
      <c r="V43" s="61"/>
      <c r="W43" s="61"/>
      <c r="X43" s="56">
        <f>F43*0.02</f>
        <v>388.34000000000003</v>
      </c>
      <c r="Y43" s="56">
        <f t="shared" si="15"/>
        <v>388.34000000000003</v>
      </c>
      <c r="Z43" s="61">
        <v>2857.29</v>
      </c>
      <c r="AA43" s="61"/>
      <c r="AB43" s="61"/>
      <c r="AC43" s="61"/>
      <c r="AD43" s="61"/>
      <c r="AE43" s="55">
        <f t="shared" ref="AE43:AE50" si="16">G43-SUM(L43:X43)-SUM(Z43:AD43)</f>
        <v>1234.6999999999998</v>
      </c>
      <c r="AF43" s="502" t="s">
        <v>156</v>
      </c>
      <c r="AG43" s="207"/>
      <c r="AH43" s="21"/>
    </row>
    <row r="44" spans="1:48" s="15" customFormat="1" ht="20.100000000000001" customHeight="1" x14ac:dyDescent="0.25">
      <c r="A44" s="222" t="s">
        <v>157</v>
      </c>
      <c r="B44" s="44"/>
      <c r="C44" s="210" t="s">
        <v>124</v>
      </c>
      <c r="D44" s="210" t="s">
        <v>208</v>
      </c>
      <c r="E44" s="210" t="s">
        <v>175</v>
      </c>
      <c r="F44" s="54">
        <f>'[1]Reg.3(1-15)'!$F$44</f>
        <v>18563</v>
      </c>
      <c r="G44" s="57">
        <f t="shared" ref="G44:G54" si="17">F44/2</f>
        <v>9281.5</v>
      </c>
      <c r="H44" s="424"/>
      <c r="I44" s="56"/>
      <c r="J44" s="56"/>
      <c r="K44" s="56"/>
      <c r="L44" s="56">
        <v>951.67</v>
      </c>
      <c r="M44" s="56"/>
      <c r="N44" s="56"/>
      <c r="O44" s="56"/>
      <c r="P44" s="56"/>
      <c r="Q44" s="56"/>
      <c r="R44" s="56"/>
      <c r="S44" s="56"/>
      <c r="T44" s="56"/>
      <c r="U44" s="56"/>
      <c r="V44" s="56"/>
      <c r="W44" s="56"/>
      <c r="X44" s="56">
        <f t="shared" si="14"/>
        <v>371.26</v>
      </c>
      <c r="Y44" s="56">
        <f t="shared" si="15"/>
        <v>371.26</v>
      </c>
      <c r="Z44" s="56"/>
      <c r="AA44" s="56"/>
      <c r="AB44" s="56"/>
      <c r="AC44" s="56"/>
      <c r="AD44" s="56"/>
      <c r="AE44" s="55">
        <f t="shared" si="16"/>
        <v>7958.57</v>
      </c>
      <c r="AF44" s="502" t="s">
        <v>157</v>
      </c>
      <c r="AG44" s="207"/>
      <c r="AH44" s="21"/>
      <c r="AU44" s="918" t="s">
        <v>618</v>
      </c>
      <c r="AV44" s="1082"/>
    </row>
    <row r="45" spans="1:48" s="15" customFormat="1" ht="20.45" customHeight="1" x14ac:dyDescent="0.25">
      <c r="A45" s="222" t="s">
        <v>97</v>
      </c>
      <c r="B45" s="44"/>
      <c r="C45" s="210" t="s">
        <v>557</v>
      </c>
      <c r="D45" s="210" t="s">
        <v>208</v>
      </c>
      <c r="E45" s="210" t="s">
        <v>175</v>
      </c>
      <c r="F45" s="54">
        <f>'[1]Reg.3(1-15)'!$F$45</f>
        <v>18396</v>
      </c>
      <c r="G45" s="57">
        <f t="shared" si="17"/>
        <v>9198</v>
      </c>
      <c r="H45" s="424"/>
      <c r="I45" s="56"/>
      <c r="J45" s="56"/>
      <c r="K45" s="56"/>
      <c r="L45" s="56"/>
      <c r="M45" s="56"/>
      <c r="N45" s="56"/>
      <c r="O45" s="56"/>
      <c r="P45" s="56"/>
      <c r="Q45" s="56"/>
      <c r="R45" s="56"/>
      <c r="S45" s="56"/>
      <c r="T45" s="56"/>
      <c r="U45" s="56"/>
      <c r="V45" s="56"/>
      <c r="W45" s="56"/>
      <c r="X45" s="56">
        <f t="shared" ref="X45" si="18">F45*0.02</f>
        <v>367.92</v>
      </c>
      <c r="Y45" s="56">
        <f t="shared" ref="Y45" si="19">X45</f>
        <v>367.92</v>
      </c>
      <c r="Z45" s="56"/>
      <c r="AA45" s="56"/>
      <c r="AB45" s="56"/>
      <c r="AC45" s="56">
        <f>5514.78+500</f>
        <v>6014.78</v>
      </c>
      <c r="AD45" s="56"/>
      <c r="AE45" s="55">
        <f t="shared" si="16"/>
        <v>2815.3</v>
      </c>
      <c r="AF45" s="502" t="s">
        <v>97</v>
      </c>
      <c r="AG45" s="207"/>
      <c r="AH45" s="21"/>
    </row>
    <row r="46" spans="1:48" s="15" customFormat="1" ht="20.100000000000001" customHeight="1" x14ac:dyDescent="0.25">
      <c r="A46" s="222" t="s">
        <v>46</v>
      </c>
      <c r="B46" s="44"/>
      <c r="C46" s="210" t="s">
        <v>124</v>
      </c>
      <c r="D46" s="210" t="s">
        <v>208</v>
      </c>
      <c r="E46" s="210" t="s">
        <v>175</v>
      </c>
      <c r="F46" s="54">
        <f>'[1]Reg.3(1-15)'!$F$46</f>
        <v>16969</v>
      </c>
      <c r="G46" s="57">
        <f t="shared" si="17"/>
        <v>8484.5</v>
      </c>
      <c r="H46" s="424"/>
      <c r="I46" s="56"/>
      <c r="J46" s="56"/>
      <c r="K46" s="56"/>
      <c r="L46" s="56"/>
      <c r="M46" s="56">
        <v>555.32000000000005</v>
      </c>
      <c r="N46" s="56"/>
      <c r="O46" s="56"/>
      <c r="P46" s="56"/>
      <c r="Q46" s="56"/>
      <c r="R46" s="56">
        <v>983.34</v>
      </c>
      <c r="S46" s="56">
        <v>1109.6500000000001</v>
      </c>
      <c r="T46" s="56"/>
      <c r="U46" s="56"/>
      <c r="V46" s="56"/>
      <c r="W46" s="56"/>
      <c r="X46" s="56">
        <f t="shared" si="14"/>
        <v>339.38</v>
      </c>
      <c r="Y46" s="56">
        <f t="shared" si="15"/>
        <v>339.38</v>
      </c>
      <c r="Z46" s="56">
        <v>1435.79</v>
      </c>
      <c r="AA46" s="56"/>
      <c r="AB46" s="56"/>
      <c r="AC46" s="56"/>
      <c r="AD46" s="56"/>
      <c r="AE46" s="55">
        <f t="shared" si="16"/>
        <v>4061.0199999999995</v>
      </c>
      <c r="AF46" s="502" t="s">
        <v>46</v>
      </c>
      <c r="AG46" s="207"/>
      <c r="AH46" s="21"/>
    </row>
    <row r="47" spans="1:48" s="15" customFormat="1" ht="20.100000000000001" customHeight="1" x14ac:dyDescent="0.25">
      <c r="A47" s="222" t="s">
        <v>47</v>
      </c>
      <c r="B47" s="44"/>
      <c r="C47" s="210" t="s">
        <v>124</v>
      </c>
      <c r="D47" s="210" t="s">
        <v>208</v>
      </c>
      <c r="E47" s="210" t="s">
        <v>175</v>
      </c>
      <c r="F47" s="54">
        <f>'[1]Reg.3(1-15)'!$F$47</f>
        <v>16233</v>
      </c>
      <c r="G47" s="57">
        <f t="shared" si="17"/>
        <v>8116.5</v>
      </c>
      <c r="H47" s="424"/>
      <c r="I47" s="56"/>
      <c r="J47" s="56"/>
      <c r="K47" s="56"/>
      <c r="L47" s="56"/>
      <c r="M47" s="56"/>
      <c r="N47" s="56"/>
      <c r="O47" s="56"/>
      <c r="P47" s="56"/>
      <c r="Q47" s="56"/>
      <c r="R47" s="56"/>
      <c r="S47" s="56"/>
      <c r="T47" s="56"/>
      <c r="U47" s="56"/>
      <c r="V47" s="56"/>
      <c r="W47" s="56"/>
      <c r="X47" s="56">
        <f t="shared" si="14"/>
        <v>324.66000000000003</v>
      </c>
      <c r="Y47" s="56">
        <f t="shared" si="15"/>
        <v>324.66000000000003</v>
      </c>
      <c r="Z47" s="56"/>
      <c r="AA47" s="56"/>
      <c r="AB47" s="56"/>
      <c r="AC47" s="56"/>
      <c r="AD47" s="56"/>
      <c r="AE47" s="55">
        <f t="shared" si="16"/>
        <v>7791.84</v>
      </c>
      <c r="AF47" s="502" t="s">
        <v>47</v>
      </c>
      <c r="AG47" s="207"/>
      <c r="AH47" s="21"/>
    </row>
    <row r="48" spans="1:48" s="15" customFormat="1" ht="20.100000000000001" customHeight="1" x14ac:dyDescent="0.25">
      <c r="A48" s="222" t="s">
        <v>100</v>
      </c>
      <c r="B48" s="44"/>
      <c r="C48" s="210" t="s">
        <v>124</v>
      </c>
      <c r="D48" s="210" t="s">
        <v>208</v>
      </c>
      <c r="E48" s="210" t="s">
        <v>175</v>
      </c>
      <c r="F48" s="54">
        <v>16113</v>
      </c>
      <c r="G48" s="57">
        <f t="shared" si="17"/>
        <v>8056.5</v>
      </c>
      <c r="H48" s="424"/>
      <c r="I48" s="56"/>
      <c r="J48" s="56"/>
      <c r="K48" s="56"/>
      <c r="L48" s="56"/>
      <c r="M48" s="56"/>
      <c r="N48" s="56"/>
      <c r="O48" s="56"/>
      <c r="P48" s="56"/>
      <c r="Q48" s="56">
        <v>475</v>
      </c>
      <c r="R48" s="56"/>
      <c r="S48" s="56"/>
      <c r="T48" s="56"/>
      <c r="U48" s="56"/>
      <c r="V48" s="56"/>
      <c r="W48" s="56"/>
      <c r="X48" s="56">
        <f t="shared" si="14"/>
        <v>322.26</v>
      </c>
      <c r="Y48" s="56">
        <f t="shared" si="15"/>
        <v>322.26</v>
      </c>
      <c r="Z48" s="56"/>
      <c r="AA48" s="56"/>
      <c r="AB48" s="56">
        <v>2735.13</v>
      </c>
      <c r="AC48" s="56"/>
      <c r="AD48" s="56"/>
      <c r="AE48" s="55">
        <f t="shared" si="16"/>
        <v>4524.1099999999997</v>
      </c>
      <c r="AF48" s="502" t="s">
        <v>100</v>
      </c>
      <c r="AG48" s="207"/>
      <c r="AH48" s="21"/>
    </row>
    <row r="49" spans="1:35" s="15" customFormat="1" ht="20.100000000000001" customHeight="1" x14ac:dyDescent="0.2">
      <c r="A49" s="222" t="s">
        <v>101</v>
      </c>
      <c r="B49" s="44"/>
      <c r="C49" s="210" t="s">
        <v>551</v>
      </c>
      <c r="D49" s="210" t="s">
        <v>208</v>
      </c>
      <c r="E49" s="210" t="s">
        <v>175</v>
      </c>
      <c r="F49" s="54">
        <f>'[1]Reg.3(1-15)'!$F$49</f>
        <v>14521</v>
      </c>
      <c r="G49" s="57">
        <f t="shared" si="17"/>
        <v>7260.5</v>
      </c>
      <c r="H49" s="56"/>
      <c r="I49" s="56"/>
      <c r="J49" s="56"/>
      <c r="K49" s="56"/>
      <c r="L49" s="56"/>
      <c r="M49" s="56">
        <v>655.56</v>
      </c>
      <c r="N49" s="56"/>
      <c r="O49" s="56"/>
      <c r="P49" s="56"/>
      <c r="Q49" s="56"/>
      <c r="R49" s="56"/>
      <c r="S49" s="56">
        <f>530.76+530.77</f>
        <v>1061.53</v>
      </c>
      <c r="T49" s="56"/>
      <c r="U49" s="56"/>
      <c r="V49" s="56"/>
      <c r="W49" s="56"/>
      <c r="X49" s="56">
        <f t="shared" si="14"/>
        <v>290.42</v>
      </c>
      <c r="Y49" s="56">
        <f t="shared" si="15"/>
        <v>290.42</v>
      </c>
      <c r="Z49" s="56">
        <v>769.43</v>
      </c>
      <c r="AA49" s="56"/>
      <c r="AB49" s="56"/>
      <c r="AC49" s="56"/>
      <c r="AD49" s="56"/>
      <c r="AE49" s="55">
        <f t="shared" si="16"/>
        <v>4483.5599999999995</v>
      </c>
      <c r="AF49" s="502" t="s">
        <v>101</v>
      </c>
      <c r="AG49" s="207"/>
      <c r="AH49" s="21"/>
    </row>
    <row r="50" spans="1:35" s="15" customFormat="1" ht="20.100000000000001" customHeight="1" x14ac:dyDescent="0.25">
      <c r="A50" s="222" t="s">
        <v>162</v>
      </c>
      <c r="B50" s="44"/>
      <c r="C50" s="210" t="s">
        <v>551</v>
      </c>
      <c r="D50" s="210" t="s">
        <v>208</v>
      </c>
      <c r="E50" s="210" t="s">
        <v>175</v>
      </c>
      <c r="F50" s="54">
        <f>'[1]Reg.3(1-15)'!$F$50</f>
        <v>14414</v>
      </c>
      <c r="G50" s="57">
        <f t="shared" si="17"/>
        <v>7207</v>
      </c>
      <c r="H50" s="424"/>
      <c r="I50" s="56"/>
      <c r="J50" s="56"/>
      <c r="K50" s="56"/>
      <c r="L50" s="56"/>
      <c r="M50" s="56">
        <v>714.63</v>
      </c>
      <c r="N50" s="56"/>
      <c r="O50" s="56"/>
      <c r="P50" s="56"/>
      <c r="Q50" s="56"/>
      <c r="R50" s="56"/>
      <c r="S50" s="56"/>
      <c r="T50" s="56"/>
      <c r="U50" s="56"/>
      <c r="V50" s="56"/>
      <c r="W50" s="56"/>
      <c r="X50" s="56">
        <f t="shared" ref="X50:X55" si="20">F50*0.02</f>
        <v>288.28000000000003</v>
      </c>
      <c r="Y50" s="56">
        <f t="shared" si="15"/>
        <v>288.28000000000003</v>
      </c>
      <c r="Z50" s="56"/>
      <c r="AA50" s="56"/>
      <c r="AB50" s="56">
        <v>1656.75</v>
      </c>
      <c r="AC50" s="56"/>
      <c r="AD50" s="56"/>
      <c r="AE50" s="55">
        <f t="shared" si="16"/>
        <v>4547.34</v>
      </c>
      <c r="AF50" s="502" t="s">
        <v>162</v>
      </c>
      <c r="AG50" s="207"/>
      <c r="AH50" s="21"/>
    </row>
    <row r="51" spans="1:35" s="15" customFormat="1" ht="20.100000000000001" customHeight="1" x14ac:dyDescent="0.25">
      <c r="A51" s="222" t="s">
        <v>177</v>
      </c>
      <c r="B51" s="44"/>
      <c r="C51" s="210" t="s">
        <v>551</v>
      </c>
      <c r="D51" s="210" t="s">
        <v>208</v>
      </c>
      <c r="E51" s="210" t="s">
        <v>175</v>
      </c>
      <c r="F51" s="54">
        <v>14308</v>
      </c>
      <c r="G51" s="57">
        <f t="shared" si="17"/>
        <v>7154</v>
      </c>
      <c r="H51" s="424"/>
      <c r="I51" s="56"/>
      <c r="J51" s="56"/>
      <c r="K51" s="56"/>
      <c r="L51" s="56"/>
      <c r="M51" s="56">
        <v>655.56</v>
      </c>
      <c r="N51" s="56"/>
      <c r="O51" s="56"/>
      <c r="P51" s="56"/>
      <c r="Q51" s="56">
        <v>950</v>
      </c>
      <c r="R51" s="56"/>
      <c r="S51" s="56"/>
      <c r="T51" s="56"/>
      <c r="U51" s="56"/>
      <c r="V51" s="56"/>
      <c r="W51" s="56"/>
      <c r="X51" s="56">
        <f t="shared" si="20"/>
        <v>286.16000000000003</v>
      </c>
      <c r="Y51" s="56">
        <f t="shared" si="15"/>
        <v>286.16000000000003</v>
      </c>
      <c r="Z51" s="56"/>
      <c r="AA51" s="56"/>
      <c r="AB51" s="56"/>
      <c r="AC51" s="56"/>
      <c r="AD51" s="56"/>
      <c r="AE51" s="55">
        <f>G51-SUM(L51:X51)-SUM(Z51:AD51)+I51</f>
        <v>5262.28</v>
      </c>
      <c r="AF51" s="502" t="s">
        <v>177</v>
      </c>
      <c r="AG51" s="207"/>
      <c r="AH51" s="21"/>
    </row>
    <row r="52" spans="1:35" s="15" customFormat="1" ht="20.100000000000001" customHeight="1" x14ac:dyDescent="0.25">
      <c r="A52" s="222" t="s">
        <v>178</v>
      </c>
      <c r="B52" s="44"/>
      <c r="C52" s="210" t="s">
        <v>516</v>
      </c>
      <c r="D52" s="210" t="s">
        <v>208</v>
      </c>
      <c r="E52" s="210" t="s">
        <v>175</v>
      </c>
      <c r="F52" s="54">
        <v>14308</v>
      </c>
      <c r="G52" s="57">
        <f t="shared" si="17"/>
        <v>7154</v>
      </c>
      <c r="H52" s="424"/>
      <c r="I52" s="56"/>
      <c r="J52" s="56"/>
      <c r="K52" s="56"/>
      <c r="L52" s="56"/>
      <c r="M52" s="56">
        <v>655.56</v>
      </c>
      <c r="N52" s="56"/>
      <c r="O52" s="56"/>
      <c r="P52" s="56"/>
      <c r="Q52" s="56">
        <v>475</v>
      </c>
      <c r="R52" s="56"/>
      <c r="S52" s="56"/>
      <c r="T52" s="56"/>
      <c r="U52" s="56"/>
      <c r="V52" s="56"/>
      <c r="W52" s="56"/>
      <c r="X52" s="56">
        <f t="shared" si="20"/>
        <v>286.16000000000003</v>
      </c>
      <c r="Y52" s="56">
        <f t="shared" si="15"/>
        <v>286.16000000000003</v>
      </c>
      <c r="Z52" s="56"/>
      <c r="AA52" s="56"/>
      <c r="AB52" s="56">
        <v>3772.32</v>
      </c>
      <c r="AC52" s="56"/>
      <c r="AD52" s="56"/>
      <c r="AE52" s="55">
        <f>G52-SUM(L52:X52)-SUM(Z52:AD52)+I52</f>
        <v>1964.9599999999996</v>
      </c>
      <c r="AF52" s="502" t="s">
        <v>178</v>
      </c>
      <c r="AG52" s="207"/>
      <c r="AH52" s="21"/>
    </row>
    <row r="53" spans="1:35" s="15" customFormat="1" ht="20.100000000000001" customHeight="1" x14ac:dyDescent="0.25">
      <c r="A53" s="222" t="s">
        <v>179</v>
      </c>
      <c r="B53" s="44"/>
      <c r="C53" s="210" t="s">
        <v>446</v>
      </c>
      <c r="D53" s="210" t="s">
        <v>208</v>
      </c>
      <c r="E53" s="210" t="s">
        <v>175</v>
      </c>
      <c r="F53" s="54">
        <f>'[1]Reg.3(1-15)'!$F$53</f>
        <v>13675</v>
      </c>
      <c r="G53" s="57">
        <f t="shared" si="17"/>
        <v>6837.5</v>
      </c>
      <c r="H53" s="424"/>
      <c r="I53" s="56"/>
      <c r="J53" s="56"/>
      <c r="K53" s="56"/>
      <c r="L53" s="56"/>
      <c r="M53" s="56">
        <v>655.56</v>
      </c>
      <c r="N53" s="56"/>
      <c r="O53" s="56"/>
      <c r="P53" s="56"/>
      <c r="Q53" s="56"/>
      <c r="R53" s="56"/>
      <c r="S53" s="56">
        <v>496.43</v>
      </c>
      <c r="T53" s="56"/>
      <c r="U53" s="56"/>
      <c r="V53" s="56"/>
      <c r="W53" s="56"/>
      <c r="X53" s="56">
        <f t="shared" si="20"/>
        <v>273.5</v>
      </c>
      <c r="Y53" s="56">
        <f t="shared" si="15"/>
        <v>273.5</v>
      </c>
      <c r="Z53" s="56">
        <v>779.49</v>
      </c>
      <c r="AA53" s="56"/>
      <c r="AB53" s="56"/>
      <c r="AC53" s="56"/>
      <c r="AD53" s="56"/>
      <c r="AE53" s="55">
        <f>G53-SUM(L53:X53)-SUM(Z53:AD53)</f>
        <v>4632.5200000000004</v>
      </c>
      <c r="AF53" s="502" t="s">
        <v>179</v>
      </c>
      <c r="AG53" s="207"/>
      <c r="AH53" s="21"/>
    </row>
    <row r="54" spans="1:35" s="15" customFormat="1" ht="20.100000000000001" customHeight="1" x14ac:dyDescent="0.25">
      <c r="A54" s="222" t="s">
        <v>180</v>
      </c>
      <c r="B54" s="44"/>
      <c r="C54" s="210" t="s">
        <v>446</v>
      </c>
      <c r="D54" s="210" t="s">
        <v>208</v>
      </c>
      <c r="E54" s="210" t="s">
        <v>175</v>
      </c>
      <c r="F54" s="54">
        <f>'[1]Reg.3(1-15)'!$F$54</f>
        <v>13575</v>
      </c>
      <c r="G54" s="57">
        <f t="shared" si="17"/>
        <v>6787.5</v>
      </c>
      <c r="H54" s="424"/>
      <c r="I54" s="56"/>
      <c r="J54" s="56"/>
      <c r="K54" s="56"/>
      <c r="L54" s="56"/>
      <c r="M54" s="56">
        <v>1024.6199999999999</v>
      </c>
      <c r="N54" s="56"/>
      <c r="O54" s="56"/>
      <c r="P54" s="56"/>
      <c r="Q54" s="56"/>
      <c r="R54" s="56"/>
      <c r="S54" s="56">
        <v>1554.89</v>
      </c>
      <c r="T54" s="56"/>
      <c r="U54" s="56"/>
      <c r="V54" s="56"/>
      <c r="W54" s="56"/>
      <c r="X54" s="56">
        <f t="shared" si="20"/>
        <v>271.5</v>
      </c>
      <c r="Y54" s="56">
        <f t="shared" ref="Y54:Y55" si="21">X54</f>
        <v>271.5</v>
      </c>
      <c r="Z54" s="56">
        <v>708.08</v>
      </c>
      <c r="AA54" s="56"/>
      <c r="AB54" s="56"/>
      <c r="AC54" s="56">
        <v>2164.89</v>
      </c>
      <c r="AD54" s="56"/>
      <c r="AE54" s="56">
        <f>G54-SUM(L54:X54)-SUM(Z54:AD54)</f>
        <v>1063.52</v>
      </c>
      <c r="AF54" s="502" t="s">
        <v>180</v>
      </c>
      <c r="AG54" s="207"/>
      <c r="AH54" s="21"/>
    </row>
    <row r="55" spans="1:35" s="15" customFormat="1" ht="20.100000000000001" customHeight="1" thickBot="1" x14ac:dyDescent="0.3">
      <c r="A55" s="222" t="s">
        <v>181</v>
      </c>
      <c r="B55" s="44"/>
      <c r="C55" s="210" t="s">
        <v>446</v>
      </c>
      <c r="D55" s="210" t="s">
        <v>208</v>
      </c>
      <c r="E55" s="210" t="s">
        <v>175</v>
      </c>
      <c r="F55" s="470">
        <f>'[1]Reg.3(1-15)'!$F$55</f>
        <v>13575</v>
      </c>
      <c r="G55" s="470">
        <f>F55/2</f>
        <v>6787.5</v>
      </c>
      <c r="H55" s="614"/>
      <c r="I55" s="60"/>
      <c r="J55" s="60"/>
      <c r="K55" s="60"/>
      <c r="L55" s="60"/>
      <c r="M55" s="60">
        <v>1174.33</v>
      </c>
      <c r="N55" s="60"/>
      <c r="O55" s="60"/>
      <c r="P55" s="60"/>
      <c r="Q55" s="60"/>
      <c r="R55" s="60"/>
      <c r="S55" s="60">
        <v>870.8</v>
      </c>
      <c r="T55" s="60"/>
      <c r="U55" s="60"/>
      <c r="V55" s="60"/>
      <c r="W55" s="60"/>
      <c r="X55" s="60">
        <f t="shared" si="20"/>
        <v>271.5</v>
      </c>
      <c r="Y55" s="60">
        <f t="shared" si="21"/>
        <v>271.5</v>
      </c>
      <c r="Z55" s="60"/>
      <c r="AA55" s="60"/>
      <c r="AB55" s="60"/>
      <c r="AC55" s="60"/>
      <c r="AD55" s="60"/>
      <c r="AE55" s="60">
        <f>G55-SUM(L55:X55)-SUM(Z55:AD55)</f>
        <v>4470.87</v>
      </c>
      <c r="AF55" s="502" t="s">
        <v>181</v>
      </c>
      <c r="AG55" s="207"/>
      <c r="AH55" s="21"/>
    </row>
    <row r="56" spans="1:35" s="15" customFormat="1" ht="20.100000000000001" customHeight="1" thickBot="1" x14ac:dyDescent="0.25">
      <c r="A56" s="222" t="s">
        <v>186</v>
      </c>
      <c r="B56" s="44"/>
      <c r="C56" s="210"/>
      <c r="D56" s="210"/>
      <c r="E56" s="210"/>
      <c r="F56" s="64">
        <f t="shared" ref="F56:AE56" si="22">SUM(F42:F55)</f>
        <v>238922</v>
      </c>
      <c r="G56" s="64">
        <f t="shared" si="22"/>
        <v>119461</v>
      </c>
      <c r="H56" s="64">
        <f t="shared" si="22"/>
        <v>0</v>
      </c>
      <c r="I56" s="64">
        <f t="shared" si="22"/>
        <v>0</v>
      </c>
      <c r="J56" s="64">
        <f t="shared" si="22"/>
        <v>0</v>
      </c>
      <c r="K56" s="64">
        <f t="shared" si="22"/>
        <v>0</v>
      </c>
      <c r="L56" s="64">
        <f t="shared" si="22"/>
        <v>951.67</v>
      </c>
      <c r="M56" s="64">
        <f t="shared" si="22"/>
        <v>7402.2599999999993</v>
      </c>
      <c r="N56" s="64">
        <f t="shared" si="22"/>
        <v>0</v>
      </c>
      <c r="O56" s="64">
        <f t="shared" si="22"/>
        <v>0</v>
      </c>
      <c r="P56" s="64">
        <f t="shared" si="22"/>
        <v>0</v>
      </c>
      <c r="Q56" s="64">
        <f t="shared" si="22"/>
        <v>3066.67</v>
      </c>
      <c r="R56" s="64">
        <f t="shared" si="22"/>
        <v>1966.67</v>
      </c>
      <c r="S56" s="64">
        <f t="shared" si="22"/>
        <v>13834.22</v>
      </c>
      <c r="T56" s="64">
        <f t="shared" si="22"/>
        <v>0</v>
      </c>
      <c r="U56" s="64">
        <f t="shared" si="22"/>
        <v>0</v>
      </c>
      <c r="V56" s="64">
        <f t="shared" si="22"/>
        <v>0</v>
      </c>
      <c r="W56" s="64">
        <f t="shared" si="22"/>
        <v>2632.45</v>
      </c>
      <c r="X56" s="64">
        <f t="shared" si="22"/>
        <v>4778.4400000000005</v>
      </c>
      <c r="Y56" s="64">
        <f t="shared" si="22"/>
        <v>4778.4400000000005</v>
      </c>
      <c r="Z56" s="64">
        <f t="shared" si="22"/>
        <v>6550.08</v>
      </c>
      <c r="AA56" s="64">
        <f t="shared" si="22"/>
        <v>0</v>
      </c>
      <c r="AB56" s="64">
        <f t="shared" si="22"/>
        <v>8164.2000000000007</v>
      </c>
      <c r="AC56" s="64">
        <f t="shared" si="22"/>
        <v>8179.67</v>
      </c>
      <c r="AD56" s="64">
        <f t="shared" si="22"/>
        <v>0</v>
      </c>
      <c r="AE56" s="64">
        <f t="shared" si="22"/>
        <v>61934.669999999984</v>
      </c>
      <c r="AF56" s="502" t="s">
        <v>186</v>
      </c>
      <c r="AG56" s="207"/>
      <c r="AH56" s="21"/>
    </row>
    <row r="57" spans="1:35" ht="20.100000000000001" customHeight="1" thickTop="1" x14ac:dyDescent="0.2">
      <c r="A57" s="222" t="s">
        <v>189</v>
      </c>
      <c r="B57" s="408" t="s">
        <v>87</v>
      </c>
      <c r="C57" s="210"/>
      <c r="D57" s="210"/>
      <c r="E57" s="210"/>
      <c r="F57" s="56"/>
      <c r="G57" s="56" t="s">
        <v>37</v>
      </c>
      <c r="H57" s="56"/>
      <c r="I57" s="56"/>
      <c r="J57" s="56"/>
      <c r="K57" s="56"/>
      <c r="L57" s="56"/>
      <c r="M57" s="56"/>
      <c r="N57" s="56"/>
      <c r="O57" s="56"/>
      <c r="P57" s="56"/>
      <c r="Q57" s="56"/>
      <c r="R57" s="56"/>
      <c r="S57" s="56"/>
      <c r="T57" s="56"/>
      <c r="U57" s="56"/>
      <c r="V57" s="56"/>
      <c r="W57" s="56"/>
      <c r="X57" s="56"/>
      <c r="Y57" s="56"/>
      <c r="Z57" s="56"/>
      <c r="AA57" s="56"/>
      <c r="AB57" s="56"/>
      <c r="AC57" s="56"/>
      <c r="AD57" s="56"/>
      <c r="AE57" s="55" t="s">
        <v>37</v>
      </c>
      <c r="AF57" s="502" t="s">
        <v>189</v>
      </c>
      <c r="AG57" s="203"/>
      <c r="AH57" s="16"/>
    </row>
    <row r="58" spans="1:35" ht="23.25" customHeight="1" x14ac:dyDescent="0.2">
      <c r="A58" s="222" t="s">
        <v>191</v>
      </c>
      <c r="B58" s="30"/>
      <c r="C58" s="702" t="s">
        <v>663</v>
      </c>
      <c r="D58" s="935" t="s">
        <v>686</v>
      </c>
      <c r="E58" s="935"/>
      <c r="F58" s="54">
        <f>'[1]Reg.3(1-15)'!$F$61</f>
        <v>34177</v>
      </c>
      <c r="G58" s="57">
        <f t="shared" ref="G58:G64" si="23">F58/2</f>
        <v>17088.5</v>
      </c>
      <c r="H58" s="56"/>
      <c r="I58" s="55"/>
      <c r="J58" s="55"/>
      <c r="K58" s="55"/>
      <c r="L58" s="56"/>
      <c r="M58" s="56">
        <v>796.21</v>
      </c>
      <c r="N58" s="56"/>
      <c r="O58" s="56">
        <v>350</v>
      </c>
      <c r="P58" s="56"/>
      <c r="Q58" s="56">
        <v>1866.67</v>
      </c>
      <c r="R58" s="56">
        <v>1966.67</v>
      </c>
      <c r="S58" s="56">
        <v>1816.74</v>
      </c>
      <c r="T58" s="56">
        <v>4817.22</v>
      </c>
      <c r="U58" s="56"/>
      <c r="V58" s="56"/>
      <c r="W58" s="55">
        <v>1309.47</v>
      </c>
      <c r="X58" s="56">
        <f>F58*0.02</f>
        <v>683.54</v>
      </c>
      <c r="Y58" s="56">
        <f>X58</f>
        <v>683.54</v>
      </c>
      <c r="Z58" s="56"/>
      <c r="AA58" s="56"/>
      <c r="AB58" s="56"/>
      <c r="AC58" s="56"/>
      <c r="AD58" s="56"/>
      <c r="AE58" s="55">
        <f>G58-SUM(L58:X58)-SUM(Z58:AD58)+J58+K58</f>
        <v>3481.9799999999996</v>
      </c>
      <c r="AF58" s="502" t="s">
        <v>191</v>
      </c>
      <c r="AG58" s="203"/>
      <c r="AH58" s="16"/>
      <c r="AI58" s="35"/>
    </row>
    <row r="59" spans="1:35" ht="20.100000000000001" customHeight="1" x14ac:dyDescent="0.2">
      <c r="A59" s="222" t="s">
        <v>192</v>
      </c>
      <c r="B59" s="30"/>
      <c r="C59" s="210" t="s">
        <v>662</v>
      </c>
      <c r="D59" s="210" t="s">
        <v>208</v>
      </c>
      <c r="E59" s="210" t="s">
        <v>175</v>
      </c>
      <c r="F59" s="54">
        <f>'[1]Reg.3(1-15)'!$F$62</f>
        <v>25520</v>
      </c>
      <c r="G59" s="57">
        <f t="shared" si="23"/>
        <v>12760</v>
      </c>
      <c r="H59" s="56"/>
      <c r="I59" s="55"/>
      <c r="J59" s="55"/>
      <c r="K59" s="55"/>
      <c r="L59" s="56"/>
      <c r="M59" s="56"/>
      <c r="N59" s="56"/>
      <c r="O59" s="56"/>
      <c r="P59" s="56"/>
      <c r="Q59" s="56"/>
      <c r="R59" s="56"/>
      <c r="S59" s="56"/>
      <c r="T59" s="56"/>
      <c r="U59" s="56"/>
      <c r="V59" s="56"/>
      <c r="W59" s="55">
        <v>186.22</v>
      </c>
      <c r="X59" s="56">
        <f>F59*0.02</f>
        <v>510.40000000000003</v>
      </c>
      <c r="Y59" s="56">
        <f>X59</f>
        <v>510.40000000000003</v>
      </c>
      <c r="Z59" s="56"/>
      <c r="AA59" s="56"/>
      <c r="AB59" s="56"/>
      <c r="AC59" s="56"/>
      <c r="AD59" s="56"/>
      <c r="AE59" s="55">
        <f t="shared" ref="AE59:AE64" si="24">G59-SUM(L59:X59)-SUM(Z59:AD59)</f>
        <v>12063.38</v>
      </c>
      <c r="AF59" s="502" t="s">
        <v>192</v>
      </c>
      <c r="AG59" s="203"/>
      <c r="AH59" s="16"/>
      <c r="AI59" s="35"/>
    </row>
    <row r="60" spans="1:35" ht="20.100000000000001" customHeight="1" x14ac:dyDescent="0.2">
      <c r="A60" s="222" t="s">
        <v>193</v>
      </c>
      <c r="B60" s="44"/>
      <c r="C60" s="210" t="s">
        <v>443</v>
      </c>
      <c r="D60" s="210" t="s">
        <v>208</v>
      </c>
      <c r="E60" s="210" t="s">
        <v>175</v>
      </c>
      <c r="F60" s="54">
        <f>'[1]Reg.3(1-15)'!$F$63</f>
        <v>18563</v>
      </c>
      <c r="G60" s="57">
        <f t="shared" si="23"/>
        <v>9281.5</v>
      </c>
      <c r="H60" s="56"/>
      <c r="I60" s="55"/>
      <c r="J60" s="55"/>
      <c r="K60" s="55"/>
      <c r="L60" s="56"/>
      <c r="M60" s="56"/>
      <c r="N60" s="56"/>
      <c r="O60" s="56"/>
      <c r="P60" s="56"/>
      <c r="Q60" s="56"/>
      <c r="R60" s="56"/>
      <c r="S60" s="56"/>
      <c r="T60" s="56"/>
      <c r="U60" s="56"/>
      <c r="V60" s="56"/>
      <c r="W60" s="55"/>
      <c r="X60" s="56">
        <f t="shared" ref="X60:X64" si="25">F60*0.02</f>
        <v>371.26</v>
      </c>
      <c r="Y60" s="56">
        <f t="shared" ref="Y60:Y64" si="26">X60</f>
        <v>371.26</v>
      </c>
      <c r="Z60" s="56"/>
      <c r="AA60" s="56"/>
      <c r="AB60" s="56"/>
      <c r="AC60" s="56"/>
      <c r="AD60" s="56"/>
      <c r="AE60" s="55">
        <f t="shared" si="24"/>
        <v>8910.24</v>
      </c>
      <c r="AF60" s="502" t="s">
        <v>193</v>
      </c>
      <c r="AG60" s="203"/>
      <c r="AH60" s="16"/>
    </row>
    <row r="61" spans="1:35" ht="20.100000000000001" customHeight="1" x14ac:dyDescent="0.2">
      <c r="A61" s="222" t="s">
        <v>194</v>
      </c>
      <c r="B61" s="44"/>
      <c r="C61" s="210" t="s">
        <v>652</v>
      </c>
      <c r="D61" s="210" t="s">
        <v>208</v>
      </c>
      <c r="E61" s="210" t="s">
        <v>175</v>
      </c>
      <c r="F61" s="62">
        <f>'[1]Reg.3(1-15)'!$F$64</f>
        <v>16113</v>
      </c>
      <c r="G61" s="57">
        <f t="shared" si="23"/>
        <v>8056.5</v>
      </c>
      <c r="H61" s="56"/>
      <c r="I61" s="56"/>
      <c r="J61" s="56"/>
      <c r="K61" s="56"/>
      <c r="L61" s="56"/>
      <c r="M61" s="56">
        <v>570.98</v>
      </c>
      <c r="N61" s="56"/>
      <c r="O61" s="56">
        <v>200</v>
      </c>
      <c r="P61" s="56"/>
      <c r="Q61" s="56">
        <v>700</v>
      </c>
      <c r="R61" s="56">
        <v>983.33</v>
      </c>
      <c r="S61" s="56">
        <v>767.82</v>
      </c>
      <c r="T61" s="56"/>
      <c r="U61" s="56"/>
      <c r="V61" s="56"/>
      <c r="W61" s="56"/>
      <c r="X61" s="56">
        <f>F61*0.02</f>
        <v>322.26</v>
      </c>
      <c r="Y61" s="56">
        <f t="shared" si="26"/>
        <v>322.26</v>
      </c>
      <c r="Z61" s="56"/>
      <c r="AA61" s="56"/>
      <c r="AB61" s="56"/>
      <c r="AC61" s="56">
        <f>2757.99+1000</f>
        <v>3757.99</v>
      </c>
      <c r="AD61" s="56"/>
      <c r="AE61" s="56">
        <f t="shared" si="24"/>
        <v>754.11999999999989</v>
      </c>
      <c r="AF61" s="502" t="s">
        <v>194</v>
      </c>
      <c r="AG61" s="203"/>
      <c r="AH61" s="16"/>
    </row>
    <row r="62" spans="1:35" ht="20.100000000000001" customHeight="1" x14ac:dyDescent="0.2">
      <c r="A62" s="222" t="s">
        <v>195</v>
      </c>
      <c r="B62" s="30"/>
      <c r="C62" s="210" t="s">
        <v>446</v>
      </c>
      <c r="D62" s="210" t="s">
        <v>208</v>
      </c>
      <c r="E62" s="210" t="s">
        <v>175</v>
      </c>
      <c r="F62" s="54">
        <f>'[1]Reg.3(1-15)'!$F$65</f>
        <v>13675</v>
      </c>
      <c r="G62" s="57">
        <f t="shared" si="23"/>
        <v>6837.5</v>
      </c>
      <c r="H62" s="55"/>
      <c r="I62" s="55"/>
      <c r="J62" s="55"/>
      <c r="K62" s="55"/>
      <c r="L62" s="55"/>
      <c r="M62" s="55"/>
      <c r="N62" s="55"/>
      <c r="O62" s="55"/>
      <c r="P62" s="55"/>
      <c r="Q62" s="55"/>
      <c r="R62" s="55"/>
      <c r="S62" s="55">
        <v>1120.31</v>
      </c>
      <c r="T62" s="55"/>
      <c r="U62" s="55"/>
      <c r="V62" s="55"/>
      <c r="W62" s="55"/>
      <c r="X62" s="55">
        <f t="shared" si="25"/>
        <v>273.5</v>
      </c>
      <c r="Y62" s="55">
        <f t="shared" si="26"/>
        <v>273.5</v>
      </c>
      <c r="Z62" s="55"/>
      <c r="AA62" s="55"/>
      <c r="AB62" s="55"/>
      <c r="AC62" s="55"/>
      <c r="AD62" s="55"/>
      <c r="AE62" s="55">
        <f t="shared" si="24"/>
        <v>5443.6900000000005</v>
      </c>
      <c r="AF62" s="502" t="s">
        <v>195</v>
      </c>
      <c r="AG62" s="203"/>
      <c r="AH62" s="16"/>
    </row>
    <row r="63" spans="1:35" ht="20.100000000000001" customHeight="1" x14ac:dyDescent="0.2">
      <c r="A63" s="222" t="s">
        <v>217</v>
      </c>
      <c r="B63" s="44"/>
      <c r="C63" s="210" t="s">
        <v>446</v>
      </c>
      <c r="D63" s="210" t="s">
        <v>208</v>
      </c>
      <c r="E63" s="210" t="s">
        <v>175</v>
      </c>
      <c r="F63" s="54">
        <f>'[1]Reg.3(1-15)'!$F$66</f>
        <v>13675</v>
      </c>
      <c r="G63" s="57">
        <f t="shared" si="23"/>
        <v>6837.5</v>
      </c>
      <c r="H63" s="56"/>
      <c r="I63" s="56"/>
      <c r="J63" s="56"/>
      <c r="K63" s="56"/>
      <c r="L63" s="56"/>
      <c r="M63" s="56">
        <v>558.12</v>
      </c>
      <c r="N63" s="56"/>
      <c r="O63" s="56"/>
      <c r="P63" s="56"/>
      <c r="Q63" s="56"/>
      <c r="R63" s="56"/>
      <c r="S63" s="56">
        <v>1096.8800000000001</v>
      </c>
      <c r="T63" s="56"/>
      <c r="U63" s="56"/>
      <c r="V63" s="56"/>
      <c r="W63" s="56"/>
      <c r="X63" s="56">
        <f t="shared" si="25"/>
        <v>273.5</v>
      </c>
      <c r="Y63" s="56">
        <f t="shared" si="26"/>
        <v>273.5</v>
      </c>
      <c r="Z63" s="56">
        <v>1463.85</v>
      </c>
      <c r="AA63" s="56"/>
      <c r="AB63" s="56"/>
      <c r="AC63" s="56"/>
      <c r="AD63" s="56"/>
      <c r="AE63" s="56">
        <f t="shared" si="24"/>
        <v>3445.15</v>
      </c>
      <c r="AF63" s="502" t="s">
        <v>217</v>
      </c>
      <c r="AG63" s="203"/>
      <c r="AH63" s="16"/>
    </row>
    <row r="64" spans="1:35" ht="20.100000000000001" customHeight="1" thickBot="1" x14ac:dyDescent="0.25">
      <c r="A64" s="222" t="s">
        <v>218</v>
      </c>
      <c r="B64" s="44"/>
      <c r="C64" s="210" t="s">
        <v>446</v>
      </c>
      <c r="D64" s="210" t="s">
        <v>208</v>
      </c>
      <c r="E64" s="210" t="s">
        <v>175</v>
      </c>
      <c r="F64" s="470">
        <f>'[1]Reg.3(1-15)'!$F$67</f>
        <v>13474</v>
      </c>
      <c r="G64" s="470">
        <f t="shared" si="23"/>
        <v>6737</v>
      </c>
      <c r="H64" s="473"/>
      <c r="I64" s="473"/>
      <c r="J64" s="473"/>
      <c r="K64" s="473"/>
      <c r="L64" s="473"/>
      <c r="M64" s="473"/>
      <c r="N64" s="473"/>
      <c r="O64" s="473"/>
      <c r="P64" s="473"/>
      <c r="Q64" s="60">
        <v>475</v>
      </c>
      <c r="R64" s="473">
        <v>1966.67</v>
      </c>
      <c r="S64" s="473"/>
      <c r="T64" s="473"/>
      <c r="U64" s="473"/>
      <c r="V64" s="473"/>
      <c r="W64" s="473"/>
      <c r="X64" s="473">
        <f t="shared" si="25"/>
        <v>269.48</v>
      </c>
      <c r="Y64" s="473">
        <f t="shared" si="26"/>
        <v>269.48</v>
      </c>
      <c r="Z64" s="473"/>
      <c r="AA64" s="473"/>
      <c r="AB64" s="473"/>
      <c r="AC64" s="473">
        <v>2844.14</v>
      </c>
      <c r="AD64" s="473"/>
      <c r="AE64" s="473">
        <f t="shared" si="24"/>
        <v>1181.71</v>
      </c>
      <c r="AF64" s="502" t="s">
        <v>218</v>
      </c>
      <c r="AG64" s="203"/>
      <c r="AH64" s="16"/>
    </row>
    <row r="65" spans="1:34" ht="20.100000000000001" customHeight="1" thickBot="1" x14ac:dyDescent="0.25">
      <c r="A65" s="222" t="s">
        <v>219</v>
      </c>
      <c r="B65" s="30"/>
      <c r="C65" s="210"/>
      <c r="D65" s="213"/>
      <c r="E65" s="213"/>
      <c r="F65" s="64">
        <f t="shared" ref="F65:AE65" si="27">SUM(F58:F64)</f>
        <v>135197</v>
      </c>
      <c r="G65" s="64">
        <f t="shared" si="27"/>
        <v>67598.5</v>
      </c>
      <c r="H65" s="64">
        <f t="shared" si="27"/>
        <v>0</v>
      </c>
      <c r="I65" s="64">
        <f t="shared" si="27"/>
        <v>0</v>
      </c>
      <c r="J65" s="64">
        <f t="shared" si="27"/>
        <v>0</v>
      </c>
      <c r="K65" s="64">
        <f t="shared" si="27"/>
        <v>0</v>
      </c>
      <c r="L65" s="64">
        <f t="shared" si="27"/>
        <v>0</v>
      </c>
      <c r="M65" s="64">
        <f t="shared" si="27"/>
        <v>1925.31</v>
      </c>
      <c r="N65" s="64">
        <f t="shared" si="27"/>
        <v>0</v>
      </c>
      <c r="O65" s="64">
        <f t="shared" si="27"/>
        <v>550</v>
      </c>
      <c r="P65" s="64">
        <f t="shared" si="27"/>
        <v>0</v>
      </c>
      <c r="Q65" s="64">
        <f>SUM(Q58:Q64)</f>
        <v>3041.67</v>
      </c>
      <c r="R65" s="64">
        <f t="shared" si="27"/>
        <v>4916.67</v>
      </c>
      <c r="S65" s="64">
        <f t="shared" si="27"/>
        <v>4801.75</v>
      </c>
      <c r="T65" s="64">
        <f>SUM(T58:T64)</f>
        <v>4817.22</v>
      </c>
      <c r="U65" s="64">
        <f t="shared" si="27"/>
        <v>0</v>
      </c>
      <c r="V65" s="64">
        <f t="shared" si="27"/>
        <v>0</v>
      </c>
      <c r="W65" s="64">
        <f t="shared" si="27"/>
        <v>1495.69</v>
      </c>
      <c r="X65" s="64">
        <f t="shared" si="27"/>
        <v>2703.94</v>
      </c>
      <c r="Y65" s="64">
        <f t="shared" si="27"/>
        <v>2703.94</v>
      </c>
      <c r="Z65" s="64">
        <f t="shared" si="27"/>
        <v>1463.85</v>
      </c>
      <c r="AA65" s="64">
        <f t="shared" si="27"/>
        <v>0</v>
      </c>
      <c r="AB65" s="64">
        <f t="shared" si="27"/>
        <v>0</v>
      </c>
      <c r="AC65" s="64">
        <f t="shared" si="27"/>
        <v>6602.1299999999992</v>
      </c>
      <c r="AD65" s="64">
        <f t="shared" si="27"/>
        <v>0</v>
      </c>
      <c r="AE65" s="64">
        <f t="shared" si="27"/>
        <v>35280.269999999997</v>
      </c>
      <c r="AF65" s="502" t="s">
        <v>219</v>
      </c>
      <c r="AG65" s="204"/>
      <c r="AH65" s="20" t="s">
        <v>37</v>
      </c>
    </row>
    <row r="66" spans="1:34" ht="20.100000000000001" customHeight="1" thickTop="1" thickBot="1" x14ac:dyDescent="0.25">
      <c r="A66" s="48" t="s">
        <v>223</v>
      </c>
      <c r="B66" s="31" t="s">
        <v>541</v>
      </c>
      <c r="C66" s="536"/>
      <c r="D66" s="211"/>
      <c r="E66" s="536"/>
      <c r="F66" s="64">
        <f t="shared" ref="F66:AE66" si="28">F65+F56+F40+F34+F37</f>
        <v>1138581</v>
      </c>
      <c r="G66" s="64">
        <f t="shared" si="28"/>
        <v>569290.5</v>
      </c>
      <c r="H66" s="64">
        <f t="shared" si="28"/>
        <v>0</v>
      </c>
      <c r="I66" s="64">
        <f t="shared" si="28"/>
        <v>0</v>
      </c>
      <c r="J66" s="64">
        <f t="shared" si="28"/>
        <v>0</v>
      </c>
      <c r="K66" s="64">
        <f t="shared" si="28"/>
        <v>0</v>
      </c>
      <c r="L66" s="64">
        <f t="shared" si="28"/>
        <v>5446.2800000000007</v>
      </c>
      <c r="M66" s="64">
        <f t="shared" si="28"/>
        <v>18230.419999999998</v>
      </c>
      <c r="N66" s="64">
        <f t="shared" si="28"/>
        <v>0</v>
      </c>
      <c r="O66" s="64">
        <f t="shared" si="28"/>
        <v>1050</v>
      </c>
      <c r="P66" s="64">
        <f t="shared" si="28"/>
        <v>0</v>
      </c>
      <c r="Q66" s="64">
        <f t="shared" si="28"/>
        <v>7750.01</v>
      </c>
      <c r="R66" s="64">
        <f t="shared" si="28"/>
        <v>6883.34</v>
      </c>
      <c r="S66" s="64">
        <f t="shared" si="28"/>
        <v>36674.800000000003</v>
      </c>
      <c r="T66" s="64">
        <f t="shared" si="28"/>
        <v>12524.78</v>
      </c>
      <c r="U66" s="64">
        <f t="shared" si="28"/>
        <v>0</v>
      </c>
      <c r="V66" s="64">
        <f t="shared" si="28"/>
        <v>0</v>
      </c>
      <c r="W66" s="64">
        <f t="shared" si="28"/>
        <v>25111.960000000003</v>
      </c>
      <c r="X66" s="64">
        <f t="shared" si="28"/>
        <v>22771.620000000003</v>
      </c>
      <c r="Y66" s="64">
        <f t="shared" si="28"/>
        <v>22771.620000000003</v>
      </c>
      <c r="Z66" s="64">
        <f t="shared" si="28"/>
        <v>17125.989999999998</v>
      </c>
      <c r="AA66" s="64">
        <f t="shared" si="28"/>
        <v>0</v>
      </c>
      <c r="AB66" s="64">
        <f t="shared" si="28"/>
        <v>11783.210000000001</v>
      </c>
      <c r="AC66" s="64">
        <f t="shared" si="28"/>
        <v>22737.69</v>
      </c>
      <c r="AD66" s="64">
        <f t="shared" si="28"/>
        <v>0</v>
      </c>
      <c r="AE66" s="64">
        <f t="shared" si="28"/>
        <v>381200.39999999997</v>
      </c>
      <c r="AF66" s="502" t="s">
        <v>223</v>
      </c>
      <c r="AG66" s="206"/>
      <c r="AH66" s="49"/>
    </row>
    <row r="67" spans="1:34" ht="5.25" customHeight="1" thickTop="1" x14ac:dyDescent="0.25">
      <c r="G67" s="469"/>
      <c r="H67" s="469"/>
      <c r="I67" s="469"/>
      <c r="J67" s="469"/>
      <c r="K67" s="469"/>
      <c r="L67" s="469"/>
      <c r="M67" s="469" t="s">
        <v>102</v>
      </c>
      <c r="N67" s="469"/>
      <c r="O67" s="469"/>
      <c r="P67" s="469"/>
      <c r="Q67" s="469"/>
      <c r="R67" s="469"/>
      <c r="S67" s="469"/>
      <c r="T67" s="469"/>
      <c r="U67" s="469"/>
      <c r="V67" s="469"/>
      <c r="W67" s="469"/>
      <c r="X67" s="469"/>
      <c r="Y67" s="469"/>
      <c r="Z67" s="469"/>
      <c r="AA67" s="469"/>
      <c r="AB67" s="469"/>
      <c r="AC67" s="489"/>
      <c r="AD67" s="469"/>
      <c r="AE67" s="469"/>
      <c r="AF67" s="469"/>
      <c r="AG67" s="18"/>
    </row>
    <row r="68" spans="1:34" ht="5.25" customHeight="1" x14ac:dyDescent="0.2">
      <c r="F68" s="605"/>
      <c r="AE68" s="826"/>
      <c r="AF68" s="826"/>
      <c r="AG68" s="826"/>
      <c r="AH68" s="826"/>
    </row>
    <row r="69" spans="1:34" ht="11.25" customHeight="1" x14ac:dyDescent="0.2">
      <c r="A69" s="889" t="s">
        <v>49</v>
      </c>
      <c r="B69" s="889"/>
      <c r="C69" s="889"/>
      <c r="D69" s="889"/>
      <c r="E69" s="889"/>
      <c r="F69" s="889"/>
      <c r="H69" s="1" t="s">
        <v>50</v>
      </c>
      <c r="I69" s="1" t="s">
        <v>37</v>
      </c>
      <c r="V69" s="17"/>
      <c r="W69" s="17"/>
      <c r="AE69" s="826"/>
      <c r="AF69" s="826"/>
      <c r="AG69" s="826"/>
      <c r="AH69" s="826"/>
    </row>
    <row r="70" spans="1:34" ht="11.25" customHeight="1" x14ac:dyDescent="0.2">
      <c r="A70" s="889"/>
      <c r="B70" s="889"/>
      <c r="C70" s="889"/>
      <c r="D70" s="889"/>
      <c r="E70" s="889"/>
      <c r="F70" s="889"/>
      <c r="X70" s="1" t="s">
        <v>363</v>
      </c>
      <c r="AE70" s="826"/>
      <c r="AF70" s="826"/>
      <c r="AG70" s="826"/>
      <c r="AH70" s="826"/>
    </row>
    <row r="71" spans="1:34" ht="12.75" x14ac:dyDescent="0.2">
      <c r="A71" s="889"/>
      <c r="B71" s="889"/>
      <c r="C71" s="889"/>
      <c r="D71" s="889"/>
      <c r="E71" s="889"/>
      <c r="F71" s="889"/>
      <c r="I71" s="921"/>
      <c r="J71" s="921"/>
      <c r="K71" s="921"/>
      <c r="L71" s="921"/>
      <c r="M71" s="921"/>
      <c r="N71" s="921"/>
      <c r="O71" s="921"/>
      <c r="P71" s="921"/>
      <c r="Q71" s="921"/>
      <c r="R71" s="921"/>
      <c r="S71" s="921"/>
      <c r="T71" s="921"/>
      <c r="AE71" s="826"/>
      <c r="AF71" s="826"/>
      <c r="AG71" s="826"/>
      <c r="AH71" s="826"/>
    </row>
    <row r="72" spans="1:34" ht="12.75" x14ac:dyDescent="0.2">
      <c r="G72" s="35"/>
      <c r="I72" s="824"/>
      <c r="J72" s="824"/>
      <c r="K72" s="824"/>
      <c r="L72" s="824"/>
      <c r="M72" s="824"/>
      <c r="N72" s="824"/>
      <c r="O72" s="824"/>
      <c r="P72" s="824"/>
      <c r="Q72" s="824"/>
      <c r="R72" s="824"/>
      <c r="S72" s="824"/>
      <c r="T72" s="824"/>
      <c r="AE72" s="826"/>
      <c r="AF72" s="826"/>
      <c r="AG72" s="826"/>
      <c r="AH72" s="826"/>
    </row>
    <row r="73" spans="1:34" ht="14.25" x14ac:dyDescent="0.2">
      <c r="D73" s="488" t="s">
        <v>673</v>
      </c>
      <c r="E73" s="488"/>
      <c r="F73" s="488"/>
      <c r="G73" s="522"/>
      <c r="I73" s="824"/>
      <c r="J73" s="824"/>
      <c r="K73" s="824"/>
      <c r="L73" s="824"/>
      <c r="M73" s="824"/>
      <c r="N73" s="824"/>
      <c r="O73" s="824"/>
      <c r="P73" s="824"/>
      <c r="Q73" s="824"/>
      <c r="R73" s="824"/>
      <c r="S73" s="824"/>
      <c r="T73" s="824"/>
      <c r="U73" s="488"/>
      <c r="X73" s="488" t="s">
        <v>673</v>
      </c>
      <c r="Y73" s="488"/>
      <c r="AE73" s="826"/>
      <c r="AF73" s="826"/>
      <c r="AG73" s="826"/>
      <c r="AH73" s="826"/>
    </row>
    <row r="74" spans="1:34" ht="12.75" x14ac:dyDescent="0.2">
      <c r="D74" s="824" t="s">
        <v>171</v>
      </c>
      <c r="E74" s="824"/>
      <c r="F74" s="824"/>
      <c r="X74" s="824" t="s">
        <v>171</v>
      </c>
      <c r="Y74" s="824"/>
      <c r="AE74" s="826"/>
      <c r="AF74" s="826"/>
      <c r="AG74" s="826"/>
      <c r="AH74" s="826"/>
    </row>
    <row r="75" spans="1:34" ht="7.5" customHeight="1" x14ac:dyDescent="0.2">
      <c r="AG75" s="18"/>
    </row>
    <row r="76" spans="1:34" x14ac:dyDescent="0.2">
      <c r="A76" s="17" t="s">
        <v>52</v>
      </c>
      <c r="AE76" s="525"/>
      <c r="AF76" s="525"/>
      <c r="AG76" s="537" t="s">
        <v>111</v>
      </c>
      <c r="AH76" s="525"/>
    </row>
    <row r="77" spans="1:34" x14ac:dyDescent="0.2">
      <c r="AG77" s="1" t="s">
        <v>105</v>
      </c>
    </row>
    <row r="78" spans="1:34" ht="13.5" customHeight="1" x14ac:dyDescent="0.2">
      <c r="E78" s="1" t="s">
        <v>53</v>
      </c>
      <c r="AE78" s="825"/>
      <c r="AF78" s="825"/>
      <c r="AG78" s="825"/>
      <c r="AH78" s="825"/>
    </row>
    <row r="79" spans="1:34" x14ac:dyDescent="0.2">
      <c r="A79" s="17" t="s">
        <v>54</v>
      </c>
      <c r="AE79" s="825"/>
      <c r="AF79" s="825"/>
      <c r="AG79" s="825"/>
      <c r="AH79" s="825"/>
    </row>
    <row r="80" spans="1:34" ht="11.25" customHeight="1" x14ac:dyDescent="0.2">
      <c r="AE80" s="825"/>
      <c r="AF80" s="825"/>
      <c r="AG80" s="825"/>
      <c r="AH80" s="825"/>
    </row>
    <row r="81" spans="3:34" ht="11.25" customHeight="1" x14ac:dyDescent="0.2">
      <c r="C81" s="1" t="s">
        <v>56</v>
      </c>
      <c r="E81" s="1" t="s">
        <v>57</v>
      </c>
      <c r="AE81" s="825"/>
      <c r="AF81" s="825"/>
      <c r="AG81" s="825"/>
      <c r="AH81" s="825"/>
    </row>
    <row r="82" spans="3:34" ht="11.25" customHeight="1" x14ac:dyDescent="0.2">
      <c r="AE82"/>
      <c r="AF82"/>
      <c r="AG82"/>
    </row>
    <row r="83" spans="3:34" ht="11.25" customHeight="1" x14ac:dyDescent="0.2">
      <c r="C83" s="1000" t="s">
        <v>58</v>
      </c>
      <c r="D83" s="1000"/>
      <c r="E83" s="1000"/>
      <c r="AE83" s="538"/>
      <c r="AF83" s="538" t="s">
        <v>184</v>
      </c>
      <c r="AG83" s="538"/>
      <c r="AH83" s="19" t="s">
        <v>185</v>
      </c>
    </row>
    <row r="92" spans="3:34" ht="12.75" x14ac:dyDescent="0.2">
      <c r="D92" s="539"/>
      <c r="E92" s="539"/>
    </row>
  </sheetData>
  <mergeCells count="58">
    <mergeCell ref="AU44:AV44"/>
    <mergeCell ref="D36:E36"/>
    <mergeCell ref="AD6:AD8"/>
    <mergeCell ref="AG6:AG8"/>
    <mergeCell ref="AH6:AH8"/>
    <mergeCell ref="H5:H8"/>
    <mergeCell ref="F6:F7"/>
    <mergeCell ref="AB5:AB9"/>
    <mergeCell ref="AA7:AA9"/>
    <mergeCell ref="D12:E12"/>
    <mergeCell ref="L6:L9"/>
    <mergeCell ref="X7:X9"/>
    <mergeCell ref="Y7:Y9"/>
    <mergeCell ref="U8:U9"/>
    <mergeCell ref="I5:I9"/>
    <mergeCell ref="R6:R9"/>
    <mergeCell ref="A1:AH1"/>
    <mergeCell ref="A2:AH3"/>
    <mergeCell ref="H4:AD4"/>
    <mergeCell ref="AC5:AC9"/>
    <mergeCell ref="AE5:AE9"/>
    <mergeCell ref="AF5:AF9"/>
    <mergeCell ref="M6:M9"/>
    <mergeCell ref="N6:N9"/>
    <mergeCell ref="O6:O9"/>
    <mergeCell ref="A4:A7"/>
    <mergeCell ref="B4:B9"/>
    <mergeCell ref="U6:V7"/>
    <mergeCell ref="Z7:Z9"/>
    <mergeCell ref="X5:AA6"/>
    <mergeCell ref="W5:W10"/>
    <mergeCell ref="T6:T9"/>
    <mergeCell ref="S6:S9"/>
    <mergeCell ref="L5:T5"/>
    <mergeCell ref="J6:J8"/>
    <mergeCell ref="K6:K8"/>
    <mergeCell ref="Q6:Q9"/>
    <mergeCell ref="C4:C9"/>
    <mergeCell ref="D4:E4"/>
    <mergeCell ref="D5:D7"/>
    <mergeCell ref="F4:F5"/>
    <mergeCell ref="G4:G7"/>
    <mergeCell ref="D39:E39"/>
    <mergeCell ref="E5:E7"/>
    <mergeCell ref="AE78:AH81"/>
    <mergeCell ref="C83:E83"/>
    <mergeCell ref="D42:E42"/>
    <mergeCell ref="D58:E58"/>
    <mergeCell ref="AE68:AH74"/>
    <mergeCell ref="A69:F71"/>
    <mergeCell ref="I71:T71"/>
    <mergeCell ref="I72:T72"/>
    <mergeCell ref="I73:T73"/>
    <mergeCell ref="D74:F74"/>
    <mergeCell ref="X74:Y74"/>
    <mergeCell ref="U5:V5"/>
    <mergeCell ref="P6:P9"/>
    <mergeCell ref="V8:V9"/>
  </mergeCells>
  <phoneticPr fontId="23" type="noConversion"/>
  <pageMargins left="2.11" right="0.15748031496063" top="0.17" bottom="0.118110236220472" header="0.118110236220472" footer="0.118110236220472"/>
  <pageSetup paperSize="8" scale="52" orientation="landscape" r:id="rId1"/>
  <headerFooter alignWithMargins="0"/>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rgb="FFFF7C80"/>
  </sheetPr>
  <dimension ref="A1:AG88"/>
  <sheetViews>
    <sheetView zoomScaleNormal="100" workbookViewId="0">
      <pane xSplit="5" ySplit="11" topLeftCell="F12" activePane="bottomRight" state="frozen"/>
      <selection pane="topRight" activeCell="F1" sqref="F1"/>
      <selection pane="bottomLeft" activeCell="A12" sqref="A12"/>
      <selection pane="bottomRight" activeCell="B51" sqref="B51:B61"/>
    </sheetView>
  </sheetViews>
  <sheetFormatPr defaultColWidth="9.140625" defaultRowHeight="11.25" x14ac:dyDescent="0.2"/>
  <cols>
    <col min="1" max="1" width="3" style="105" customWidth="1"/>
    <col min="2" max="2" width="25.28515625" style="17" customWidth="1"/>
    <col min="3" max="3" width="22.85546875" style="1" customWidth="1"/>
    <col min="4" max="4" width="9.5703125" style="1" customWidth="1"/>
    <col min="5" max="5" width="8" style="1" customWidth="1"/>
    <col min="6" max="6" width="13.42578125" style="1" customWidth="1"/>
    <col min="7" max="7" width="14.140625" style="1" bestFit="1" customWidth="1"/>
    <col min="8" max="8" width="8.42578125" style="1" hidden="1" customWidth="1"/>
    <col min="9" max="9" width="11.85546875" style="1" hidden="1" customWidth="1"/>
    <col min="10" max="10" width="11" style="1" customWidth="1"/>
    <col min="11" max="11" width="11.42578125" style="1" customWidth="1"/>
    <col min="12" max="12" width="10.28515625" style="1" customWidth="1"/>
    <col min="13" max="13" width="10.140625" style="1" hidden="1" customWidth="1"/>
    <col min="14" max="14" width="9.85546875" style="1" customWidth="1"/>
    <col min="15" max="15" width="12.140625" style="1" customWidth="1"/>
    <col min="16" max="17" width="11.28515625" style="1" customWidth="1"/>
    <col min="18" max="18" width="12.140625" style="1" hidden="1" customWidth="1"/>
    <col min="19" max="19" width="11.85546875" style="1" hidden="1" customWidth="1"/>
    <col min="20" max="20" width="13.42578125" style="1" customWidth="1"/>
    <col min="21" max="21" width="11.7109375" style="1" customWidth="1"/>
    <col min="22" max="22" width="12.85546875" style="1" customWidth="1"/>
    <col min="23" max="23" width="12" style="1" customWidth="1"/>
    <col min="24" max="24" width="11.140625" style="1" customWidth="1"/>
    <col min="25" max="25" width="10.7109375" style="1" customWidth="1"/>
    <col min="26" max="26" width="12" style="18" customWidth="1"/>
    <col min="27" max="27" width="12.42578125" style="1" customWidth="1"/>
    <col min="28" max="28" width="2.42578125" style="1" customWidth="1"/>
    <col min="29" max="29" width="13.140625" style="1" customWidth="1"/>
    <col min="30" max="30" width="8.140625" style="1" customWidth="1"/>
    <col min="31" max="31" width="15.140625" style="1" customWidth="1"/>
    <col min="32" max="32" width="11.7109375" style="1" customWidth="1"/>
    <col min="33" max="16384" width="9.140625" style="1"/>
  </cols>
  <sheetData>
    <row r="1" spans="1:31" ht="22.5" customHeight="1" x14ac:dyDescent="0.4">
      <c r="A1" s="862" t="s">
        <v>0</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630"/>
    </row>
    <row r="2" spans="1:31" ht="12.75" x14ac:dyDescent="0.2">
      <c r="A2" s="945" t="s">
        <v>60</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622"/>
    </row>
    <row r="3" spans="1:31"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622"/>
    </row>
    <row r="4" spans="1:31" s="4" customFormat="1" ht="24" customHeight="1" thickTop="1" x14ac:dyDescent="0.15">
      <c r="A4" s="866" t="s">
        <v>1</v>
      </c>
      <c r="B4" s="1006" t="s">
        <v>2</v>
      </c>
      <c r="C4" s="948" t="s">
        <v>3</v>
      </c>
      <c r="D4" s="871" t="s">
        <v>4</v>
      </c>
      <c r="E4" s="871"/>
      <c r="F4" s="1007"/>
      <c r="G4" s="866" t="s">
        <v>5</v>
      </c>
      <c r="H4" s="987" t="s">
        <v>6</v>
      </c>
      <c r="I4" s="988"/>
      <c r="J4" s="988"/>
      <c r="K4" s="988"/>
      <c r="L4" s="988"/>
      <c r="M4" s="988"/>
      <c r="N4" s="988"/>
      <c r="O4" s="988"/>
      <c r="P4" s="988"/>
      <c r="Q4" s="988"/>
      <c r="R4" s="988"/>
      <c r="S4" s="988"/>
      <c r="T4" s="988"/>
      <c r="U4" s="988"/>
      <c r="V4" s="988"/>
      <c r="W4" s="988"/>
      <c r="X4" s="988"/>
      <c r="Y4" s="988"/>
      <c r="Z4" s="988"/>
      <c r="AA4" s="3"/>
      <c r="AB4" s="3"/>
      <c r="AC4" s="3"/>
      <c r="AD4" s="3"/>
    </row>
    <row r="5" spans="1:31" s="8" customFormat="1" ht="13.5" customHeight="1" x14ac:dyDescent="0.15">
      <c r="A5" s="1005"/>
      <c r="B5" s="869"/>
      <c r="C5" s="949"/>
      <c r="D5" s="851" t="s">
        <v>7</v>
      </c>
      <c r="E5" s="852" t="s">
        <v>8</v>
      </c>
      <c r="F5" s="1008"/>
      <c r="G5" s="874"/>
      <c r="H5" s="1086" t="s">
        <v>240</v>
      </c>
      <c r="I5" s="952"/>
      <c r="J5" s="952"/>
      <c r="K5" s="953"/>
      <c r="L5" s="953"/>
      <c r="M5" s="953"/>
      <c r="N5" s="953"/>
      <c r="O5" s="953"/>
      <c r="P5" s="953"/>
      <c r="Q5" s="953"/>
      <c r="R5" s="1085" t="s">
        <v>238</v>
      </c>
      <c r="S5" s="1009"/>
      <c r="T5" s="1062" t="s">
        <v>525</v>
      </c>
      <c r="U5" s="1078" t="s">
        <v>524</v>
      </c>
      <c r="V5" s="1033"/>
      <c r="W5" s="1033"/>
      <c r="X5" s="1079"/>
      <c r="Y5" s="972" t="s">
        <v>12</v>
      </c>
      <c r="Z5" s="1031" t="s">
        <v>183</v>
      </c>
      <c r="AA5" s="838" t="s">
        <v>14</v>
      </c>
      <c r="AB5" s="842" t="s">
        <v>15</v>
      </c>
      <c r="AC5" s="7"/>
      <c r="AD5" s="7"/>
    </row>
    <row r="6" spans="1:31" s="8" customFormat="1" ht="13.5" customHeight="1" x14ac:dyDescent="0.15">
      <c r="A6" s="1005"/>
      <c r="B6" s="869"/>
      <c r="C6" s="949"/>
      <c r="D6" s="867"/>
      <c r="E6" s="867"/>
      <c r="F6" s="973" t="s">
        <v>610</v>
      </c>
      <c r="G6" s="839"/>
      <c r="H6" s="856" t="s">
        <v>9</v>
      </c>
      <c r="I6" s="1084" t="s">
        <v>656</v>
      </c>
      <c r="J6" s="1013" t="s">
        <v>233</v>
      </c>
      <c r="K6" s="859" t="s">
        <v>241</v>
      </c>
      <c r="L6" s="859" t="s">
        <v>664</v>
      </c>
      <c r="M6" s="900" t="s">
        <v>236</v>
      </c>
      <c r="N6" s="906" t="s">
        <v>639</v>
      </c>
      <c r="O6" s="859" t="s">
        <v>549</v>
      </c>
      <c r="P6" s="859" t="s">
        <v>23</v>
      </c>
      <c r="Q6" s="906" t="s">
        <v>514</v>
      </c>
      <c r="R6" s="994" t="s">
        <v>232</v>
      </c>
      <c r="S6" s="1014"/>
      <c r="T6" s="1011"/>
      <c r="U6" s="1080"/>
      <c r="V6" s="1035"/>
      <c r="W6" s="1035"/>
      <c r="X6" s="1081"/>
      <c r="Y6" s="857"/>
      <c r="Z6" s="1032"/>
      <c r="AA6" s="838"/>
      <c r="AB6" s="842"/>
      <c r="AC6" s="838" t="s">
        <v>25</v>
      </c>
      <c r="AD6" s="838" t="s">
        <v>26</v>
      </c>
      <c r="AE6" s="315"/>
    </row>
    <row r="7" spans="1:31" s="8" customFormat="1" ht="13.5" customHeight="1" x14ac:dyDescent="0.15">
      <c r="A7" s="1005"/>
      <c r="B7" s="869"/>
      <c r="C7" s="949"/>
      <c r="D7" s="867"/>
      <c r="E7" s="867"/>
      <c r="F7" s="974"/>
      <c r="G7" s="839"/>
      <c r="H7" s="859"/>
      <c r="I7" s="1013"/>
      <c r="J7" s="1013"/>
      <c r="K7" s="886"/>
      <c r="L7" s="859"/>
      <c r="M7" s="900"/>
      <c r="N7" s="900"/>
      <c r="O7" s="859"/>
      <c r="P7" s="859"/>
      <c r="Q7" s="900"/>
      <c r="R7" s="1015"/>
      <c r="S7" s="1016"/>
      <c r="T7" s="1011"/>
      <c r="U7" s="851" t="s">
        <v>27</v>
      </c>
      <c r="V7" s="852" t="s">
        <v>28</v>
      </c>
      <c r="W7" s="972" t="s">
        <v>23</v>
      </c>
      <c r="X7" s="972" t="s">
        <v>30</v>
      </c>
      <c r="Y7" s="857"/>
      <c r="Z7" s="1032"/>
      <c r="AA7" s="838"/>
      <c r="AB7" s="842"/>
      <c r="AC7" s="970"/>
      <c r="AD7" s="838"/>
      <c r="AE7" s="315"/>
    </row>
    <row r="8" spans="1:31" s="8" customFormat="1" ht="13.5" customHeight="1" x14ac:dyDescent="0.2">
      <c r="A8" s="10"/>
      <c r="B8" s="869"/>
      <c r="C8" s="950"/>
      <c r="D8" s="11"/>
      <c r="E8" s="107"/>
      <c r="F8" s="4"/>
      <c r="G8" s="495"/>
      <c r="H8" s="859"/>
      <c r="I8" s="1013"/>
      <c r="J8" s="1013"/>
      <c r="K8" s="886"/>
      <c r="L8" s="859"/>
      <c r="M8" s="900"/>
      <c r="N8" s="900"/>
      <c r="O8" s="859"/>
      <c r="P8" s="859"/>
      <c r="Q8" s="900"/>
      <c r="R8" s="851" t="s">
        <v>27</v>
      </c>
      <c r="S8" s="852" t="s">
        <v>33</v>
      </c>
      <c r="T8" s="1011"/>
      <c r="U8" s="838"/>
      <c r="V8" s="838"/>
      <c r="W8" s="857"/>
      <c r="X8" s="857"/>
      <c r="Y8" s="857"/>
      <c r="Z8" s="1032"/>
      <c r="AA8" s="838"/>
      <c r="AB8" s="959"/>
      <c r="AC8" s="970"/>
      <c r="AD8" s="838"/>
      <c r="AE8" s="315"/>
    </row>
    <row r="9" spans="1:31" s="8" customFormat="1" ht="13.5" customHeight="1" x14ac:dyDescent="0.2">
      <c r="A9" s="10"/>
      <c r="B9" s="869"/>
      <c r="C9" s="950"/>
      <c r="D9" s="11"/>
      <c r="E9" s="107"/>
      <c r="F9" s="4"/>
      <c r="G9" s="495"/>
      <c r="H9" s="859"/>
      <c r="I9" s="1013"/>
      <c r="J9" s="1013"/>
      <c r="K9" s="886"/>
      <c r="L9" s="859"/>
      <c r="M9" s="900"/>
      <c r="N9" s="900"/>
      <c r="O9" s="859"/>
      <c r="P9" s="859"/>
      <c r="Q9" s="900"/>
      <c r="R9" s="838"/>
      <c r="S9" s="853"/>
      <c r="T9" s="1011"/>
      <c r="U9" s="107"/>
      <c r="V9" s="12"/>
      <c r="W9" s="857"/>
      <c r="X9" s="857"/>
      <c r="Y9" s="857"/>
      <c r="Z9" s="1032"/>
      <c r="AA9" s="838"/>
      <c r="AB9" s="959"/>
      <c r="AC9" s="7"/>
      <c r="AD9" s="7"/>
    </row>
    <row r="10" spans="1:31" s="15" customFormat="1" ht="12" thickBot="1" x14ac:dyDescent="0.25">
      <c r="A10" s="13">
        <v>1</v>
      </c>
      <c r="B10" s="13">
        <v>2</v>
      </c>
      <c r="C10" s="13">
        <v>3</v>
      </c>
      <c r="D10" s="13">
        <v>4</v>
      </c>
      <c r="E10" s="13">
        <v>5</v>
      </c>
      <c r="F10" s="13">
        <v>6</v>
      </c>
      <c r="G10" s="13">
        <v>7</v>
      </c>
      <c r="H10" s="13">
        <v>8</v>
      </c>
      <c r="I10" s="13"/>
      <c r="J10" s="13">
        <v>10</v>
      </c>
      <c r="K10" s="13">
        <v>9</v>
      </c>
      <c r="L10" s="13">
        <v>16</v>
      </c>
      <c r="M10" s="13">
        <v>11</v>
      </c>
      <c r="N10" s="13">
        <v>11</v>
      </c>
      <c r="O10" s="13"/>
      <c r="P10" s="13"/>
      <c r="Q10" s="13">
        <v>11</v>
      </c>
      <c r="R10" s="14">
        <v>14</v>
      </c>
      <c r="S10" s="14">
        <v>15</v>
      </c>
      <c r="T10" s="1063"/>
      <c r="U10" s="13">
        <v>12</v>
      </c>
      <c r="V10" s="13">
        <v>13</v>
      </c>
      <c r="W10" s="13">
        <v>20</v>
      </c>
      <c r="X10" s="13">
        <v>20</v>
      </c>
      <c r="Y10" s="13">
        <v>19</v>
      </c>
      <c r="Z10" s="323">
        <v>18</v>
      </c>
      <c r="AA10" s="13">
        <v>23</v>
      </c>
      <c r="AB10" s="13">
        <v>24</v>
      </c>
      <c r="AC10" s="13">
        <v>25</v>
      </c>
      <c r="AD10" s="13">
        <v>26</v>
      </c>
      <c r="AE10" s="100"/>
    </row>
    <row r="11" spans="1:31" ht="20.100000000000001" customHeight="1" thickTop="1" x14ac:dyDescent="0.2">
      <c r="A11" s="527"/>
      <c r="B11" s="194" t="s">
        <v>477</v>
      </c>
      <c r="C11" s="210"/>
      <c r="D11" s="210"/>
      <c r="E11" s="210"/>
      <c r="F11" s="528"/>
      <c r="G11" s="528"/>
      <c r="H11" s="39"/>
      <c r="I11" s="39"/>
      <c r="J11" s="39"/>
      <c r="K11" s="39"/>
      <c r="L11" s="39"/>
      <c r="M11" s="39"/>
      <c r="N11" s="39"/>
      <c r="O11" s="39"/>
      <c r="P11" s="39"/>
      <c r="Q11" s="39"/>
      <c r="R11" s="39"/>
      <c r="S11" s="39"/>
      <c r="T11" s="39"/>
      <c r="U11" s="39"/>
      <c r="V11" s="39"/>
      <c r="W11" s="39"/>
      <c r="X11" s="39"/>
      <c r="Y11" s="39"/>
      <c r="Z11" s="39"/>
      <c r="AA11" s="39"/>
      <c r="AB11" s="502"/>
      <c r="AC11" s="204"/>
      <c r="AD11" s="20"/>
      <c r="AE11" s="529"/>
    </row>
    <row r="12" spans="1:31" ht="20.100000000000001" customHeight="1" x14ac:dyDescent="0.2">
      <c r="A12" s="545" t="s">
        <v>38</v>
      </c>
      <c r="B12" s="44"/>
      <c r="C12" s="526" t="s">
        <v>530</v>
      </c>
      <c r="D12" s="935" t="s">
        <v>686</v>
      </c>
      <c r="E12" s="935"/>
      <c r="F12" s="54">
        <f>'[1]Reg.4(1-15)'!$F$12</f>
        <v>83457</v>
      </c>
      <c r="G12" s="54">
        <f>F12/2</f>
        <v>41728.5</v>
      </c>
      <c r="H12" s="39"/>
      <c r="I12" s="39"/>
      <c r="J12" s="39"/>
      <c r="K12" s="39"/>
      <c r="L12" s="39">
        <v>1513.89</v>
      </c>
      <c r="M12" s="39"/>
      <c r="N12" s="39"/>
      <c r="O12" s="56"/>
      <c r="P12" s="56">
        <v>2590.63</v>
      </c>
      <c r="Q12" s="39"/>
      <c r="R12" s="39"/>
      <c r="S12" s="39"/>
      <c r="T12" s="39">
        <v>9922.58</v>
      </c>
      <c r="U12" s="56">
        <f>F12*0.02</f>
        <v>1669.14</v>
      </c>
      <c r="V12" s="56">
        <f>U12</f>
        <v>1669.14</v>
      </c>
      <c r="W12" s="56">
        <v>2620.7800000000002</v>
      </c>
      <c r="X12" s="39"/>
      <c r="Y12" s="39"/>
      <c r="Z12" s="39">
        <v>6000</v>
      </c>
      <c r="AA12" s="56">
        <f>G12-SUM(J12:U12)-SUM(W12:Z12)</f>
        <v>17411.480000000003</v>
      </c>
      <c r="AB12" s="502" t="s">
        <v>38</v>
      </c>
      <c r="AC12" s="204"/>
      <c r="AD12" s="20"/>
      <c r="AE12" s="529"/>
    </row>
    <row r="13" spans="1:31" ht="17.25" customHeight="1" x14ac:dyDescent="0.2">
      <c r="A13" s="222" t="s">
        <v>127</v>
      </c>
      <c r="B13" s="30"/>
      <c r="C13" s="210" t="s">
        <v>64</v>
      </c>
      <c r="D13" s="210" t="s">
        <v>176</v>
      </c>
      <c r="E13" s="210" t="s">
        <v>175</v>
      </c>
      <c r="F13" s="54">
        <f>'[1]Reg.4(1-15)'!$F$13</f>
        <v>14521</v>
      </c>
      <c r="G13" s="54">
        <f t="shared" ref="G13:G19" si="0">F13/2</f>
        <v>7260.5</v>
      </c>
      <c r="H13" s="26"/>
      <c r="I13" s="26"/>
      <c r="J13" s="56"/>
      <c r="K13" s="56">
        <v>1196.6600000000001</v>
      </c>
      <c r="L13" s="56">
        <v>1233.33</v>
      </c>
      <c r="M13" s="56"/>
      <c r="N13" s="56"/>
      <c r="O13" s="56"/>
      <c r="P13" s="56">
        <v>849.01</v>
      </c>
      <c r="Q13" s="56"/>
      <c r="R13" s="56"/>
      <c r="S13" s="56"/>
      <c r="T13" s="56"/>
      <c r="U13" s="56">
        <f t="shared" ref="U13:U22" si="1">F13*0.02</f>
        <v>290.42</v>
      </c>
      <c r="V13" s="56">
        <f>U13</f>
        <v>290.42</v>
      </c>
      <c r="W13" s="56">
        <v>2099.7600000000002</v>
      </c>
      <c r="X13" s="56"/>
      <c r="Y13" s="56"/>
      <c r="Z13" s="56"/>
      <c r="AA13" s="56">
        <f>G13-SUM(J13:U13)-SUM(W13:Z13)</f>
        <v>1591.3199999999997</v>
      </c>
      <c r="AB13" s="502" t="s">
        <v>127</v>
      </c>
      <c r="AC13" s="204"/>
      <c r="AD13" s="20"/>
      <c r="AE13" s="529"/>
    </row>
    <row r="14" spans="1:31" ht="20.100000000000001" customHeight="1" x14ac:dyDescent="0.2">
      <c r="A14" s="222" t="s">
        <v>128</v>
      </c>
      <c r="B14" s="30"/>
      <c r="C14" s="210" t="s">
        <v>83</v>
      </c>
      <c r="D14" s="210" t="s">
        <v>176</v>
      </c>
      <c r="E14" s="210" t="s">
        <v>175</v>
      </c>
      <c r="F14" s="54">
        <f>'[1]Reg.4(1-15)'!$F$14</f>
        <v>14189</v>
      </c>
      <c r="G14" s="54">
        <f t="shared" si="0"/>
        <v>7094.5</v>
      </c>
      <c r="H14" s="26"/>
      <c r="I14" s="26"/>
      <c r="J14" s="56"/>
      <c r="K14" s="56">
        <v>655.56</v>
      </c>
      <c r="L14" s="56"/>
      <c r="M14" s="56"/>
      <c r="N14" s="56"/>
      <c r="O14" s="56"/>
      <c r="P14" s="56">
        <v>965.07</v>
      </c>
      <c r="Q14" s="56"/>
      <c r="R14" s="56"/>
      <c r="S14" s="56"/>
      <c r="T14" s="56"/>
      <c r="U14" s="56">
        <f t="shared" si="1"/>
        <v>283.78000000000003</v>
      </c>
      <c r="V14" s="56">
        <f t="shared" ref="V14:V19" si="2">U14</f>
        <v>283.78000000000003</v>
      </c>
      <c r="W14" s="56">
        <v>1206.43</v>
      </c>
      <c r="X14" s="56"/>
      <c r="Y14" s="56"/>
      <c r="Z14" s="56"/>
      <c r="AA14" s="56">
        <f>G14-SUM(J14:U14)-SUM(W14:Z14)</f>
        <v>3983.66</v>
      </c>
      <c r="AB14" s="502" t="s">
        <v>128</v>
      </c>
      <c r="AC14" s="204"/>
      <c r="AD14" s="20"/>
      <c r="AE14" s="529"/>
    </row>
    <row r="15" spans="1:31" ht="20.100000000000001" customHeight="1" x14ac:dyDescent="0.2">
      <c r="A15" s="545" t="s">
        <v>129</v>
      </c>
      <c r="B15" s="30"/>
      <c r="C15" s="210" t="s">
        <v>83</v>
      </c>
      <c r="D15" s="210" t="s">
        <v>176</v>
      </c>
      <c r="E15" s="210" t="s">
        <v>175</v>
      </c>
      <c r="F15" s="54">
        <f>'[1]Reg.4(1-15)'!$F$15</f>
        <v>14189</v>
      </c>
      <c r="G15" s="54">
        <f>F15/2</f>
        <v>7094.5</v>
      </c>
      <c r="H15" s="26"/>
      <c r="I15" s="26"/>
      <c r="K15" s="56">
        <v>591.99</v>
      </c>
      <c r="L15" s="56"/>
      <c r="M15" s="56"/>
      <c r="N15" s="56"/>
      <c r="O15" s="56"/>
      <c r="P15" s="56">
        <v>965.08</v>
      </c>
      <c r="Q15" s="56"/>
      <c r="R15" s="56"/>
      <c r="S15" s="56"/>
      <c r="T15" s="56"/>
      <c r="U15" s="56">
        <f t="shared" si="1"/>
        <v>283.78000000000003</v>
      </c>
      <c r="V15" s="56">
        <f t="shared" si="2"/>
        <v>283.78000000000003</v>
      </c>
      <c r="W15" s="56"/>
      <c r="X15" s="56"/>
      <c r="Y15" s="58"/>
      <c r="Z15" s="56"/>
      <c r="AA15" s="56">
        <f>G15-SUM(K15:U15)-SUM(W15:Z15)</f>
        <v>5253.65</v>
      </c>
      <c r="AB15" s="502" t="s">
        <v>129</v>
      </c>
      <c r="AC15" s="204"/>
      <c r="AD15" s="20"/>
      <c r="AE15" s="529"/>
    </row>
    <row r="16" spans="1:31" ht="20.100000000000001" customHeight="1" x14ac:dyDescent="0.2">
      <c r="A16" s="545" t="s">
        <v>131</v>
      </c>
      <c r="B16" s="30"/>
      <c r="C16" s="210" t="s">
        <v>499</v>
      </c>
      <c r="D16" s="210" t="s">
        <v>208</v>
      </c>
      <c r="E16" s="210" t="s">
        <v>175</v>
      </c>
      <c r="F16" s="54">
        <v>14308</v>
      </c>
      <c r="G16" s="54">
        <f>F16/2</f>
        <v>7154</v>
      </c>
      <c r="H16" s="26"/>
      <c r="I16" s="26"/>
      <c r="J16" s="56"/>
      <c r="K16" s="56">
        <v>655.56</v>
      </c>
      <c r="L16" s="56"/>
      <c r="M16" s="56"/>
      <c r="N16" s="56"/>
      <c r="O16" s="56"/>
      <c r="P16" s="56"/>
      <c r="Q16" s="56"/>
      <c r="R16" s="56"/>
      <c r="S16" s="56"/>
      <c r="T16" s="56"/>
      <c r="U16" s="56">
        <f>F16*0.02</f>
        <v>286.16000000000003</v>
      </c>
      <c r="V16" s="56">
        <f t="shared" si="2"/>
        <v>286.16000000000003</v>
      </c>
      <c r="W16" s="56"/>
      <c r="X16" s="56"/>
      <c r="Y16" s="58"/>
      <c r="Z16" s="56"/>
      <c r="AA16" s="56">
        <f t="shared" ref="AA16:AA21" si="3">G16-SUM(J16:U16)-SUM(W16:Z16)</f>
        <v>6212.28</v>
      </c>
      <c r="AB16" s="502" t="s">
        <v>131</v>
      </c>
      <c r="AC16" s="204"/>
      <c r="AD16" s="20"/>
      <c r="AE16" s="529"/>
    </row>
    <row r="17" spans="1:32" ht="20.100000000000001" customHeight="1" x14ac:dyDescent="0.2">
      <c r="A17" s="222" t="s">
        <v>130</v>
      </c>
      <c r="B17" s="30"/>
      <c r="C17" s="210" t="s">
        <v>83</v>
      </c>
      <c r="D17" s="210" t="s">
        <v>176</v>
      </c>
      <c r="E17" s="210" t="s">
        <v>175</v>
      </c>
      <c r="F17" s="54">
        <v>13357</v>
      </c>
      <c r="G17" s="54">
        <f>F17/2</f>
        <v>6678.5</v>
      </c>
      <c r="H17" s="26"/>
      <c r="I17" s="26"/>
      <c r="J17" s="56"/>
      <c r="K17" s="56">
        <v>655.56</v>
      </c>
      <c r="L17" s="56"/>
      <c r="M17" s="56"/>
      <c r="N17" s="56"/>
      <c r="O17" s="56">
        <v>983.33</v>
      </c>
      <c r="P17" s="56">
        <v>644.11</v>
      </c>
      <c r="Q17" s="56"/>
      <c r="R17" s="56"/>
      <c r="S17" s="56"/>
      <c r="T17" s="56"/>
      <c r="U17" s="56">
        <f t="shared" si="1"/>
        <v>267.14</v>
      </c>
      <c r="V17" s="56">
        <f t="shared" si="2"/>
        <v>267.14</v>
      </c>
      <c r="W17" s="56">
        <v>1536.56</v>
      </c>
      <c r="X17" s="56"/>
      <c r="Y17" s="56"/>
      <c r="Z17" s="56"/>
      <c r="AA17" s="56">
        <f t="shared" si="3"/>
        <v>2591.8000000000006</v>
      </c>
      <c r="AB17" s="502" t="s">
        <v>130</v>
      </c>
      <c r="AC17" s="204"/>
      <c r="AD17" s="20"/>
      <c r="AE17" s="529"/>
    </row>
    <row r="18" spans="1:32" ht="20.100000000000001" customHeight="1" x14ac:dyDescent="0.2">
      <c r="A18" s="545" t="s">
        <v>132</v>
      </c>
      <c r="B18" s="30"/>
      <c r="C18" s="210" t="s">
        <v>446</v>
      </c>
      <c r="D18" s="210" t="s">
        <v>176</v>
      </c>
      <c r="E18" s="210" t="s">
        <v>175</v>
      </c>
      <c r="F18" s="54">
        <f>'[1]Reg.4(1-15)'!$F$18</f>
        <v>13675</v>
      </c>
      <c r="G18" s="54">
        <f t="shared" si="0"/>
        <v>6837.5</v>
      </c>
      <c r="H18" s="26"/>
      <c r="I18" s="26"/>
      <c r="J18" s="56"/>
      <c r="K18" s="56">
        <v>1174.33</v>
      </c>
      <c r="L18" s="56"/>
      <c r="M18" s="56"/>
      <c r="N18" s="56">
        <v>100</v>
      </c>
      <c r="O18" s="56">
        <v>983.34</v>
      </c>
      <c r="P18" s="56">
        <v>767.81</v>
      </c>
      <c r="Q18" s="56"/>
      <c r="R18" s="56"/>
      <c r="S18" s="56"/>
      <c r="T18" s="56"/>
      <c r="U18" s="56">
        <f t="shared" si="1"/>
        <v>273.5</v>
      </c>
      <c r="V18" s="56">
        <f t="shared" si="2"/>
        <v>273.5</v>
      </c>
      <c r="W18" s="56"/>
      <c r="X18" s="56"/>
      <c r="Y18" s="58"/>
      <c r="Z18" s="56">
        <v>2735.85</v>
      </c>
      <c r="AA18" s="56">
        <f t="shared" si="3"/>
        <v>802.67000000000007</v>
      </c>
      <c r="AB18" s="502" t="s">
        <v>132</v>
      </c>
      <c r="AC18" s="204"/>
      <c r="AD18" s="20"/>
      <c r="AE18" s="529"/>
    </row>
    <row r="19" spans="1:32" ht="18" customHeight="1" x14ac:dyDescent="0.2">
      <c r="A19" s="222" t="s">
        <v>133</v>
      </c>
      <c r="B19" s="30"/>
      <c r="C19" s="210" t="s">
        <v>446</v>
      </c>
      <c r="D19" s="210" t="s">
        <v>176</v>
      </c>
      <c r="E19" s="210" t="s">
        <v>175</v>
      </c>
      <c r="F19" s="54">
        <f>'[1]Reg.4(1-15)'!$F$18</f>
        <v>13675</v>
      </c>
      <c r="G19" s="54">
        <f t="shared" si="0"/>
        <v>6837.5</v>
      </c>
      <c r="H19" s="26"/>
      <c r="I19" s="26"/>
      <c r="J19" s="56"/>
      <c r="K19" s="56">
        <v>655.56</v>
      </c>
      <c r="L19" s="56"/>
      <c r="M19" s="56"/>
      <c r="N19" s="56"/>
      <c r="O19" s="56">
        <v>1966.67</v>
      </c>
      <c r="P19" s="56">
        <v>797.96</v>
      </c>
      <c r="Q19" s="56"/>
      <c r="R19" s="56"/>
      <c r="S19" s="56"/>
      <c r="T19" s="56"/>
      <c r="U19" s="56">
        <f t="shared" si="1"/>
        <v>273.5</v>
      </c>
      <c r="V19" s="56">
        <f t="shared" si="2"/>
        <v>273.5</v>
      </c>
      <c r="W19" s="56"/>
      <c r="X19" s="56"/>
      <c r="Y19" s="56"/>
      <c r="Z19" s="56">
        <v>2275.31</v>
      </c>
      <c r="AA19" s="56">
        <f t="shared" si="3"/>
        <v>868.5</v>
      </c>
      <c r="AB19" s="502" t="s">
        <v>133</v>
      </c>
      <c r="AC19" s="204"/>
      <c r="AD19" s="20"/>
      <c r="AE19" s="529"/>
    </row>
    <row r="20" spans="1:32" ht="20.100000000000001" customHeight="1" x14ac:dyDescent="0.2">
      <c r="A20" s="222" t="s">
        <v>65</v>
      </c>
      <c r="B20" s="30"/>
      <c r="C20" s="210" t="s">
        <v>446</v>
      </c>
      <c r="D20" s="210" t="s">
        <v>176</v>
      </c>
      <c r="E20" s="210" t="s">
        <v>175</v>
      </c>
      <c r="F20" s="54">
        <v>13575</v>
      </c>
      <c r="G20" s="54">
        <f t="shared" ref="G20:G22" si="4">F20/2</f>
        <v>6787.5</v>
      </c>
      <c r="H20" s="26"/>
      <c r="I20" s="26"/>
      <c r="J20" s="56"/>
      <c r="K20" s="56"/>
      <c r="L20" s="56">
        <v>1100</v>
      </c>
      <c r="M20" s="56"/>
      <c r="N20" s="56"/>
      <c r="O20" s="56">
        <v>1966.67</v>
      </c>
      <c r="P20" s="56">
        <v>870.8</v>
      </c>
      <c r="Q20" s="56"/>
      <c r="R20" s="56"/>
      <c r="S20" s="56"/>
      <c r="T20" s="56"/>
      <c r="U20" s="56">
        <f t="shared" si="1"/>
        <v>271.5</v>
      </c>
      <c r="V20" s="56">
        <f t="shared" ref="V20:V22" si="5">U20</f>
        <v>271.5</v>
      </c>
      <c r="W20" s="56">
        <v>424</v>
      </c>
      <c r="X20" s="56"/>
      <c r="Y20" s="56"/>
      <c r="Z20" s="56">
        <v>2002</v>
      </c>
      <c r="AA20" s="56">
        <f t="shared" si="3"/>
        <v>152.52999999999975</v>
      </c>
      <c r="AB20" s="502" t="s">
        <v>65</v>
      </c>
      <c r="AC20" s="204"/>
      <c r="AD20" s="20"/>
      <c r="AE20" s="529"/>
    </row>
    <row r="21" spans="1:32" ht="20.100000000000001" customHeight="1" x14ac:dyDescent="0.2">
      <c r="A21" s="545" t="s">
        <v>134</v>
      </c>
      <c r="B21" s="30"/>
      <c r="C21" s="210" t="s">
        <v>446</v>
      </c>
      <c r="D21" s="210" t="s">
        <v>176</v>
      </c>
      <c r="E21" s="210" t="s">
        <v>175</v>
      </c>
      <c r="F21" s="54">
        <v>13575</v>
      </c>
      <c r="G21" s="54">
        <f t="shared" si="4"/>
        <v>6787.5</v>
      </c>
      <c r="H21" s="26"/>
      <c r="I21" s="26"/>
      <c r="J21" s="56"/>
      <c r="K21" s="56">
        <v>1311.12</v>
      </c>
      <c r="L21" s="56"/>
      <c r="M21" s="56"/>
      <c r="N21" s="56"/>
      <c r="O21" s="56"/>
      <c r="P21" s="56">
        <v>1684.39</v>
      </c>
      <c r="Q21" s="56"/>
      <c r="R21" s="56"/>
      <c r="S21" s="56"/>
      <c r="T21" s="56"/>
      <c r="U21" s="56">
        <f t="shared" si="1"/>
        <v>271.5</v>
      </c>
      <c r="V21" s="56">
        <f t="shared" si="5"/>
        <v>271.5</v>
      </c>
      <c r="W21" s="56"/>
      <c r="X21" s="56"/>
      <c r="Y21" s="56"/>
      <c r="Z21" s="56"/>
      <c r="AA21" s="56">
        <f t="shared" si="3"/>
        <v>3520.49</v>
      </c>
      <c r="AB21" s="502" t="s">
        <v>134</v>
      </c>
      <c r="AC21" s="204"/>
      <c r="AD21" s="20"/>
      <c r="AE21" s="529"/>
    </row>
    <row r="22" spans="1:32" ht="20.100000000000001" customHeight="1" thickBot="1" x14ac:dyDescent="0.25">
      <c r="A22" s="222" t="s">
        <v>135</v>
      </c>
      <c r="B22" s="30"/>
      <c r="C22" s="210" t="s">
        <v>446</v>
      </c>
      <c r="D22" s="210" t="s">
        <v>176</v>
      </c>
      <c r="E22" s="210" t="s">
        <v>175</v>
      </c>
      <c r="F22" s="486">
        <f>'[1]Reg.4(1-15)'!$F$22</f>
        <v>13474</v>
      </c>
      <c r="G22" s="470">
        <f t="shared" si="4"/>
        <v>6737</v>
      </c>
      <c r="H22" s="36"/>
      <c r="I22" s="36"/>
      <c r="J22" s="60"/>
      <c r="K22" s="60"/>
      <c r="L22" s="60"/>
      <c r="M22" s="60"/>
      <c r="N22" s="60"/>
      <c r="O22" s="60"/>
      <c r="P22" s="60"/>
      <c r="Q22" s="60"/>
      <c r="R22" s="60"/>
      <c r="S22" s="60"/>
      <c r="T22" s="60"/>
      <c r="U22" s="60">
        <f t="shared" si="1"/>
        <v>269.48</v>
      </c>
      <c r="V22" s="60">
        <f t="shared" si="5"/>
        <v>269.48</v>
      </c>
      <c r="W22" s="60"/>
      <c r="X22" s="60"/>
      <c r="Y22" s="60">
        <v>5900</v>
      </c>
      <c r="Z22" s="473"/>
      <c r="AA22" s="60">
        <f>G22-SUM(J22:U22)-SUM(W22:Z22)+I22</f>
        <v>567.52000000000044</v>
      </c>
      <c r="AB22" s="502" t="s">
        <v>135</v>
      </c>
      <c r="AC22" s="204"/>
      <c r="AD22" s="20"/>
      <c r="AE22" s="529"/>
    </row>
    <row r="23" spans="1:32" ht="20.100000000000001" customHeight="1" thickBot="1" x14ac:dyDescent="0.25">
      <c r="A23" s="222" t="s">
        <v>136</v>
      </c>
      <c r="B23" s="30"/>
      <c r="C23" s="210"/>
      <c r="D23" s="213"/>
      <c r="E23" s="213"/>
      <c r="F23" s="64">
        <f t="shared" ref="F23:AA23" si="6">SUM(F12:F22)</f>
        <v>221995</v>
      </c>
      <c r="G23" s="64">
        <f t="shared" si="6"/>
        <v>110997.5</v>
      </c>
      <c r="H23" s="64">
        <f t="shared" si="6"/>
        <v>0</v>
      </c>
      <c r="I23" s="64">
        <f t="shared" si="6"/>
        <v>0</v>
      </c>
      <c r="J23" s="64">
        <f t="shared" si="6"/>
        <v>0</v>
      </c>
      <c r="K23" s="64">
        <f t="shared" si="6"/>
        <v>6896.3399999999992</v>
      </c>
      <c r="L23" s="64">
        <f t="shared" si="6"/>
        <v>3847.2200000000003</v>
      </c>
      <c r="M23" s="64">
        <f t="shared" si="6"/>
        <v>0</v>
      </c>
      <c r="N23" s="64">
        <f t="shared" si="6"/>
        <v>100</v>
      </c>
      <c r="O23" s="64">
        <f t="shared" si="6"/>
        <v>5900.01</v>
      </c>
      <c r="P23" s="64">
        <f t="shared" si="6"/>
        <v>10134.859999999999</v>
      </c>
      <c r="Q23" s="64">
        <f t="shared" si="6"/>
        <v>0</v>
      </c>
      <c r="R23" s="64">
        <f t="shared" si="6"/>
        <v>0</v>
      </c>
      <c r="S23" s="64">
        <f t="shared" si="6"/>
        <v>0</v>
      </c>
      <c r="T23" s="64">
        <f t="shared" si="6"/>
        <v>9922.58</v>
      </c>
      <c r="U23" s="64">
        <f t="shared" si="6"/>
        <v>4439.8999999999996</v>
      </c>
      <c r="V23" s="64">
        <f t="shared" si="6"/>
        <v>4439.8999999999996</v>
      </c>
      <c r="W23" s="64">
        <f t="shared" si="6"/>
        <v>7887.5300000000007</v>
      </c>
      <c r="X23" s="64">
        <f t="shared" si="6"/>
        <v>0</v>
      </c>
      <c r="Y23" s="64">
        <f t="shared" si="6"/>
        <v>5900</v>
      </c>
      <c r="Z23" s="64">
        <f t="shared" si="6"/>
        <v>13013.16</v>
      </c>
      <c r="AA23" s="64">
        <f t="shared" si="6"/>
        <v>42955.899999999994</v>
      </c>
      <c r="AB23" s="502" t="s">
        <v>136</v>
      </c>
      <c r="AC23" s="204"/>
      <c r="AD23" s="20"/>
      <c r="AE23" s="529"/>
    </row>
    <row r="24" spans="1:32" ht="17.100000000000001" customHeight="1" thickTop="1" x14ac:dyDescent="0.2">
      <c r="A24" s="545" t="s">
        <v>137</v>
      </c>
      <c r="B24" s="194" t="s">
        <v>91</v>
      </c>
      <c r="C24" s="210"/>
      <c r="D24" s="213"/>
      <c r="E24" s="213"/>
      <c r="F24" s="56"/>
      <c r="G24" s="56"/>
      <c r="H24" s="26"/>
      <c r="I24" s="26"/>
      <c r="J24" s="56"/>
      <c r="K24" s="56"/>
      <c r="L24" s="56"/>
      <c r="M24" s="56"/>
      <c r="N24" s="56"/>
      <c r="O24" s="56"/>
      <c r="P24" s="56"/>
      <c r="Q24" s="56"/>
      <c r="R24" s="56"/>
      <c r="S24" s="56"/>
      <c r="T24" s="56"/>
      <c r="U24" s="56"/>
      <c r="V24" s="56"/>
      <c r="W24" s="56"/>
      <c r="X24" s="56"/>
      <c r="Y24" s="56"/>
      <c r="Z24" s="56"/>
      <c r="AA24" s="55" t="s">
        <v>37</v>
      </c>
      <c r="AB24" s="502" t="s">
        <v>137</v>
      </c>
      <c r="AC24" s="203"/>
      <c r="AD24" s="16"/>
    </row>
    <row r="25" spans="1:32" ht="19.5" customHeight="1" x14ac:dyDescent="0.2">
      <c r="A25" s="222" t="s">
        <v>138</v>
      </c>
      <c r="B25" s="30"/>
      <c r="C25" s="210" t="s">
        <v>243</v>
      </c>
      <c r="D25" s="935" t="s">
        <v>686</v>
      </c>
      <c r="E25" s="935"/>
      <c r="F25" s="54">
        <f>'[1]Reg.4(1-15)'!$F$25</f>
        <v>90205</v>
      </c>
      <c r="G25" s="54">
        <f t="shared" ref="G25:G31" si="7">F25/2</f>
        <v>45102.5</v>
      </c>
      <c r="H25" s="26"/>
      <c r="I25" s="26"/>
      <c r="J25" s="56"/>
      <c r="K25" s="56">
        <v>1311.12</v>
      </c>
      <c r="L25" s="56">
        <v>1166.67</v>
      </c>
      <c r="M25" s="56"/>
      <c r="N25" s="56">
        <v>700</v>
      </c>
      <c r="O25" s="56"/>
      <c r="P25" s="56">
        <f>6467.21+1139.66</f>
        <v>7606.87</v>
      </c>
      <c r="Q25" s="56"/>
      <c r="R25" s="56"/>
      <c r="S25" s="56"/>
      <c r="T25" s="56">
        <v>11381.83</v>
      </c>
      <c r="U25" s="56">
        <f t="shared" ref="U25:U28" si="8">F25*0.02</f>
        <v>1804.1000000000001</v>
      </c>
      <c r="V25" s="56">
        <f t="shared" ref="V25:V31" si="9">U25</f>
        <v>1804.1000000000001</v>
      </c>
      <c r="W25" s="56"/>
      <c r="X25" s="56">
        <v>2470.79</v>
      </c>
      <c r="Y25" s="56"/>
      <c r="Z25" s="56">
        <v>13615.42</v>
      </c>
      <c r="AA25" s="56">
        <f>G25-SUM(J25:U25)-SUM(W25:Z25)</f>
        <v>5045.7000000000044</v>
      </c>
      <c r="AB25" s="502" t="s">
        <v>138</v>
      </c>
      <c r="AC25" s="203"/>
      <c r="AD25" s="16"/>
      <c r="AF25" s="35"/>
    </row>
    <row r="26" spans="1:32" ht="19.5" customHeight="1" x14ac:dyDescent="0.2">
      <c r="A26" s="222" t="s">
        <v>139</v>
      </c>
      <c r="B26" s="30"/>
      <c r="C26" s="404" t="s">
        <v>659</v>
      </c>
      <c r="D26" s="210" t="s">
        <v>208</v>
      </c>
      <c r="E26" s="210" t="s">
        <v>175</v>
      </c>
      <c r="F26" s="54">
        <f>'[1]Reg.4(1-15)'!$F$26</f>
        <v>37026</v>
      </c>
      <c r="G26" s="54">
        <f t="shared" si="7"/>
        <v>18513</v>
      </c>
      <c r="H26" s="39"/>
      <c r="I26" s="26"/>
      <c r="J26" s="56"/>
      <c r="K26" s="55"/>
      <c r="L26" s="56"/>
      <c r="M26" s="61"/>
      <c r="N26" s="56"/>
      <c r="O26" s="56"/>
      <c r="P26" s="56"/>
      <c r="Q26" s="56"/>
      <c r="R26" s="61"/>
      <c r="S26" s="61"/>
      <c r="T26" s="56">
        <v>1679.12</v>
      </c>
      <c r="U26" s="56">
        <f t="shared" si="8"/>
        <v>740.52</v>
      </c>
      <c r="V26" s="56">
        <f t="shared" si="9"/>
        <v>740.52</v>
      </c>
      <c r="W26" s="56"/>
      <c r="X26" s="56"/>
      <c r="Y26" s="56"/>
      <c r="Z26" s="56"/>
      <c r="AA26" s="56">
        <f>G26-SUM(J26:U26)-SUM(W26:Z26)+I26</f>
        <v>16093.36</v>
      </c>
      <c r="AB26" s="502" t="s">
        <v>139</v>
      </c>
      <c r="AC26" s="203"/>
      <c r="AD26" s="16"/>
      <c r="AF26" s="35"/>
    </row>
    <row r="27" spans="1:32" ht="19.5" customHeight="1" x14ac:dyDescent="0.2">
      <c r="A27" s="545" t="s">
        <v>140</v>
      </c>
      <c r="B27" s="30"/>
      <c r="C27" s="404" t="s">
        <v>647</v>
      </c>
      <c r="D27" s="210" t="s">
        <v>208</v>
      </c>
      <c r="E27" s="210" t="s">
        <v>175</v>
      </c>
      <c r="F27" s="54">
        <v>14308</v>
      </c>
      <c r="G27" s="54">
        <f t="shared" si="7"/>
        <v>7154</v>
      </c>
      <c r="H27" s="39"/>
      <c r="I27" s="26"/>
      <c r="J27" s="56"/>
      <c r="K27" s="55">
        <v>655.56</v>
      </c>
      <c r="L27" s="56"/>
      <c r="M27" s="61"/>
      <c r="N27" s="56"/>
      <c r="O27" s="56"/>
      <c r="P27" s="56"/>
      <c r="Q27" s="56"/>
      <c r="R27" s="61"/>
      <c r="S27" s="61"/>
      <c r="T27" s="56"/>
      <c r="U27" s="56">
        <f t="shared" si="8"/>
        <v>286.16000000000003</v>
      </c>
      <c r="V27" s="56">
        <f t="shared" si="9"/>
        <v>286.16000000000003</v>
      </c>
      <c r="W27" s="56"/>
      <c r="X27" s="56"/>
      <c r="Y27" s="56"/>
      <c r="Z27" s="56"/>
      <c r="AA27" s="56">
        <f>G27-SUM(J27:U27)-SUM(W27:Z27)</f>
        <v>6212.28</v>
      </c>
      <c r="AB27" s="502" t="s">
        <v>140</v>
      </c>
      <c r="AC27" s="203"/>
      <c r="AD27" s="16"/>
      <c r="AF27" s="35"/>
    </row>
    <row r="28" spans="1:32" ht="19.5" customHeight="1" x14ac:dyDescent="0.2">
      <c r="A28" s="222" t="s">
        <v>142</v>
      </c>
      <c r="B28" s="30"/>
      <c r="C28" s="210" t="s">
        <v>446</v>
      </c>
      <c r="D28" s="210" t="s">
        <v>208</v>
      </c>
      <c r="E28" s="210" t="s">
        <v>175</v>
      </c>
      <c r="F28" s="62">
        <f>'[1]Reg.4(1-15)'!$F$28</f>
        <v>13675</v>
      </c>
      <c r="G28" s="54">
        <f t="shared" si="7"/>
        <v>6837.5</v>
      </c>
      <c r="H28" s="26"/>
      <c r="I28" s="26"/>
      <c r="J28" s="56"/>
      <c r="K28" s="56">
        <v>655.56</v>
      </c>
      <c r="L28" s="56"/>
      <c r="M28" s="56"/>
      <c r="N28" s="56"/>
      <c r="O28" s="56"/>
      <c r="P28" s="56"/>
      <c r="Q28" s="56"/>
      <c r="R28" s="56"/>
      <c r="S28" s="56"/>
      <c r="T28" s="56"/>
      <c r="U28" s="56">
        <f t="shared" si="8"/>
        <v>273.5</v>
      </c>
      <c r="V28" s="56">
        <f t="shared" si="9"/>
        <v>273.5</v>
      </c>
      <c r="W28" s="56"/>
      <c r="X28" s="56"/>
      <c r="Y28" s="56"/>
      <c r="Z28" s="56"/>
      <c r="AA28" s="56">
        <f>G28-SUM(J28:U28)-SUM(W28:Z28)</f>
        <v>5908.4400000000005</v>
      </c>
      <c r="AB28" s="502" t="s">
        <v>142</v>
      </c>
      <c r="AC28" s="203"/>
      <c r="AD28" s="16"/>
    </row>
    <row r="29" spans="1:32" ht="19.5" customHeight="1" x14ac:dyDescent="0.2">
      <c r="A29" s="545" t="s">
        <v>143</v>
      </c>
      <c r="B29" s="30"/>
      <c r="C29" s="210" t="s">
        <v>446</v>
      </c>
      <c r="D29" s="210" t="s">
        <v>208</v>
      </c>
      <c r="E29" s="210" t="s">
        <v>175</v>
      </c>
      <c r="F29" s="54">
        <f>'[1]Reg.4(1-15)'!$F$29</f>
        <v>13474</v>
      </c>
      <c r="G29" s="54">
        <f t="shared" si="7"/>
        <v>6737</v>
      </c>
      <c r="H29" s="26"/>
      <c r="I29" s="26"/>
      <c r="J29" s="56"/>
      <c r="K29" s="56"/>
      <c r="L29" s="56"/>
      <c r="M29" s="56"/>
      <c r="N29" s="56"/>
      <c r="O29" s="56"/>
      <c r="P29" s="56">
        <v>440.38</v>
      </c>
      <c r="Q29" s="56"/>
      <c r="R29" s="56"/>
      <c r="S29" s="56"/>
      <c r="T29" s="56"/>
      <c r="U29" s="56">
        <f>F29*0.02</f>
        <v>269.48</v>
      </c>
      <c r="V29" s="56">
        <f>U29</f>
        <v>269.48</v>
      </c>
      <c r="W29" s="56"/>
      <c r="X29" s="56"/>
      <c r="Y29" s="56"/>
      <c r="Z29" s="56"/>
      <c r="AA29" s="56">
        <f>G29-SUM(J29:U29)-SUM(W29:Z29)+I29</f>
        <v>6027.14</v>
      </c>
      <c r="AB29" s="502" t="s">
        <v>143</v>
      </c>
      <c r="AC29" s="203"/>
      <c r="AD29" s="16"/>
    </row>
    <row r="30" spans="1:32" ht="19.5" customHeight="1" x14ac:dyDescent="0.2">
      <c r="A30" s="222" t="s">
        <v>144</v>
      </c>
      <c r="B30" s="30"/>
      <c r="C30" s="210" t="s">
        <v>446</v>
      </c>
      <c r="D30" s="210" t="s">
        <v>208</v>
      </c>
      <c r="E30" s="210" t="s">
        <v>175</v>
      </c>
      <c r="F30" s="54">
        <f>'[1]Reg.4(1-15)'!$F$30</f>
        <v>13474</v>
      </c>
      <c r="G30" s="54">
        <f t="shared" si="7"/>
        <v>6737</v>
      </c>
      <c r="H30" s="26"/>
      <c r="I30" s="26"/>
      <c r="J30" s="56"/>
      <c r="K30" s="56"/>
      <c r="L30" s="56"/>
      <c r="M30" s="56"/>
      <c r="N30" s="56"/>
      <c r="O30" s="56"/>
      <c r="P30" s="56">
        <v>620.41999999999996</v>
      </c>
      <c r="Q30" s="56"/>
      <c r="R30" s="56"/>
      <c r="S30" s="56"/>
      <c r="T30" s="56"/>
      <c r="U30" s="56">
        <f>F30*0.02</f>
        <v>269.48</v>
      </c>
      <c r="V30" s="56">
        <f t="shared" si="9"/>
        <v>269.48</v>
      </c>
      <c r="W30" s="56"/>
      <c r="X30" s="56"/>
      <c r="Y30" s="56"/>
      <c r="Z30" s="56"/>
      <c r="AA30" s="56">
        <f>G30-SUM(J30:U30)-SUM(W30:Z30)+I30</f>
        <v>5847.1</v>
      </c>
      <c r="AB30" s="502" t="s">
        <v>144</v>
      </c>
      <c r="AC30" s="203"/>
      <c r="AD30" s="16"/>
    </row>
    <row r="31" spans="1:32" ht="19.5" customHeight="1" thickBot="1" x14ac:dyDescent="0.25">
      <c r="A31" s="222" t="s">
        <v>145</v>
      </c>
      <c r="B31" s="30"/>
      <c r="C31" s="210" t="s">
        <v>446</v>
      </c>
      <c r="D31" s="210" t="s">
        <v>208</v>
      </c>
      <c r="E31" s="210" t="s">
        <v>175</v>
      </c>
      <c r="F31" s="54">
        <f>'[1]Reg.4(1-15)'!$F$31</f>
        <v>13474</v>
      </c>
      <c r="G31" s="54">
        <f t="shared" si="7"/>
        <v>6737</v>
      </c>
      <c r="H31" s="39"/>
      <c r="I31" s="715"/>
      <c r="J31" s="61"/>
      <c r="K31" s="61"/>
      <c r="L31" s="61"/>
      <c r="M31" s="61"/>
      <c r="N31" s="61"/>
      <c r="O31" s="61"/>
      <c r="P31" s="61"/>
      <c r="Q31" s="61"/>
      <c r="R31" s="61"/>
      <c r="S31" s="61"/>
      <c r="T31" s="61"/>
      <c r="U31" s="60">
        <f>F31*0.02</f>
        <v>269.48</v>
      </c>
      <c r="V31" s="60">
        <f t="shared" si="9"/>
        <v>269.48</v>
      </c>
      <c r="W31" s="61"/>
      <c r="X31" s="61"/>
      <c r="Y31" s="61"/>
      <c r="Z31" s="61"/>
      <c r="AA31" s="60">
        <f>G31-SUM(J31:U31)-SUM(W31:Z31)+I31</f>
        <v>6467.52</v>
      </c>
      <c r="AB31" s="502" t="s">
        <v>145</v>
      </c>
      <c r="AC31" s="203"/>
      <c r="AD31" s="16"/>
    </row>
    <row r="32" spans="1:32" ht="17.100000000000001" customHeight="1" thickBot="1" x14ac:dyDescent="0.25">
      <c r="A32" s="545" t="s">
        <v>146</v>
      </c>
      <c r="B32" s="30"/>
      <c r="C32" s="210"/>
      <c r="D32" s="210"/>
      <c r="E32" s="210"/>
      <c r="F32" s="472">
        <f t="shared" ref="F32:AA32" si="10">SUM(F25:F31)</f>
        <v>195636</v>
      </c>
      <c r="G32" s="472">
        <f t="shared" si="10"/>
        <v>97818</v>
      </c>
      <c r="H32" s="472">
        <f t="shared" si="10"/>
        <v>0</v>
      </c>
      <c r="I32" s="472">
        <f t="shared" si="10"/>
        <v>0</v>
      </c>
      <c r="J32" s="472">
        <f t="shared" si="10"/>
        <v>0</v>
      </c>
      <c r="K32" s="472">
        <f t="shared" si="10"/>
        <v>2622.24</v>
      </c>
      <c r="L32" s="472">
        <f t="shared" si="10"/>
        <v>1166.67</v>
      </c>
      <c r="M32" s="472">
        <f t="shared" si="10"/>
        <v>0</v>
      </c>
      <c r="N32" s="472">
        <f t="shared" si="10"/>
        <v>700</v>
      </c>
      <c r="O32" s="472">
        <f t="shared" si="10"/>
        <v>0</v>
      </c>
      <c r="P32" s="472">
        <f t="shared" si="10"/>
        <v>8667.67</v>
      </c>
      <c r="Q32" s="472">
        <f t="shared" si="10"/>
        <v>0</v>
      </c>
      <c r="R32" s="472">
        <f t="shared" si="10"/>
        <v>0</v>
      </c>
      <c r="S32" s="472">
        <f t="shared" si="10"/>
        <v>0</v>
      </c>
      <c r="T32" s="472">
        <f t="shared" si="10"/>
        <v>13060.95</v>
      </c>
      <c r="U32" s="472">
        <f t="shared" si="10"/>
        <v>3912.72</v>
      </c>
      <c r="V32" s="472">
        <f t="shared" si="10"/>
        <v>3912.72</v>
      </c>
      <c r="W32" s="472">
        <f t="shared" si="10"/>
        <v>0</v>
      </c>
      <c r="X32" s="472">
        <f t="shared" si="10"/>
        <v>2470.79</v>
      </c>
      <c r="Y32" s="472">
        <f t="shared" si="10"/>
        <v>0</v>
      </c>
      <c r="Z32" s="472">
        <f t="shared" si="10"/>
        <v>13615.42</v>
      </c>
      <c r="AA32" s="472">
        <f t="shared" si="10"/>
        <v>51601.540000000008</v>
      </c>
      <c r="AB32" s="502" t="s">
        <v>146</v>
      </c>
      <c r="AC32" s="204"/>
      <c r="AD32" s="16"/>
    </row>
    <row r="33" spans="1:33" ht="17.100000000000001" customHeight="1" thickTop="1" x14ac:dyDescent="0.2">
      <c r="A33" s="222" t="s">
        <v>147</v>
      </c>
      <c r="B33" s="194" t="s">
        <v>95</v>
      </c>
      <c r="C33" s="210"/>
      <c r="D33" s="1051"/>
      <c r="E33" s="1052"/>
      <c r="F33" s="55"/>
      <c r="G33" s="55"/>
      <c r="H33" s="25"/>
      <c r="I33" s="25"/>
      <c r="J33" s="55"/>
      <c r="K33" s="55"/>
      <c r="L33" s="55"/>
      <c r="M33" s="55"/>
      <c r="N33" s="55"/>
      <c r="O33" s="55"/>
      <c r="P33" s="55"/>
      <c r="Q33" s="55"/>
      <c r="R33" s="55"/>
      <c r="S33" s="55"/>
      <c r="T33" s="55"/>
      <c r="U33" s="55"/>
      <c r="V33" s="55"/>
      <c r="W33" s="55"/>
      <c r="X33" s="55"/>
      <c r="Y33" s="55"/>
      <c r="Z33" s="55"/>
      <c r="AA33" s="55"/>
      <c r="AB33" s="502" t="s">
        <v>147</v>
      </c>
      <c r="AC33" s="203"/>
      <c r="AD33" s="16"/>
    </row>
    <row r="34" spans="1:33" ht="19.5" customHeight="1" x14ac:dyDescent="0.2">
      <c r="A34" s="222" t="s">
        <v>148</v>
      </c>
      <c r="B34" s="30"/>
      <c r="C34" s="526" t="s">
        <v>508</v>
      </c>
      <c r="D34" s="935" t="s">
        <v>686</v>
      </c>
      <c r="E34" s="935"/>
      <c r="F34" s="55">
        <f>'[1]Reg.4(1-15)'!$F$34</f>
        <v>87440</v>
      </c>
      <c r="G34" s="55">
        <f t="shared" ref="G34:G40" si="11">F34/2</f>
        <v>43720</v>
      </c>
      <c r="H34" s="25"/>
      <c r="I34" s="25"/>
      <c r="J34" s="55"/>
      <c r="K34" s="55"/>
      <c r="L34" s="55"/>
      <c r="M34" s="55"/>
      <c r="N34" s="55"/>
      <c r="O34" s="55"/>
      <c r="P34" s="55"/>
      <c r="Q34" s="55"/>
      <c r="R34" s="56"/>
      <c r="S34" s="56"/>
      <c r="T34" s="56">
        <v>10783.9</v>
      </c>
      <c r="U34" s="56">
        <f t="shared" ref="U34:U40" si="12">F34*0.02</f>
        <v>1748.8</v>
      </c>
      <c r="V34" s="56">
        <f t="shared" ref="V34:V40" si="13">U34</f>
        <v>1748.8</v>
      </c>
      <c r="W34" s="55"/>
      <c r="X34" s="55"/>
      <c r="Y34" s="55"/>
      <c r="Z34" s="55"/>
      <c r="AA34" s="56">
        <f t="shared" ref="AA34:AA40" si="14">G34-SUM(J34:U34)-SUM(W34:Z34)</f>
        <v>31187.300000000003</v>
      </c>
      <c r="AB34" s="502" t="s">
        <v>148</v>
      </c>
      <c r="AC34" s="203"/>
      <c r="AD34" s="16"/>
    </row>
    <row r="35" spans="1:33" ht="19.5" customHeight="1" x14ac:dyDescent="0.2">
      <c r="A35" s="222" t="s">
        <v>150</v>
      </c>
      <c r="B35" s="30"/>
      <c r="C35" s="210" t="s">
        <v>277</v>
      </c>
      <c r="D35" s="210" t="s">
        <v>208</v>
      </c>
      <c r="E35" s="210" t="s">
        <v>175</v>
      </c>
      <c r="F35" s="54">
        <f>'[1]Reg.4(1-15)'!$F$35</f>
        <v>18730</v>
      </c>
      <c r="G35" s="54">
        <f t="shared" si="11"/>
        <v>9365</v>
      </c>
      <c r="H35" s="26"/>
      <c r="I35" s="26"/>
      <c r="J35" s="56"/>
      <c r="K35" s="56"/>
      <c r="L35" s="56"/>
      <c r="M35" s="56"/>
      <c r="N35" s="56"/>
      <c r="O35" s="56"/>
      <c r="P35" s="56">
        <v>3044.16</v>
      </c>
      <c r="Q35" s="56"/>
      <c r="R35" s="56"/>
      <c r="S35" s="56"/>
      <c r="T35" s="56"/>
      <c r="U35" s="56">
        <f t="shared" si="12"/>
        <v>374.6</v>
      </c>
      <c r="V35" s="56">
        <f t="shared" si="13"/>
        <v>374.6</v>
      </c>
      <c r="W35" s="56"/>
      <c r="X35" s="56"/>
      <c r="Y35" s="56"/>
      <c r="Z35" s="56"/>
      <c r="AA35" s="56">
        <f t="shared" si="14"/>
        <v>5946.24</v>
      </c>
      <c r="AB35" s="502" t="s">
        <v>150</v>
      </c>
      <c r="AC35" s="203"/>
      <c r="AD35" s="16"/>
      <c r="AF35" s="35"/>
    </row>
    <row r="36" spans="1:33" ht="19.5" customHeight="1" x14ac:dyDescent="0.2">
      <c r="A36" s="222" t="s">
        <v>151</v>
      </c>
      <c r="B36" s="30"/>
      <c r="C36" s="210" t="s">
        <v>83</v>
      </c>
      <c r="D36" s="210" t="s">
        <v>208</v>
      </c>
      <c r="E36" s="210" t="s">
        <v>175</v>
      </c>
      <c r="F36" s="54">
        <f>'[1]Reg.4(1-15)'!$F$36</f>
        <v>14189</v>
      </c>
      <c r="G36" s="54">
        <f t="shared" si="11"/>
        <v>7094.5</v>
      </c>
      <c r="H36" s="26"/>
      <c r="I36" s="26"/>
      <c r="J36" s="56"/>
      <c r="K36" s="56"/>
      <c r="L36" s="56"/>
      <c r="M36" s="56"/>
      <c r="N36" s="56"/>
      <c r="O36" s="56"/>
      <c r="P36" s="56"/>
      <c r="Q36" s="56"/>
      <c r="R36" s="56"/>
      <c r="S36" s="56"/>
      <c r="T36" s="56"/>
      <c r="U36" s="56">
        <f t="shared" si="12"/>
        <v>283.78000000000003</v>
      </c>
      <c r="V36" s="56">
        <f t="shared" si="13"/>
        <v>283.78000000000003</v>
      </c>
      <c r="W36" s="56"/>
      <c r="X36" s="56"/>
      <c r="Y36" s="56"/>
      <c r="Z36" s="56"/>
      <c r="AA36" s="56">
        <f t="shared" si="14"/>
        <v>6810.72</v>
      </c>
      <c r="AB36" s="502" t="s">
        <v>151</v>
      </c>
      <c r="AC36" s="203"/>
      <c r="AD36" s="16"/>
    </row>
    <row r="37" spans="1:33" ht="19.5" customHeight="1" x14ac:dyDescent="0.2">
      <c r="A37" s="545" t="s">
        <v>152</v>
      </c>
      <c r="B37" s="30"/>
      <c r="C37" s="210" t="s">
        <v>83</v>
      </c>
      <c r="D37" s="210" t="s">
        <v>208</v>
      </c>
      <c r="E37" s="210" t="s">
        <v>175</v>
      </c>
      <c r="F37" s="54">
        <v>13675</v>
      </c>
      <c r="G37" s="54">
        <f t="shared" si="11"/>
        <v>6837.5</v>
      </c>
      <c r="H37" s="26"/>
      <c r="I37" s="26"/>
      <c r="J37" s="56"/>
      <c r="K37" s="56"/>
      <c r="L37" s="56">
        <v>933.33</v>
      </c>
      <c r="M37" s="56"/>
      <c r="N37" s="56"/>
      <c r="O37" s="56"/>
      <c r="P37" s="56">
        <f>911.93+623.7</f>
        <v>1535.63</v>
      </c>
      <c r="Q37" s="56"/>
      <c r="R37" s="56"/>
      <c r="S37" s="56"/>
      <c r="T37" s="56"/>
      <c r="U37" s="56">
        <f t="shared" si="12"/>
        <v>273.5</v>
      </c>
      <c r="V37" s="56">
        <f t="shared" si="13"/>
        <v>273.5</v>
      </c>
      <c r="W37" s="56">
        <v>1524</v>
      </c>
      <c r="X37" s="56"/>
      <c r="Y37" s="58"/>
      <c r="Z37" s="56"/>
      <c r="AA37" s="56">
        <f t="shared" si="14"/>
        <v>2571.04</v>
      </c>
      <c r="AB37" s="502" t="s">
        <v>152</v>
      </c>
      <c r="AC37" s="203"/>
      <c r="AD37" s="16"/>
    </row>
    <row r="38" spans="1:33" ht="17.25" customHeight="1" x14ac:dyDescent="0.2">
      <c r="A38" s="222" t="s">
        <v>153</v>
      </c>
      <c r="B38" s="30"/>
      <c r="C38" s="210" t="s">
        <v>446</v>
      </c>
      <c r="D38" s="210" t="s">
        <v>208</v>
      </c>
      <c r="E38" s="210" t="s">
        <v>175</v>
      </c>
      <c r="F38" s="54">
        <f>'[1]Reg.4(1-15)'!$F$38</f>
        <v>13675</v>
      </c>
      <c r="G38" s="54">
        <f t="shared" si="11"/>
        <v>6837.5</v>
      </c>
      <c r="H38" s="26"/>
      <c r="I38" s="26"/>
      <c r="J38" s="56">
        <v>373.85</v>
      </c>
      <c r="K38" s="56">
        <v>655.56</v>
      </c>
      <c r="L38" s="56"/>
      <c r="M38" s="56"/>
      <c r="N38" s="56">
        <v>150</v>
      </c>
      <c r="O38" s="56"/>
      <c r="P38" s="56"/>
      <c r="Q38" s="56"/>
      <c r="R38" s="56"/>
      <c r="S38" s="56"/>
      <c r="T38" s="56"/>
      <c r="U38" s="56">
        <f t="shared" si="12"/>
        <v>273.5</v>
      </c>
      <c r="V38" s="56">
        <f t="shared" si="13"/>
        <v>273.5</v>
      </c>
      <c r="W38" s="56"/>
      <c r="X38" s="56"/>
      <c r="Y38" s="58"/>
      <c r="Z38" s="56">
        <f>1181.05+1.76</f>
        <v>1182.81</v>
      </c>
      <c r="AA38" s="56">
        <f t="shared" si="14"/>
        <v>4201.7800000000007</v>
      </c>
      <c r="AB38" s="502" t="s">
        <v>153</v>
      </c>
      <c r="AC38" s="203"/>
      <c r="AD38" s="16"/>
    </row>
    <row r="39" spans="1:33" ht="19.5" customHeight="1" x14ac:dyDescent="0.2">
      <c r="A39" s="222" t="s">
        <v>154</v>
      </c>
      <c r="B39" s="30"/>
      <c r="C39" s="210" t="s">
        <v>446</v>
      </c>
      <c r="D39" s="210" t="s">
        <v>208</v>
      </c>
      <c r="E39" s="210" t="s">
        <v>175</v>
      </c>
      <c r="F39" s="54">
        <f>'[1]Reg.4(1-15)'!$F$39</f>
        <v>13675</v>
      </c>
      <c r="G39" s="54">
        <f t="shared" si="11"/>
        <v>6837.5</v>
      </c>
      <c r="H39" s="26"/>
      <c r="I39" s="26"/>
      <c r="J39" s="56"/>
      <c r="K39" s="56">
        <v>1178.3800000000001</v>
      </c>
      <c r="L39" s="56"/>
      <c r="M39" s="56"/>
      <c r="N39" s="56"/>
      <c r="O39" s="56"/>
      <c r="P39" s="56"/>
      <c r="Q39" s="56"/>
      <c r="R39" s="56"/>
      <c r="S39" s="56"/>
      <c r="T39" s="56"/>
      <c r="U39" s="56">
        <f t="shared" si="12"/>
        <v>273.5</v>
      </c>
      <c r="V39" s="56">
        <f t="shared" si="13"/>
        <v>273.5</v>
      </c>
      <c r="W39" s="56"/>
      <c r="X39" s="56"/>
      <c r="Y39" s="56"/>
      <c r="Z39" s="56"/>
      <c r="AA39" s="56">
        <f t="shared" si="14"/>
        <v>5385.62</v>
      </c>
      <c r="AB39" s="502" t="s">
        <v>154</v>
      </c>
      <c r="AC39" s="203"/>
      <c r="AD39" s="16"/>
    </row>
    <row r="40" spans="1:33" ht="19.5" customHeight="1" thickBot="1" x14ac:dyDescent="0.25">
      <c r="A40" s="545" t="s">
        <v>155</v>
      </c>
      <c r="B40" s="530"/>
      <c r="C40" s="210" t="s">
        <v>446</v>
      </c>
      <c r="D40" s="210" t="s">
        <v>208</v>
      </c>
      <c r="E40" s="210" t="s">
        <v>175</v>
      </c>
      <c r="F40" s="62">
        <f>'[1]Reg.4(1-15)'!$F$40</f>
        <v>13474</v>
      </c>
      <c r="G40" s="62">
        <f t="shared" si="11"/>
        <v>6737</v>
      </c>
      <c r="H40" s="39"/>
      <c r="I40" s="39"/>
      <c r="J40" s="61"/>
      <c r="K40" s="61"/>
      <c r="L40" s="61"/>
      <c r="M40" s="61"/>
      <c r="N40" s="61"/>
      <c r="O40" s="61"/>
      <c r="P40" s="61"/>
      <c r="Q40" s="61"/>
      <c r="R40" s="61"/>
      <c r="S40" s="61"/>
      <c r="T40" s="61"/>
      <c r="U40" s="61">
        <f t="shared" si="12"/>
        <v>269.48</v>
      </c>
      <c r="V40" s="61">
        <f t="shared" si="13"/>
        <v>269.48</v>
      </c>
      <c r="W40" s="61"/>
      <c r="X40" s="61"/>
      <c r="Y40" s="61">
        <v>3876.21</v>
      </c>
      <c r="Z40" s="61"/>
      <c r="AA40" s="56">
        <f t="shared" si="14"/>
        <v>2591.3100000000004</v>
      </c>
      <c r="AB40" s="502" t="s">
        <v>155</v>
      </c>
      <c r="AC40" s="203"/>
      <c r="AD40" s="202"/>
    </row>
    <row r="41" spans="1:33" ht="18.75" customHeight="1" thickBot="1" x14ac:dyDescent="0.25">
      <c r="A41" s="222" t="s">
        <v>156</v>
      </c>
      <c r="B41" s="530"/>
      <c r="C41" s="531"/>
      <c r="D41" s="531"/>
      <c r="E41" s="528"/>
      <c r="F41" s="472">
        <f>SUM(F34:F40)</f>
        <v>174858</v>
      </c>
      <c r="G41" s="472">
        <f t="shared" ref="G41:AA41" si="15">SUM(G34:G40)</f>
        <v>87429</v>
      </c>
      <c r="H41" s="472">
        <f t="shared" si="15"/>
        <v>0</v>
      </c>
      <c r="I41" s="472">
        <f t="shared" si="15"/>
        <v>0</v>
      </c>
      <c r="J41" s="472">
        <f t="shared" si="15"/>
        <v>373.85</v>
      </c>
      <c r="K41" s="472">
        <f t="shared" si="15"/>
        <v>1833.94</v>
      </c>
      <c r="L41" s="472">
        <f t="shared" si="15"/>
        <v>933.33</v>
      </c>
      <c r="M41" s="472">
        <f t="shared" si="15"/>
        <v>0</v>
      </c>
      <c r="N41" s="472">
        <f>SUM(N34:N40)</f>
        <v>150</v>
      </c>
      <c r="O41" s="472">
        <f t="shared" si="15"/>
        <v>0</v>
      </c>
      <c r="P41" s="472">
        <f t="shared" si="15"/>
        <v>4579.79</v>
      </c>
      <c r="Q41" s="472">
        <f t="shared" si="15"/>
        <v>0</v>
      </c>
      <c r="R41" s="472">
        <f t="shared" si="15"/>
        <v>0</v>
      </c>
      <c r="S41" s="472">
        <f t="shared" si="15"/>
        <v>0</v>
      </c>
      <c r="T41" s="472">
        <f t="shared" si="15"/>
        <v>10783.9</v>
      </c>
      <c r="U41" s="472">
        <f t="shared" si="15"/>
        <v>3497.1600000000003</v>
      </c>
      <c r="V41" s="472">
        <f t="shared" si="15"/>
        <v>3497.1600000000003</v>
      </c>
      <c r="W41" s="472">
        <f t="shared" si="15"/>
        <v>1524</v>
      </c>
      <c r="X41" s="472">
        <f t="shared" si="15"/>
        <v>0</v>
      </c>
      <c r="Y41" s="472">
        <f t="shared" si="15"/>
        <v>3876.21</v>
      </c>
      <c r="Z41" s="472">
        <f t="shared" si="15"/>
        <v>1182.81</v>
      </c>
      <c r="AA41" s="472">
        <f t="shared" si="15"/>
        <v>58694.01</v>
      </c>
      <c r="AB41" s="502" t="s">
        <v>156</v>
      </c>
      <c r="AC41" s="204"/>
      <c r="AD41" s="202"/>
    </row>
    <row r="42" spans="1:33" ht="18.75" customHeight="1" thickTop="1" x14ac:dyDescent="0.2">
      <c r="A42" s="222" t="s">
        <v>157</v>
      </c>
      <c r="B42" s="194" t="s">
        <v>509</v>
      </c>
      <c r="C42" s="210"/>
      <c r="D42" s="210"/>
      <c r="E42" s="210"/>
      <c r="F42" s="56"/>
      <c r="G42" s="54"/>
      <c r="H42" s="26"/>
      <c r="I42" s="25"/>
      <c r="J42" s="55"/>
      <c r="K42" s="55"/>
      <c r="L42" s="55"/>
      <c r="M42" s="55"/>
      <c r="N42" s="55"/>
      <c r="O42" s="55"/>
      <c r="P42" s="55"/>
      <c r="Q42" s="55"/>
      <c r="R42" s="55"/>
      <c r="S42" s="55"/>
      <c r="T42" s="55"/>
      <c r="U42" s="55"/>
      <c r="V42" s="55"/>
      <c r="W42" s="55"/>
      <c r="X42" s="55"/>
      <c r="Y42" s="55"/>
      <c r="Z42" s="191"/>
      <c r="AA42" s="55"/>
      <c r="AB42" s="502" t="s">
        <v>157</v>
      </c>
      <c r="AC42" s="203"/>
      <c r="AD42" s="532"/>
      <c r="AE42" s="533"/>
    </row>
    <row r="43" spans="1:33" s="201" customFormat="1" ht="20.100000000000001" customHeight="1" x14ac:dyDescent="0.2">
      <c r="A43" s="545" t="s">
        <v>97</v>
      </c>
      <c r="B43" s="512"/>
      <c r="C43" s="23" t="s">
        <v>83</v>
      </c>
      <c r="D43" s="935" t="s">
        <v>686</v>
      </c>
      <c r="E43" s="935"/>
      <c r="F43" s="57">
        <f>'[1]Reg.4(1-15)'!$F$43</f>
        <v>13675</v>
      </c>
      <c r="G43" s="57">
        <f>F43/2</f>
        <v>6837.5</v>
      </c>
      <c r="H43" s="55"/>
      <c r="I43" s="55"/>
      <c r="J43" s="55"/>
      <c r="K43" s="55">
        <v>655.56</v>
      </c>
      <c r="L43" s="55">
        <v>0</v>
      </c>
      <c r="M43" s="55"/>
      <c r="N43" s="55"/>
      <c r="O43" s="55"/>
      <c r="P43" s="55">
        <v>995.56</v>
      </c>
      <c r="Q43" s="55"/>
      <c r="R43" s="55"/>
      <c r="S43" s="55"/>
      <c r="T43" s="55"/>
      <c r="U43" s="56">
        <f>F43*0.02</f>
        <v>273.5</v>
      </c>
      <c r="V43" s="56">
        <f>U43</f>
        <v>273.5</v>
      </c>
      <c r="W43" s="55"/>
      <c r="X43" s="55">
        <v>0</v>
      </c>
      <c r="Y43" s="55"/>
      <c r="Z43" s="55">
        <v>2275.3000000000002</v>
      </c>
      <c r="AA43" s="56">
        <f>G43-SUM(J43:U43)-SUM(W43:Z43)</f>
        <v>2637.58</v>
      </c>
      <c r="AB43" s="502" t="s">
        <v>97</v>
      </c>
      <c r="AC43" s="534"/>
      <c r="AD43" s="632"/>
      <c r="AE43" s="633"/>
    </row>
    <row r="44" spans="1:33" ht="20.100000000000001" customHeight="1" thickBot="1" x14ac:dyDescent="0.25">
      <c r="A44" s="222" t="s">
        <v>99</v>
      </c>
      <c r="B44" s="246"/>
      <c r="C44" s="209" t="s">
        <v>83</v>
      </c>
      <c r="D44" s="210" t="s">
        <v>208</v>
      </c>
      <c r="E44" s="210" t="s">
        <v>159</v>
      </c>
      <c r="F44" s="470">
        <f>'[1]Reg.4(1-15)'!$F$44</f>
        <v>13675</v>
      </c>
      <c r="G44" s="470">
        <f>F44/2</f>
        <v>6837.5</v>
      </c>
      <c r="H44" s="36"/>
      <c r="I44" s="36"/>
      <c r="J44" s="60"/>
      <c r="K44" s="60">
        <v>655.56</v>
      </c>
      <c r="L44" s="60"/>
      <c r="M44" s="60"/>
      <c r="N44" s="60"/>
      <c r="O44" s="60">
        <v>1666.67</v>
      </c>
      <c r="P44" s="60">
        <v>500.54</v>
      </c>
      <c r="Q44" s="60"/>
      <c r="R44" s="60"/>
      <c r="S44" s="60"/>
      <c r="T44" s="60"/>
      <c r="U44" s="60">
        <f>F44*0.02</f>
        <v>273.5</v>
      </c>
      <c r="V44" s="60">
        <f>U44</f>
        <v>273.5</v>
      </c>
      <c r="W44" s="60">
        <v>895.23</v>
      </c>
      <c r="X44" s="60">
        <v>0</v>
      </c>
      <c r="Y44" s="60"/>
      <c r="Z44" s="60">
        <v>2518.3000000000002</v>
      </c>
      <c r="AA44" s="56">
        <f>G44-SUM(J44:U44)-SUM(W44:Z44)</f>
        <v>327.69999999999982</v>
      </c>
      <c r="AB44" s="502" t="s">
        <v>99</v>
      </c>
      <c r="AC44" s="534"/>
      <c r="AD44" s="532"/>
      <c r="AE44" s="533"/>
    </row>
    <row r="45" spans="1:33" ht="20.100000000000001" customHeight="1" thickBot="1" x14ac:dyDescent="0.25">
      <c r="A45" s="222" t="s">
        <v>46</v>
      </c>
      <c r="B45" s="30"/>
      <c r="C45" s="210"/>
      <c r="D45" s="210"/>
      <c r="E45" s="210"/>
      <c r="F45" s="64">
        <f t="shared" ref="F45" si="16">SUM(F43:F44)</f>
        <v>27350</v>
      </c>
      <c r="G45" s="64">
        <f t="shared" ref="G45:Z45" si="17">SUM(G43:G44)</f>
        <v>13675</v>
      </c>
      <c r="H45" s="716">
        <f t="shared" si="17"/>
        <v>0</v>
      </c>
      <c r="I45" s="716"/>
      <c r="J45" s="64">
        <f>SUM(J43:J44)</f>
        <v>0</v>
      </c>
      <c r="K45" s="64">
        <f>SUM(K43:K44)</f>
        <v>1311.12</v>
      </c>
      <c r="L45" s="64">
        <f>SUM(L43:L44)</f>
        <v>0</v>
      </c>
      <c r="M45" s="64">
        <f t="shared" ref="M45:P45" si="18">SUM(M43:M44)</f>
        <v>0</v>
      </c>
      <c r="N45" s="64">
        <f t="shared" si="18"/>
        <v>0</v>
      </c>
      <c r="O45" s="64">
        <f>SUM(O43:O44)</f>
        <v>1666.67</v>
      </c>
      <c r="P45" s="64">
        <f t="shared" si="18"/>
        <v>1496.1</v>
      </c>
      <c r="Q45" s="64">
        <f t="shared" si="17"/>
        <v>0</v>
      </c>
      <c r="R45" s="64">
        <f>SUM(R43:R44)</f>
        <v>0</v>
      </c>
      <c r="S45" s="64">
        <f>SUM(S43:S44)</f>
        <v>0</v>
      </c>
      <c r="T45" s="64">
        <f t="shared" si="17"/>
        <v>0</v>
      </c>
      <c r="U45" s="64">
        <f t="shared" si="17"/>
        <v>547</v>
      </c>
      <c r="V45" s="64">
        <f t="shared" si="17"/>
        <v>547</v>
      </c>
      <c r="W45" s="64">
        <f>SUM(W43:W44)</f>
        <v>895.23</v>
      </c>
      <c r="X45" s="64">
        <f>SUM(X43:X44)</f>
        <v>0</v>
      </c>
      <c r="Y45" s="64">
        <f>SUM(Y43:Y44)</f>
        <v>0</v>
      </c>
      <c r="Z45" s="64">
        <f t="shared" si="17"/>
        <v>4793.6000000000004</v>
      </c>
      <c r="AA45" s="472">
        <f>SUM(AA43:AA44)</f>
        <v>2965.2799999999997</v>
      </c>
      <c r="AB45" s="502" t="s">
        <v>46</v>
      </c>
      <c r="AC45" s="204"/>
      <c r="AD45" s="20" t="s">
        <v>37</v>
      </c>
      <c r="AE45" s="529"/>
      <c r="AG45" s="529"/>
    </row>
    <row r="46" spans="1:33" ht="20.100000000000001" customHeight="1" thickTop="1" x14ac:dyDescent="0.2">
      <c r="A46" s="545" t="s">
        <v>47</v>
      </c>
      <c r="B46" s="194" t="s">
        <v>510</v>
      </c>
      <c r="C46" s="210"/>
      <c r="D46" s="210"/>
      <c r="E46" s="210"/>
      <c r="F46" s="55"/>
      <c r="G46" s="55" t="s">
        <v>37</v>
      </c>
      <c r="H46" s="25"/>
      <c r="I46" s="25"/>
      <c r="J46" s="55"/>
      <c r="K46" s="55"/>
      <c r="L46" s="55" t="s">
        <v>37</v>
      </c>
      <c r="M46" s="55"/>
      <c r="N46" s="55"/>
      <c r="O46" s="55"/>
      <c r="P46" s="55"/>
      <c r="Q46" s="55"/>
      <c r="R46" s="55"/>
      <c r="S46" s="55"/>
      <c r="T46" s="55"/>
      <c r="U46" s="55"/>
      <c r="V46" s="55"/>
      <c r="W46" s="55"/>
      <c r="X46" s="55"/>
      <c r="Y46" s="55"/>
      <c r="Z46" s="55"/>
      <c r="AA46" s="55" t="s">
        <v>37</v>
      </c>
      <c r="AB46" s="502" t="s">
        <v>47</v>
      </c>
      <c r="AC46" s="534"/>
      <c r="AD46" s="535"/>
    </row>
    <row r="47" spans="1:33" ht="20.100000000000001" customHeight="1" x14ac:dyDescent="0.2">
      <c r="A47" s="222" t="s">
        <v>100</v>
      </c>
      <c r="B47" s="30"/>
      <c r="C47" s="209" t="s">
        <v>546</v>
      </c>
      <c r="D47" s="935" t="s">
        <v>686</v>
      </c>
      <c r="E47" s="935"/>
      <c r="F47" s="54">
        <f>'[1]Reg.4(1-15)'!$F$47</f>
        <v>11952</v>
      </c>
      <c r="G47" s="54">
        <f>F47/2</f>
        <v>5976</v>
      </c>
      <c r="H47" s="26"/>
      <c r="I47" s="26"/>
      <c r="J47" s="56"/>
      <c r="K47" s="56">
        <v>587.16</v>
      </c>
      <c r="L47" s="56"/>
      <c r="M47" s="56"/>
      <c r="N47" s="56"/>
      <c r="O47" s="56"/>
      <c r="P47" s="56">
        <v>842.8</v>
      </c>
      <c r="Q47" s="56"/>
      <c r="R47" s="56"/>
      <c r="S47" s="56"/>
      <c r="T47" s="56"/>
      <c r="U47" s="56">
        <f>F47*0.02</f>
        <v>239.04</v>
      </c>
      <c r="V47" s="56">
        <f>U47</f>
        <v>239.04</v>
      </c>
      <c r="W47" s="56"/>
      <c r="X47" s="56"/>
      <c r="Y47" s="56"/>
      <c r="Z47" s="56">
        <v>2957.99</v>
      </c>
      <c r="AA47" s="56">
        <f>G47-SUM(J47:U47)-SUM(W47:Z47)</f>
        <v>1349.0100000000002</v>
      </c>
      <c r="AB47" s="502" t="s">
        <v>100</v>
      </c>
      <c r="AC47" s="534"/>
      <c r="AD47" s="535"/>
    </row>
    <row r="48" spans="1:33" ht="20.100000000000001" customHeight="1" thickBot="1" x14ac:dyDescent="0.25">
      <c r="A48" s="222" t="s">
        <v>101</v>
      </c>
      <c r="B48" s="30"/>
      <c r="C48" s="209" t="s">
        <v>83</v>
      </c>
      <c r="D48" s="210" t="s">
        <v>208</v>
      </c>
      <c r="E48" s="210" t="s">
        <v>159</v>
      </c>
      <c r="F48" s="62">
        <f>'[1]Reg.4(1-15)'!$F$48</f>
        <v>13474</v>
      </c>
      <c r="G48" s="57">
        <f>F48/2</f>
        <v>6737</v>
      </c>
      <c r="H48" s="39"/>
      <c r="I48" s="39"/>
      <c r="J48" s="61"/>
      <c r="K48" s="61">
        <v>655.56</v>
      </c>
      <c r="L48" s="61">
        <f>475+475</f>
        <v>950</v>
      </c>
      <c r="M48" s="61"/>
      <c r="N48" s="61"/>
      <c r="O48" s="61"/>
      <c r="P48" s="61">
        <v>398.53</v>
      </c>
      <c r="Q48" s="61"/>
      <c r="R48" s="61"/>
      <c r="S48" s="61"/>
      <c r="T48" s="61"/>
      <c r="U48" s="56">
        <f>F48*0.02</f>
        <v>269.48</v>
      </c>
      <c r="V48" s="56">
        <f>U48</f>
        <v>269.48</v>
      </c>
      <c r="W48" s="61"/>
      <c r="X48" s="61"/>
      <c r="Y48" s="61"/>
      <c r="Z48" s="61">
        <f>1660.72+1660.71</f>
        <v>3321.4300000000003</v>
      </c>
      <c r="AA48" s="56">
        <f>G48-SUM(J48:U48)-SUM(W48:Z48)</f>
        <v>1142</v>
      </c>
      <c r="AB48" s="502" t="s">
        <v>101</v>
      </c>
      <c r="AC48" s="534"/>
      <c r="AD48" s="535"/>
    </row>
    <row r="49" spans="1:31" ht="20.100000000000001" customHeight="1" thickBot="1" x14ac:dyDescent="0.25">
      <c r="A49" s="545" t="s">
        <v>162</v>
      </c>
      <c r="B49" s="30"/>
      <c r="C49" s="210"/>
      <c r="D49" s="210"/>
      <c r="E49" s="210"/>
      <c r="F49" s="472">
        <f>SUM(F47:F48)</f>
        <v>25426</v>
      </c>
      <c r="G49" s="472">
        <f t="shared" ref="G49:AA49" si="19">SUM(G47:G48)</f>
        <v>12713</v>
      </c>
      <c r="H49" s="472">
        <f t="shared" si="19"/>
        <v>0</v>
      </c>
      <c r="I49" s="472"/>
      <c r="J49" s="472">
        <f t="shared" si="19"/>
        <v>0</v>
      </c>
      <c r="K49" s="472">
        <f t="shared" si="19"/>
        <v>1242.7199999999998</v>
      </c>
      <c r="L49" s="472">
        <f t="shared" si="19"/>
        <v>950</v>
      </c>
      <c r="M49" s="472">
        <f t="shared" si="19"/>
        <v>0</v>
      </c>
      <c r="N49" s="472">
        <f t="shared" si="19"/>
        <v>0</v>
      </c>
      <c r="O49" s="472">
        <f t="shared" si="19"/>
        <v>0</v>
      </c>
      <c r="P49" s="472">
        <f t="shared" si="19"/>
        <v>1241.33</v>
      </c>
      <c r="Q49" s="472">
        <f t="shared" si="19"/>
        <v>0</v>
      </c>
      <c r="R49" s="472">
        <f t="shared" si="19"/>
        <v>0</v>
      </c>
      <c r="S49" s="472">
        <f t="shared" si="19"/>
        <v>0</v>
      </c>
      <c r="T49" s="472">
        <f t="shared" si="19"/>
        <v>0</v>
      </c>
      <c r="U49" s="472">
        <f t="shared" si="19"/>
        <v>508.52</v>
      </c>
      <c r="V49" s="472">
        <f t="shared" si="19"/>
        <v>508.52</v>
      </c>
      <c r="W49" s="472">
        <f t="shared" si="19"/>
        <v>0</v>
      </c>
      <c r="X49" s="472">
        <f t="shared" si="19"/>
        <v>0</v>
      </c>
      <c r="Y49" s="472">
        <f t="shared" si="19"/>
        <v>0</v>
      </c>
      <c r="Z49" s="472">
        <f t="shared" si="19"/>
        <v>6279.42</v>
      </c>
      <c r="AA49" s="472">
        <f t="shared" si="19"/>
        <v>2491.0100000000002</v>
      </c>
      <c r="AB49" s="502" t="s">
        <v>162</v>
      </c>
      <c r="AC49" s="204"/>
      <c r="AD49" s="535"/>
    </row>
    <row r="50" spans="1:31" ht="20.100000000000001" customHeight="1" thickTop="1" x14ac:dyDescent="0.2">
      <c r="A50" s="222" t="s">
        <v>177</v>
      </c>
      <c r="B50" s="194" t="s">
        <v>428</v>
      </c>
      <c r="C50" s="210"/>
      <c r="D50" s="210"/>
      <c r="E50" s="210"/>
      <c r="F50" s="55" t="s">
        <v>37</v>
      </c>
      <c r="G50" s="55" t="s">
        <v>37</v>
      </c>
      <c r="H50" s="26"/>
      <c r="I50" s="26"/>
      <c r="J50" s="56"/>
      <c r="K50" s="56"/>
      <c r="L50" s="56"/>
      <c r="M50" s="56"/>
      <c r="N50" s="56"/>
      <c r="O50" s="56"/>
      <c r="P50" s="56"/>
      <c r="Q50" s="56"/>
      <c r="R50" s="56"/>
      <c r="S50" s="56"/>
      <c r="T50" s="56"/>
      <c r="U50" s="56"/>
      <c r="V50" s="56"/>
      <c r="W50" s="56"/>
      <c r="X50" s="56"/>
      <c r="Y50" s="56"/>
      <c r="Z50" s="45"/>
      <c r="AA50" s="55" t="s">
        <v>37</v>
      </c>
      <c r="AB50" s="502" t="s">
        <v>177</v>
      </c>
      <c r="AC50" s="203"/>
      <c r="AD50" s="16"/>
    </row>
    <row r="51" spans="1:31" ht="20.100000000000001" customHeight="1" x14ac:dyDescent="0.2">
      <c r="A51" s="545" t="s">
        <v>179</v>
      </c>
      <c r="B51" s="44"/>
      <c r="C51" s="209" t="s">
        <v>668</v>
      </c>
      <c r="D51" s="935" t="s">
        <v>686</v>
      </c>
      <c r="E51" s="935"/>
      <c r="F51" s="45">
        <f>'[1]Reg.4(1-15)'!$F$51</f>
        <v>17094</v>
      </c>
      <c r="G51" s="507">
        <f t="shared" ref="G51:G60" si="20">F51/2</f>
        <v>8547</v>
      </c>
      <c r="H51" s="56"/>
      <c r="I51" s="56"/>
      <c r="J51" s="56"/>
      <c r="K51" s="56">
        <v>655.36</v>
      </c>
      <c r="L51" s="56">
        <v>1400</v>
      </c>
      <c r="M51" s="56"/>
      <c r="N51" s="56"/>
      <c r="O51" s="56"/>
      <c r="P51" s="56">
        <v>1174.49</v>
      </c>
      <c r="Q51" s="56"/>
      <c r="R51" s="55"/>
      <c r="S51" s="55"/>
      <c r="T51" s="55"/>
      <c r="U51" s="56">
        <f>F51*0.02</f>
        <v>341.88</v>
      </c>
      <c r="V51" s="56">
        <f t="shared" ref="V51:V60" si="21">U51</f>
        <v>341.88</v>
      </c>
      <c r="W51" s="56">
        <v>1128.98</v>
      </c>
      <c r="X51" s="56"/>
      <c r="Y51" s="58"/>
      <c r="Z51" s="45"/>
      <c r="AA51" s="56">
        <f t="shared" ref="AA51:AA60" si="22">G51-SUM(J51:U51)-SUM(W51:Z51)</f>
        <v>3846.2899999999995</v>
      </c>
      <c r="AB51" s="502" t="s">
        <v>179</v>
      </c>
      <c r="AC51" s="203"/>
      <c r="AD51" s="16"/>
    </row>
    <row r="52" spans="1:31" ht="20.100000000000001" customHeight="1" x14ac:dyDescent="0.2">
      <c r="A52" s="222" t="s">
        <v>180</v>
      </c>
      <c r="B52" s="44"/>
      <c r="C52" s="209" t="s">
        <v>499</v>
      </c>
      <c r="D52" s="210" t="s">
        <v>208</v>
      </c>
      <c r="E52" s="210" t="s">
        <v>175</v>
      </c>
      <c r="F52" s="45">
        <f>'[1]Reg.4(1-15)'!$F$52</f>
        <v>14414</v>
      </c>
      <c r="G52" s="507">
        <f t="shared" si="20"/>
        <v>7207</v>
      </c>
      <c r="H52" s="56"/>
      <c r="I52" s="56"/>
      <c r="J52" s="56"/>
      <c r="K52" s="56">
        <v>1311.12</v>
      </c>
      <c r="L52" s="56"/>
      <c r="M52" s="56"/>
      <c r="N52" s="56"/>
      <c r="O52" s="56">
        <v>983.34</v>
      </c>
      <c r="P52" s="56">
        <f>840.77</f>
        <v>840.77</v>
      </c>
      <c r="Q52" s="56"/>
      <c r="R52" s="55"/>
      <c r="S52" s="55"/>
      <c r="T52" s="55"/>
      <c r="U52" s="56">
        <f t="shared" ref="U52:U60" si="23">F52*0.02</f>
        <v>288.28000000000003</v>
      </c>
      <c r="V52" s="56">
        <f t="shared" si="21"/>
        <v>288.28000000000003</v>
      </c>
      <c r="W52" s="56"/>
      <c r="X52" s="56"/>
      <c r="Y52" s="56"/>
      <c r="Z52" s="45">
        <v>2260.04</v>
      </c>
      <c r="AA52" s="56">
        <f t="shared" si="22"/>
        <v>1523.4499999999998</v>
      </c>
      <c r="AB52" s="502" t="s">
        <v>180</v>
      </c>
      <c r="AC52" s="203"/>
      <c r="AD52" s="16"/>
    </row>
    <row r="53" spans="1:31" ht="20.100000000000001" customHeight="1" x14ac:dyDescent="0.2">
      <c r="A53" s="222" t="s">
        <v>181</v>
      </c>
      <c r="B53" s="30"/>
      <c r="C53" s="209" t="s">
        <v>499</v>
      </c>
      <c r="D53" s="210" t="s">
        <v>208</v>
      </c>
      <c r="E53" s="210" t="s">
        <v>175</v>
      </c>
      <c r="F53" s="54">
        <f>'[1]Reg.4(1-15)'!$F$53</f>
        <v>14308</v>
      </c>
      <c r="G53" s="54">
        <f t="shared" si="20"/>
        <v>7154</v>
      </c>
      <c r="H53" s="210"/>
      <c r="I53" s="210"/>
      <c r="J53" s="32"/>
      <c r="K53" s="613"/>
      <c r="L53" s="32">
        <v>583.34</v>
      </c>
      <c r="M53" s="32"/>
      <c r="N53" s="32"/>
      <c r="O53" s="32"/>
      <c r="P53" s="32"/>
      <c r="Q53" s="32"/>
      <c r="R53" s="55"/>
      <c r="S53" s="55"/>
      <c r="T53" s="55"/>
      <c r="U53" s="56">
        <f t="shared" si="23"/>
        <v>286.16000000000003</v>
      </c>
      <c r="V53" s="56">
        <f t="shared" si="21"/>
        <v>286.16000000000003</v>
      </c>
      <c r="W53" s="32">
        <v>687.32</v>
      </c>
      <c r="X53" s="32"/>
      <c r="Y53" s="56"/>
      <c r="Z53" s="45">
        <v>3336.67</v>
      </c>
      <c r="AA53" s="56">
        <f t="shared" si="22"/>
        <v>2260.5099999999998</v>
      </c>
      <c r="AB53" s="502" t="s">
        <v>181</v>
      </c>
      <c r="AC53" s="204"/>
      <c r="AD53" s="20"/>
      <c r="AE53" s="529"/>
    </row>
    <row r="54" spans="1:31" ht="20.100000000000001" customHeight="1" x14ac:dyDescent="0.2">
      <c r="A54" s="222" t="s">
        <v>186</v>
      </c>
      <c r="B54" s="30"/>
      <c r="C54" s="209" t="s">
        <v>499</v>
      </c>
      <c r="D54" s="210" t="s">
        <v>208</v>
      </c>
      <c r="E54" s="210" t="s">
        <v>175</v>
      </c>
      <c r="F54" s="54">
        <f>'[1]Reg.4(1-15)'!$F$54</f>
        <v>14308</v>
      </c>
      <c r="G54" s="54">
        <f>F54/2</f>
        <v>7154</v>
      </c>
      <c r="H54" s="210"/>
      <c r="I54" s="210"/>
      <c r="J54" s="32"/>
      <c r="K54" s="32"/>
      <c r="L54" s="32"/>
      <c r="M54" s="32"/>
      <c r="N54" s="32"/>
      <c r="O54" s="32"/>
      <c r="P54" s="32"/>
      <c r="Q54" s="32"/>
      <c r="R54" s="56"/>
      <c r="S54" s="56"/>
      <c r="T54" s="56"/>
      <c r="U54" s="56">
        <f t="shared" si="23"/>
        <v>286.16000000000003</v>
      </c>
      <c r="V54" s="56">
        <f>U54</f>
        <v>286.16000000000003</v>
      </c>
      <c r="W54" s="32"/>
      <c r="X54" s="32"/>
      <c r="Y54" s="56"/>
      <c r="Z54" s="45"/>
      <c r="AA54" s="56">
        <f t="shared" si="22"/>
        <v>6867.84</v>
      </c>
      <c r="AB54" s="502" t="s">
        <v>186</v>
      </c>
      <c r="AC54" s="204"/>
      <c r="AD54" s="20"/>
      <c r="AE54" s="529"/>
    </row>
    <row r="55" spans="1:31" ht="20.100000000000001" customHeight="1" x14ac:dyDescent="0.2">
      <c r="A55" s="545" t="s">
        <v>189</v>
      </c>
      <c r="B55" s="30"/>
      <c r="C55" s="209" t="s">
        <v>499</v>
      </c>
      <c r="D55" s="210" t="s">
        <v>208</v>
      </c>
      <c r="E55" s="210" t="s">
        <v>175</v>
      </c>
      <c r="F55" s="54">
        <f>'[1]Reg.4(1-15)'!$F$55</f>
        <v>14308</v>
      </c>
      <c r="G55" s="54">
        <f t="shared" si="20"/>
        <v>7154</v>
      </c>
      <c r="H55" s="210"/>
      <c r="I55" s="210"/>
      <c r="J55" s="32"/>
      <c r="K55" s="32">
        <v>655.56</v>
      </c>
      <c r="L55" s="32">
        <v>583.33000000000004</v>
      </c>
      <c r="M55" s="32"/>
      <c r="N55" s="32"/>
      <c r="O55" s="32"/>
      <c r="P55" s="32"/>
      <c r="Q55" s="32"/>
      <c r="R55" s="56"/>
      <c r="S55" s="56"/>
      <c r="T55" s="56"/>
      <c r="U55" s="56">
        <f t="shared" si="23"/>
        <v>286.16000000000003</v>
      </c>
      <c r="V55" s="56">
        <f t="shared" si="21"/>
        <v>286.16000000000003</v>
      </c>
      <c r="W55" s="32"/>
      <c r="X55" s="32"/>
      <c r="Y55" s="56"/>
      <c r="Z55" s="45">
        <v>2521.7399999999998</v>
      </c>
      <c r="AA55" s="56">
        <f t="shared" si="22"/>
        <v>3107.21</v>
      </c>
      <c r="AB55" s="502" t="s">
        <v>189</v>
      </c>
      <c r="AC55" s="204"/>
      <c r="AD55" s="20"/>
      <c r="AE55" s="529"/>
    </row>
    <row r="56" spans="1:31" ht="20.100000000000001" customHeight="1" x14ac:dyDescent="0.2">
      <c r="A56" s="222" t="s">
        <v>190</v>
      </c>
      <c r="B56" s="44"/>
      <c r="C56" s="209" t="s">
        <v>499</v>
      </c>
      <c r="D56" s="210" t="s">
        <v>208</v>
      </c>
      <c r="E56" s="210" t="s">
        <v>175</v>
      </c>
      <c r="F56" s="54">
        <f>'[1]Reg.4(1-15)'!$F$56</f>
        <v>14308</v>
      </c>
      <c r="G56" s="54">
        <f t="shared" si="20"/>
        <v>7154</v>
      </c>
      <c r="H56" s="210"/>
      <c r="I56" s="210"/>
      <c r="J56" s="32"/>
      <c r="K56" s="32"/>
      <c r="L56" s="32"/>
      <c r="M56" s="32"/>
      <c r="N56" s="32"/>
      <c r="O56" s="32"/>
      <c r="P56" s="32"/>
      <c r="Q56" s="32"/>
      <c r="R56" s="56"/>
      <c r="S56" s="56"/>
      <c r="T56" s="56"/>
      <c r="U56" s="56">
        <f t="shared" si="23"/>
        <v>286.16000000000003</v>
      </c>
      <c r="V56" s="56">
        <f t="shared" si="21"/>
        <v>286.16000000000003</v>
      </c>
      <c r="W56" s="32"/>
      <c r="X56" s="32"/>
      <c r="Y56" s="56"/>
      <c r="Z56" s="45"/>
      <c r="AA56" s="56">
        <f t="shared" si="22"/>
        <v>6867.84</v>
      </c>
      <c r="AB56" s="502" t="s">
        <v>190</v>
      </c>
      <c r="AC56" s="204"/>
      <c r="AD56" s="20"/>
      <c r="AE56" s="529"/>
    </row>
    <row r="57" spans="1:31" ht="20.100000000000001" customHeight="1" x14ac:dyDescent="0.2">
      <c r="A57" s="222" t="s">
        <v>191</v>
      </c>
      <c r="B57" s="30"/>
      <c r="C57" s="210" t="s">
        <v>446</v>
      </c>
      <c r="D57" s="210" t="s">
        <v>208</v>
      </c>
      <c r="E57" s="210" t="s">
        <v>175</v>
      </c>
      <c r="F57" s="54">
        <f>'[1]Reg.4(1-15)'!$F$57</f>
        <v>13474</v>
      </c>
      <c r="G57" s="54">
        <f t="shared" si="20"/>
        <v>6737</v>
      </c>
      <c r="H57" s="210"/>
      <c r="I57" s="733"/>
      <c r="J57" s="32"/>
      <c r="K57" s="32"/>
      <c r="L57" s="32"/>
      <c r="M57" s="32"/>
      <c r="N57" s="32"/>
      <c r="O57" s="32"/>
      <c r="P57" s="32"/>
      <c r="Q57" s="32"/>
      <c r="R57" s="56"/>
      <c r="S57" s="56"/>
      <c r="T57" s="56"/>
      <c r="U57" s="56">
        <f t="shared" si="23"/>
        <v>269.48</v>
      </c>
      <c r="V57" s="56">
        <f t="shared" si="21"/>
        <v>269.48</v>
      </c>
      <c r="W57" s="32"/>
      <c r="X57" s="32"/>
      <c r="Y57" s="56"/>
      <c r="Z57" s="45"/>
      <c r="AA57" s="56">
        <f t="shared" si="22"/>
        <v>6467.52</v>
      </c>
      <c r="AB57" s="502" t="s">
        <v>191</v>
      </c>
      <c r="AC57" s="204"/>
      <c r="AD57" s="20"/>
      <c r="AE57" s="529"/>
    </row>
    <row r="58" spans="1:31" ht="20.100000000000001" customHeight="1" x14ac:dyDescent="0.2">
      <c r="A58" s="222" t="s">
        <v>192</v>
      </c>
      <c r="B58" s="44"/>
      <c r="C58" s="210" t="s">
        <v>446</v>
      </c>
      <c r="D58" s="210" t="s">
        <v>208</v>
      </c>
      <c r="E58" s="210" t="s">
        <v>175</v>
      </c>
      <c r="F58" s="54">
        <f>'[1]Reg.4(1-15)'!$F$58</f>
        <v>13474</v>
      </c>
      <c r="G58" s="54">
        <f t="shared" si="20"/>
        <v>6737</v>
      </c>
      <c r="H58" s="210"/>
      <c r="I58" s="210"/>
      <c r="J58" s="32"/>
      <c r="K58" s="32"/>
      <c r="L58" s="32"/>
      <c r="M58" s="32"/>
      <c r="N58" s="32"/>
      <c r="O58" s="32"/>
      <c r="P58" s="32"/>
      <c r="Q58" s="32"/>
      <c r="R58" s="56"/>
      <c r="S58" s="56"/>
      <c r="T58" s="56"/>
      <c r="U58" s="56">
        <f t="shared" si="23"/>
        <v>269.48</v>
      </c>
      <c r="V58" s="56">
        <f t="shared" si="21"/>
        <v>269.48</v>
      </c>
      <c r="W58" s="32"/>
      <c r="X58" s="32"/>
      <c r="Y58" s="56"/>
      <c r="Z58" s="45"/>
      <c r="AA58" s="56">
        <f t="shared" si="22"/>
        <v>6467.52</v>
      </c>
      <c r="AB58" s="502" t="s">
        <v>192</v>
      </c>
      <c r="AC58" s="204"/>
      <c r="AD58" s="20"/>
      <c r="AE58" s="529"/>
    </row>
    <row r="59" spans="1:31" ht="20.100000000000001" customHeight="1" x14ac:dyDescent="0.2">
      <c r="A59" s="545" t="s">
        <v>193</v>
      </c>
      <c r="B59" s="44"/>
      <c r="C59" s="210" t="s">
        <v>446</v>
      </c>
      <c r="D59" s="210" t="s">
        <v>208</v>
      </c>
      <c r="E59" s="210" t="s">
        <v>175</v>
      </c>
      <c r="F59" s="54">
        <f>'[1]Reg.4(1-15)'!$F$59</f>
        <v>13474</v>
      </c>
      <c r="G59" s="54">
        <f t="shared" si="20"/>
        <v>6737</v>
      </c>
      <c r="H59" s="210"/>
      <c r="I59" s="210"/>
      <c r="J59" s="32"/>
      <c r="K59" s="32"/>
      <c r="L59" s="32"/>
      <c r="M59" s="32"/>
      <c r="N59" s="32"/>
      <c r="O59" s="32"/>
      <c r="P59" s="32"/>
      <c r="Q59" s="32"/>
      <c r="R59" s="56"/>
      <c r="S59" s="56"/>
      <c r="T59" s="56"/>
      <c r="U59" s="56">
        <f t="shared" si="23"/>
        <v>269.48</v>
      </c>
      <c r="V59" s="56">
        <f t="shared" si="21"/>
        <v>269.48</v>
      </c>
      <c r="W59" s="32"/>
      <c r="X59" s="32"/>
      <c r="Y59" s="56"/>
      <c r="Z59" s="45"/>
      <c r="AA59" s="56">
        <f t="shared" si="22"/>
        <v>6467.52</v>
      </c>
      <c r="AB59" s="502" t="s">
        <v>193</v>
      </c>
      <c r="AC59" s="204"/>
      <c r="AD59" s="20"/>
      <c r="AE59" s="529"/>
    </row>
    <row r="60" spans="1:31" ht="20.100000000000001" customHeight="1" thickBot="1" x14ac:dyDescent="0.25">
      <c r="A60" s="222" t="s">
        <v>194</v>
      </c>
      <c r="B60" s="44"/>
      <c r="C60" s="210" t="s">
        <v>446</v>
      </c>
      <c r="D60" s="210" t="s">
        <v>208</v>
      </c>
      <c r="E60" s="210" t="s">
        <v>175</v>
      </c>
      <c r="F60" s="62">
        <f>'[1]Reg.4(1-15)'!$F$60</f>
        <v>13474</v>
      </c>
      <c r="G60" s="470">
        <f t="shared" si="20"/>
        <v>6737</v>
      </c>
      <c r="H60" s="717"/>
      <c r="I60" s="717"/>
      <c r="J60" s="714"/>
      <c r="K60" s="714"/>
      <c r="L60" s="714"/>
      <c r="M60" s="714"/>
      <c r="N60" s="714"/>
      <c r="O60" s="714"/>
      <c r="P60" s="714"/>
      <c r="Q60" s="714"/>
      <c r="R60" s="61"/>
      <c r="S60" s="61"/>
      <c r="T60" s="61"/>
      <c r="U60" s="60">
        <f t="shared" si="23"/>
        <v>269.48</v>
      </c>
      <c r="V60" s="60">
        <f t="shared" si="21"/>
        <v>269.48</v>
      </c>
      <c r="W60" s="714"/>
      <c r="X60" s="714"/>
      <c r="Y60" s="61"/>
      <c r="Z60" s="368"/>
      <c r="AA60" s="60">
        <f t="shared" si="22"/>
        <v>6467.52</v>
      </c>
      <c r="AB60" s="502" t="s">
        <v>194</v>
      </c>
      <c r="AC60" s="204"/>
      <c r="AD60" s="20"/>
      <c r="AE60" s="529"/>
    </row>
    <row r="61" spans="1:31" ht="20.100000000000001" customHeight="1" thickBot="1" x14ac:dyDescent="0.25">
      <c r="A61" s="222" t="s">
        <v>195</v>
      </c>
      <c r="B61" s="30"/>
      <c r="C61" s="210"/>
      <c r="D61" s="210"/>
      <c r="E61" s="210"/>
      <c r="F61" s="472">
        <f t="shared" ref="F61:AA61" si="24">SUM(F51:F60)</f>
        <v>142636</v>
      </c>
      <c r="G61" s="472">
        <f t="shared" si="24"/>
        <v>71318</v>
      </c>
      <c r="H61" s="472">
        <f t="shared" si="24"/>
        <v>0</v>
      </c>
      <c r="I61" s="472">
        <f t="shared" si="24"/>
        <v>0</v>
      </c>
      <c r="J61" s="472">
        <f t="shared" si="24"/>
        <v>0</v>
      </c>
      <c r="K61" s="472">
        <f t="shared" si="24"/>
        <v>2622.04</v>
      </c>
      <c r="L61" s="472">
        <f t="shared" si="24"/>
        <v>2566.67</v>
      </c>
      <c r="M61" s="472">
        <f t="shared" si="24"/>
        <v>0</v>
      </c>
      <c r="N61" s="472">
        <f t="shared" si="24"/>
        <v>0</v>
      </c>
      <c r="O61" s="472">
        <f t="shared" si="24"/>
        <v>983.34</v>
      </c>
      <c r="P61" s="472">
        <f t="shared" si="24"/>
        <v>2015.26</v>
      </c>
      <c r="Q61" s="472">
        <f t="shared" si="24"/>
        <v>0</v>
      </c>
      <c r="R61" s="472">
        <f t="shared" si="24"/>
        <v>0</v>
      </c>
      <c r="S61" s="472">
        <f t="shared" si="24"/>
        <v>0</v>
      </c>
      <c r="T61" s="472">
        <f t="shared" si="24"/>
        <v>0</v>
      </c>
      <c r="U61" s="472">
        <f t="shared" si="24"/>
        <v>2852.7200000000003</v>
      </c>
      <c r="V61" s="472">
        <f t="shared" si="24"/>
        <v>2852.7200000000003</v>
      </c>
      <c r="W61" s="472">
        <f t="shared" si="24"/>
        <v>1816.3000000000002</v>
      </c>
      <c r="X61" s="472">
        <f t="shared" si="24"/>
        <v>0</v>
      </c>
      <c r="Y61" s="472">
        <f t="shared" si="24"/>
        <v>0</v>
      </c>
      <c r="Z61" s="472">
        <f t="shared" si="24"/>
        <v>8118.45</v>
      </c>
      <c r="AA61" s="472">
        <f t="shared" si="24"/>
        <v>50343.22</v>
      </c>
      <c r="AB61" s="502" t="s">
        <v>195</v>
      </c>
      <c r="AC61" s="204"/>
      <c r="AD61" s="20"/>
      <c r="AE61" s="529"/>
    </row>
    <row r="62" spans="1:31" ht="20.100000000000001" customHeight="1" thickTop="1" thickBot="1" x14ac:dyDescent="0.25">
      <c r="A62" s="48" t="s">
        <v>217</v>
      </c>
      <c r="B62" s="31" t="s">
        <v>541</v>
      </c>
      <c r="C62" s="536"/>
      <c r="D62" s="211"/>
      <c r="E62" s="536"/>
      <c r="F62" s="64">
        <f t="shared" ref="F62:AA62" si="25">F61+F49+F45+F41+F32+F23</f>
        <v>787901</v>
      </c>
      <c r="G62" s="64">
        <f t="shared" si="25"/>
        <v>393950.5</v>
      </c>
      <c r="H62" s="64">
        <f t="shared" si="25"/>
        <v>0</v>
      </c>
      <c r="I62" s="64">
        <f>I61+I49+I45+I41+I32+I23</f>
        <v>0</v>
      </c>
      <c r="J62" s="64">
        <f t="shared" si="25"/>
        <v>373.85</v>
      </c>
      <c r="K62" s="64">
        <f t="shared" si="25"/>
        <v>16528.399999999998</v>
      </c>
      <c r="L62" s="64">
        <f t="shared" si="25"/>
        <v>9463.89</v>
      </c>
      <c r="M62" s="64">
        <f t="shared" si="25"/>
        <v>0</v>
      </c>
      <c r="N62" s="64">
        <f t="shared" si="25"/>
        <v>950</v>
      </c>
      <c r="O62" s="64">
        <f t="shared" si="25"/>
        <v>8550.02</v>
      </c>
      <c r="P62" s="64">
        <f t="shared" si="25"/>
        <v>28135.010000000002</v>
      </c>
      <c r="Q62" s="64">
        <f t="shared" si="25"/>
        <v>0</v>
      </c>
      <c r="R62" s="64">
        <f t="shared" si="25"/>
        <v>0</v>
      </c>
      <c r="S62" s="64">
        <f t="shared" si="25"/>
        <v>0</v>
      </c>
      <c r="T62" s="64">
        <f t="shared" si="25"/>
        <v>33767.43</v>
      </c>
      <c r="U62" s="64">
        <f t="shared" si="25"/>
        <v>15758.02</v>
      </c>
      <c r="V62" s="64">
        <f t="shared" si="25"/>
        <v>15758.02</v>
      </c>
      <c r="W62" s="64">
        <f t="shared" si="25"/>
        <v>12123.060000000001</v>
      </c>
      <c r="X62" s="64">
        <f t="shared" si="25"/>
        <v>2470.79</v>
      </c>
      <c r="Y62" s="64">
        <f t="shared" si="25"/>
        <v>9776.2099999999991</v>
      </c>
      <c r="Z62" s="64">
        <f t="shared" si="25"/>
        <v>47002.86</v>
      </c>
      <c r="AA62" s="64">
        <f t="shared" si="25"/>
        <v>209050.96</v>
      </c>
      <c r="AB62" s="514" t="s">
        <v>217</v>
      </c>
      <c r="AC62" s="206"/>
      <c r="AD62" s="49"/>
    </row>
    <row r="63" spans="1:31" ht="5.25" customHeight="1" thickTop="1" x14ac:dyDescent="0.25">
      <c r="F63" s="469"/>
      <c r="G63" s="469"/>
      <c r="H63" s="469"/>
      <c r="I63" s="469"/>
      <c r="J63" s="469"/>
      <c r="K63" s="469" t="s">
        <v>102</v>
      </c>
      <c r="L63" s="469"/>
      <c r="M63" s="469"/>
      <c r="N63" s="469"/>
      <c r="O63" s="469"/>
      <c r="P63" s="469"/>
      <c r="Q63" s="469"/>
      <c r="R63" s="469"/>
      <c r="S63" s="469"/>
      <c r="T63" s="469"/>
      <c r="U63" s="469"/>
      <c r="V63" s="469"/>
      <c r="W63" s="469"/>
      <c r="X63" s="469"/>
      <c r="Y63" s="469"/>
      <c r="Z63" s="490"/>
      <c r="AA63" s="469"/>
      <c r="AB63" s="469"/>
      <c r="AC63" s="18"/>
    </row>
    <row r="64" spans="1:31" ht="5.25" customHeight="1" x14ac:dyDescent="0.2">
      <c r="AA64" s="1088" t="s">
        <v>48</v>
      </c>
      <c r="AB64" s="1088"/>
      <c r="AC64" s="1088"/>
      <c r="AD64" s="1088"/>
    </row>
    <row r="65" spans="1:31" ht="8.25" customHeight="1" x14ac:dyDescent="0.2">
      <c r="A65" s="889" t="s">
        <v>49</v>
      </c>
      <c r="B65" s="889"/>
      <c r="C65" s="889"/>
      <c r="D65" s="889"/>
      <c r="E65" s="889"/>
      <c r="F65" s="889"/>
      <c r="G65" s="35"/>
      <c r="M65" s="17"/>
      <c r="N65" s="17"/>
      <c r="O65" s="17"/>
      <c r="P65" s="17"/>
      <c r="Q65" s="17"/>
      <c r="S65" s="17"/>
      <c r="T65" s="17"/>
      <c r="AA65" s="1088"/>
      <c r="AB65" s="1088"/>
      <c r="AC65" s="1088"/>
      <c r="AD65" s="1088"/>
    </row>
    <row r="66" spans="1:31" ht="11.25" customHeight="1" x14ac:dyDescent="0.2">
      <c r="A66" s="889"/>
      <c r="B66" s="889"/>
      <c r="C66" s="889"/>
      <c r="D66" s="889"/>
      <c r="E66" s="889"/>
      <c r="F66" s="889"/>
      <c r="V66" s="17" t="s">
        <v>363</v>
      </c>
      <c r="Y66" s="17"/>
      <c r="AA66" s="1088"/>
      <c r="AB66" s="1088"/>
      <c r="AC66" s="1088"/>
      <c r="AD66" s="1088"/>
    </row>
    <row r="67" spans="1:31" ht="9" customHeight="1" x14ac:dyDescent="0.2">
      <c r="A67" s="889"/>
      <c r="B67" s="889"/>
      <c r="C67" s="889"/>
      <c r="D67" s="889"/>
      <c r="E67" s="889"/>
      <c r="F67" s="889"/>
      <c r="J67" s="921"/>
      <c r="K67" s="921"/>
      <c r="L67" s="921"/>
      <c r="M67" s="921"/>
      <c r="N67" s="921"/>
      <c r="O67" s="921"/>
      <c r="P67" s="921"/>
      <c r="Q67" s="921"/>
      <c r="AA67" s="1088"/>
      <c r="AB67" s="1088"/>
      <c r="AC67" s="1088"/>
      <c r="AD67" s="1088"/>
    </row>
    <row r="68" spans="1:31" ht="12.75" x14ac:dyDescent="0.2">
      <c r="J68" s="824"/>
      <c r="K68" s="824"/>
      <c r="L68" s="824"/>
      <c r="M68" s="824"/>
      <c r="N68" s="824"/>
      <c r="O68" s="824"/>
      <c r="P68" s="824"/>
      <c r="Q68" s="824"/>
      <c r="AA68" s="1088"/>
      <c r="AB68" s="1088"/>
      <c r="AC68" s="1088"/>
      <c r="AD68" s="1088"/>
    </row>
    <row r="69" spans="1:31" ht="14.25" x14ac:dyDescent="0.2">
      <c r="D69" s="1083" t="s">
        <v>673</v>
      </c>
      <c r="E69" s="1083"/>
      <c r="F69" s="1083"/>
      <c r="G69" s="522"/>
      <c r="J69" s="824"/>
      <c r="K69" s="824"/>
      <c r="L69" s="824"/>
      <c r="M69" s="824"/>
      <c r="N69" s="824"/>
      <c r="O69" s="824"/>
      <c r="P69" s="824"/>
      <c r="Q69" s="824"/>
      <c r="R69" s="488"/>
      <c r="U69" s="488"/>
      <c r="V69" s="1083" t="s">
        <v>673</v>
      </c>
      <c r="W69" s="1083"/>
      <c r="X69" s="1083"/>
      <c r="Y69" s="921"/>
      <c r="Z69" s="921"/>
      <c r="AA69" s="1088"/>
      <c r="AB69" s="1088"/>
      <c r="AC69" s="1088"/>
      <c r="AD69" s="1088"/>
    </row>
    <row r="70" spans="1:31" ht="12.75" x14ac:dyDescent="0.2">
      <c r="D70" s="824" t="s">
        <v>171</v>
      </c>
      <c r="E70" s="824"/>
      <c r="F70" s="824"/>
      <c r="R70" s="201"/>
      <c r="U70" s="201"/>
      <c r="V70" s="824" t="s">
        <v>677</v>
      </c>
      <c r="W70" s="824"/>
      <c r="X70" s="824"/>
      <c r="Y70" s="824"/>
      <c r="Z70" s="824"/>
      <c r="AA70" s="1088"/>
      <c r="AB70" s="1088"/>
      <c r="AC70" s="1088"/>
      <c r="AD70" s="1088"/>
    </row>
    <row r="71" spans="1:31" ht="9" customHeight="1" x14ac:dyDescent="0.2">
      <c r="V71" s="1000" t="s">
        <v>51</v>
      </c>
      <c r="W71" s="1000"/>
      <c r="X71" s="1000"/>
      <c r="Y71" s="1000"/>
      <c r="Z71" s="1000"/>
      <c r="AC71" s="18"/>
    </row>
    <row r="72" spans="1:31" x14ac:dyDescent="0.2">
      <c r="A72" s="17" t="s">
        <v>52</v>
      </c>
      <c r="AA72" s="1028" t="s">
        <v>111</v>
      </c>
      <c r="AB72" s="1028"/>
      <c r="AC72" s="1028"/>
      <c r="AD72" s="525"/>
    </row>
    <row r="73" spans="1:31" x14ac:dyDescent="0.2">
      <c r="AA73" s="999" t="s">
        <v>105</v>
      </c>
      <c r="AB73" s="999"/>
      <c r="AC73" s="999"/>
    </row>
    <row r="74" spans="1:31" ht="13.5" customHeight="1" x14ac:dyDescent="0.2">
      <c r="E74" s="1" t="s">
        <v>53</v>
      </c>
      <c r="AA74" s="825" t="s">
        <v>55</v>
      </c>
      <c r="AB74" s="825"/>
      <c r="AC74" s="825"/>
      <c r="AD74" s="825"/>
    </row>
    <row r="75" spans="1:31" x14ac:dyDescent="0.2">
      <c r="A75" s="17" t="s">
        <v>54</v>
      </c>
      <c r="AA75" s="825"/>
      <c r="AB75" s="825"/>
      <c r="AC75" s="825"/>
      <c r="AD75" s="825"/>
    </row>
    <row r="76" spans="1:31" ht="11.25" customHeight="1" x14ac:dyDescent="0.2">
      <c r="AA76" s="825"/>
      <c r="AB76" s="825"/>
      <c r="AC76" s="825"/>
      <c r="AD76" s="825"/>
    </row>
    <row r="77" spans="1:31" ht="11.25" customHeight="1" x14ac:dyDescent="0.2">
      <c r="C77" s="1" t="s">
        <v>56</v>
      </c>
      <c r="E77" s="1" t="s">
        <v>57</v>
      </c>
      <c r="AA77" s="825"/>
      <c r="AB77" s="825"/>
      <c r="AC77" s="825"/>
      <c r="AD77" s="825"/>
    </row>
    <row r="78" spans="1:31" ht="8.25" customHeight="1" x14ac:dyDescent="0.2">
      <c r="B78" s="1089" t="s">
        <v>58</v>
      </c>
      <c r="C78" s="1089"/>
      <c r="D78" s="1089"/>
      <c r="AA78"/>
      <c r="AB78"/>
      <c r="AC78"/>
    </row>
    <row r="79" spans="1:31" ht="11.25" customHeight="1" x14ac:dyDescent="0.2">
      <c r="AA79" s="1000" t="s">
        <v>184</v>
      </c>
      <c r="AB79" s="1000"/>
      <c r="AC79" s="1000"/>
    </row>
    <row r="80" spans="1:31" ht="12.75" customHeight="1" x14ac:dyDescent="0.2">
      <c r="AA80" s="1087" t="s">
        <v>185</v>
      </c>
      <c r="AB80" s="1087"/>
      <c r="AC80" s="1087"/>
      <c r="AE80" s="19"/>
    </row>
    <row r="88" spans="4:5" ht="12.75" x14ac:dyDescent="0.2">
      <c r="D88" s="539"/>
      <c r="E88" s="539"/>
    </row>
  </sheetData>
  <mergeCells count="65">
    <mergeCell ref="B78:D78"/>
    <mergeCell ref="AA72:AC72"/>
    <mergeCell ref="AA73:AC73"/>
    <mergeCell ref="AA79:AC79"/>
    <mergeCell ref="V69:X69"/>
    <mergeCell ref="AA80:AC80"/>
    <mergeCell ref="AA74:AD77"/>
    <mergeCell ref="AD6:AD8"/>
    <mergeCell ref="F6:F7"/>
    <mergeCell ref="U7:U8"/>
    <mergeCell ref="AB5:AB9"/>
    <mergeCell ref="S8:S9"/>
    <mergeCell ref="AC6:AC8"/>
    <mergeCell ref="V7:V8"/>
    <mergeCell ref="P6:P9"/>
    <mergeCell ref="H6:H9"/>
    <mergeCell ref="R6:S7"/>
    <mergeCell ref="R8:R9"/>
    <mergeCell ref="AA64:AD70"/>
    <mergeCell ref="A65:F67"/>
    <mergeCell ref="D33:E33"/>
    <mergeCell ref="X7:X9"/>
    <mergeCell ref="D25:E25"/>
    <mergeCell ref="D5:D7"/>
    <mergeCell ref="E5:E7"/>
    <mergeCell ref="N6:N9"/>
    <mergeCell ref="F4:F5"/>
    <mergeCell ref="T5:T10"/>
    <mergeCell ref="W7:W9"/>
    <mergeCell ref="R5:S5"/>
    <mergeCell ref="H5:Q5"/>
    <mergeCell ref="G4:G7"/>
    <mergeCell ref="O6:O9"/>
    <mergeCell ref="D4:E4"/>
    <mergeCell ref="D12:E12"/>
    <mergeCell ref="A1:AD1"/>
    <mergeCell ref="A2:AD3"/>
    <mergeCell ref="H4:Z4"/>
    <mergeCell ref="Y5:Y9"/>
    <mergeCell ref="Z5:Z9"/>
    <mergeCell ref="AA5:AA9"/>
    <mergeCell ref="J6:J9"/>
    <mergeCell ref="K6:K9"/>
    <mergeCell ref="L6:L9"/>
    <mergeCell ref="M6:M9"/>
    <mergeCell ref="Q6:Q9"/>
    <mergeCell ref="A4:A7"/>
    <mergeCell ref="U5:X6"/>
    <mergeCell ref="B4:B9"/>
    <mergeCell ref="C4:C9"/>
    <mergeCell ref="I6:I9"/>
    <mergeCell ref="D34:E34"/>
    <mergeCell ref="D47:E47"/>
    <mergeCell ref="Y69:Z69"/>
    <mergeCell ref="Y70:Z70"/>
    <mergeCell ref="Y71:Z71"/>
    <mergeCell ref="D70:F70"/>
    <mergeCell ref="J68:Q68"/>
    <mergeCell ref="D69:F69"/>
    <mergeCell ref="J69:Q69"/>
    <mergeCell ref="D43:E43"/>
    <mergeCell ref="J67:Q67"/>
    <mergeCell ref="V70:X70"/>
    <mergeCell ref="V71:X71"/>
    <mergeCell ref="D51:E51"/>
  </mergeCells>
  <phoneticPr fontId="100" type="noConversion"/>
  <pageMargins left="1.49" right="0.15748031496063" top="0.118110236220472" bottom="0.118110236220472" header="0.118110236220472" footer="0.12"/>
  <pageSetup paperSize="8" scale="60" orientation="landscape" r:id="rId1"/>
  <drawing r:id="rId2"/>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D37"/>
  <sheetViews>
    <sheetView workbookViewId="0">
      <selection activeCell="B12" sqref="B12:F14"/>
    </sheetView>
  </sheetViews>
  <sheetFormatPr defaultColWidth="9.140625" defaultRowHeight="11.25" x14ac:dyDescent="0.2"/>
  <cols>
    <col min="1" max="1" width="4.140625" style="105" customWidth="1"/>
    <col min="2" max="2" width="22.5703125" style="17" customWidth="1"/>
    <col min="3" max="3" width="15.140625" style="1" customWidth="1"/>
    <col min="4" max="4" width="9.140625" style="1" customWidth="1"/>
    <col min="5" max="5" width="8.140625" style="1" customWidth="1"/>
    <col min="6" max="6" width="15" style="1" customWidth="1"/>
    <col min="7" max="7" width="13" style="1" customWidth="1"/>
    <col min="8" max="8" width="11.5703125" style="1" hidden="1" customWidth="1"/>
    <col min="9" max="9" width="11.7109375" style="1" customWidth="1"/>
    <col min="10" max="10" width="13.140625" style="1" customWidth="1"/>
    <col min="11" max="11" width="9.5703125" style="1" customWidth="1"/>
    <col min="12" max="12" width="11.42578125" style="1" hidden="1" customWidth="1"/>
    <col min="13" max="14" width="9.85546875" style="1" hidden="1" customWidth="1"/>
    <col min="15" max="15" width="9.42578125" style="1" customWidth="1"/>
    <col min="16" max="16" width="10.7109375" style="1" customWidth="1"/>
    <col min="17" max="17" width="10.42578125" style="1" customWidth="1"/>
    <col min="18" max="18" width="10.7109375" style="1" hidden="1" customWidth="1"/>
    <col min="19" max="19" width="11.7109375" style="1" hidden="1" customWidth="1"/>
    <col min="20" max="20" width="12" style="1" customWidth="1"/>
    <col min="21" max="21" width="12.7109375" style="1" customWidth="1"/>
    <col min="22" max="22" width="10.42578125" style="1" customWidth="1"/>
    <col min="23" max="23" width="10.7109375" style="1" customWidth="1"/>
    <col min="24" max="24" width="11.42578125" style="1" hidden="1" customWidth="1"/>
    <col min="25" max="25" width="9.140625" style="1" customWidth="1"/>
    <col min="26" max="26" width="10.7109375" style="1" customWidth="1"/>
    <col min="27" max="27" width="12.42578125" style="1" customWidth="1"/>
    <col min="28" max="28" width="3.7109375" style="1" customWidth="1"/>
    <col min="29" max="29" width="20.140625" style="1" customWidth="1"/>
    <col min="30" max="30" width="8.5703125" style="1" customWidth="1"/>
    <col min="31" max="31" width="12.7109375" style="1" customWidth="1"/>
    <col min="32" max="16384" width="9.140625" style="1"/>
  </cols>
  <sheetData>
    <row r="1" spans="1:30" ht="20.25" x14ac:dyDescent="0.3">
      <c r="A1" s="862" t="s">
        <v>37</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row>
    <row r="2" spans="1:30" x14ac:dyDescent="0.2">
      <c r="A2" s="945" t="s">
        <v>166</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row>
    <row r="3" spans="1:30" ht="12"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row>
    <row r="4" spans="1:30" s="4" customFormat="1" ht="21" thickTop="1" x14ac:dyDescent="0.15">
      <c r="A4" s="866" t="s">
        <v>1</v>
      </c>
      <c r="B4" s="1006" t="s">
        <v>2</v>
      </c>
      <c r="C4" s="1041" t="s">
        <v>3</v>
      </c>
      <c r="D4" s="871" t="s">
        <v>4</v>
      </c>
      <c r="E4" s="871"/>
      <c r="F4" s="1007"/>
      <c r="G4" s="1097" t="s">
        <v>5</v>
      </c>
      <c r="H4" s="987" t="s">
        <v>6</v>
      </c>
      <c r="I4" s="988"/>
      <c r="J4" s="988"/>
      <c r="K4" s="988"/>
      <c r="L4" s="988"/>
      <c r="M4" s="988"/>
      <c r="N4" s="988"/>
      <c r="O4" s="988"/>
      <c r="P4" s="988"/>
      <c r="Q4" s="988"/>
      <c r="R4" s="988"/>
      <c r="S4" s="988"/>
      <c r="T4" s="988"/>
      <c r="U4" s="988"/>
      <c r="V4" s="988"/>
      <c r="W4" s="988"/>
      <c r="X4" s="988"/>
      <c r="Y4" s="988"/>
      <c r="Z4" s="990"/>
      <c r="AA4" s="3"/>
      <c r="AB4" s="3"/>
      <c r="AC4" s="3"/>
      <c r="AD4" s="3"/>
    </row>
    <row r="5" spans="1:30" s="8" customFormat="1" ht="13.5" customHeight="1" x14ac:dyDescent="0.15">
      <c r="A5" s="1005"/>
      <c r="B5" s="1040"/>
      <c r="C5" s="857"/>
      <c r="D5" s="1042" t="s">
        <v>7</v>
      </c>
      <c r="E5" s="1043" t="s">
        <v>8</v>
      </c>
      <c r="F5" s="1008"/>
      <c r="G5" s="1098"/>
      <c r="H5" s="856" t="s">
        <v>10</v>
      </c>
      <c r="I5" s="1096" t="s">
        <v>13</v>
      </c>
      <c r="J5" s="956"/>
      <c r="K5" s="956"/>
      <c r="L5" s="956"/>
      <c r="M5" s="956"/>
      <c r="N5" s="956"/>
      <c r="O5" s="998"/>
      <c r="P5" s="1078" t="s">
        <v>230</v>
      </c>
      <c r="Q5" s="1033"/>
      <c r="R5" s="991" t="s">
        <v>238</v>
      </c>
      <c r="S5" s="993"/>
      <c r="T5" s="1091" t="s">
        <v>524</v>
      </c>
      <c r="U5" s="1092"/>
      <c r="V5" s="1096" t="s">
        <v>238</v>
      </c>
      <c r="W5" s="998"/>
      <c r="X5" s="972" t="s">
        <v>12</v>
      </c>
      <c r="Y5" s="972" t="s">
        <v>183</v>
      </c>
      <c r="Z5" s="1095" t="s">
        <v>606</v>
      </c>
      <c r="AA5" s="838" t="s">
        <v>14</v>
      </c>
      <c r="AB5" s="842" t="s">
        <v>15</v>
      </c>
      <c r="AC5" s="7"/>
      <c r="AD5" s="7"/>
    </row>
    <row r="6" spans="1:30" s="8" customFormat="1" ht="13.5" customHeight="1" x14ac:dyDescent="0.15">
      <c r="A6" s="1005"/>
      <c r="B6" s="1040"/>
      <c r="C6" s="857"/>
      <c r="D6" s="958"/>
      <c r="E6" s="958"/>
      <c r="F6" s="1099" t="s">
        <v>16</v>
      </c>
      <c r="G6" s="1098"/>
      <c r="H6" s="859"/>
      <c r="I6" s="1013" t="s">
        <v>598</v>
      </c>
      <c r="J6" s="1013" t="s">
        <v>599</v>
      </c>
      <c r="K6" s="949" t="s">
        <v>221</v>
      </c>
      <c r="L6" s="859" t="s">
        <v>242</v>
      </c>
      <c r="M6" s="859" t="s">
        <v>515</v>
      </c>
      <c r="N6" s="949" t="s">
        <v>31</v>
      </c>
      <c r="O6" s="859" t="s">
        <v>549</v>
      </c>
      <c r="P6" s="1080"/>
      <c r="Q6" s="1035"/>
      <c r="R6" s="994" t="s">
        <v>232</v>
      </c>
      <c r="S6" s="1053"/>
      <c r="T6" s="1093"/>
      <c r="U6" s="1094"/>
      <c r="V6" s="903" t="s">
        <v>232</v>
      </c>
      <c r="W6" s="905"/>
      <c r="X6" s="857"/>
      <c r="Y6" s="857"/>
      <c r="Z6" s="1011"/>
      <c r="AA6" s="838"/>
      <c r="AB6" s="842"/>
      <c r="AC6" s="838" t="s">
        <v>25</v>
      </c>
      <c r="AD6" s="838" t="s">
        <v>26</v>
      </c>
    </row>
    <row r="7" spans="1:30" s="8" customFormat="1" ht="9" customHeight="1" x14ac:dyDescent="0.15">
      <c r="A7" s="1005"/>
      <c r="B7" s="1040"/>
      <c r="C7" s="857"/>
      <c r="D7" s="958"/>
      <c r="E7" s="958"/>
      <c r="F7" s="1100"/>
      <c r="G7" s="1098"/>
      <c r="H7" s="858"/>
      <c r="I7" s="1013"/>
      <c r="J7" s="1013"/>
      <c r="K7" s="1011"/>
      <c r="L7" s="857"/>
      <c r="M7" s="857"/>
      <c r="N7" s="949"/>
      <c r="O7" s="859"/>
      <c r="P7" s="915" t="s">
        <v>27</v>
      </c>
      <c r="Q7" s="903" t="s">
        <v>440</v>
      </c>
      <c r="R7" s="1015"/>
      <c r="S7" s="1054"/>
      <c r="T7" s="957" t="s">
        <v>27</v>
      </c>
      <c r="U7" s="960" t="s">
        <v>28</v>
      </c>
      <c r="V7" s="909"/>
      <c r="W7" s="911"/>
      <c r="X7" s="857"/>
      <c r="Y7" s="857"/>
      <c r="Z7" s="1011"/>
      <c r="AA7" s="838"/>
      <c r="AB7" s="842"/>
      <c r="AC7" s="970"/>
      <c r="AD7" s="838"/>
    </row>
    <row r="8" spans="1:30" s="8" customFormat="1" ht="13.5" customHeight="1" x14ac:dyDescent="0.2">
      <c r="A8" s="10"/>
      <c r="B8" s="1040"/>
      <c r="C8" s="858"/>
      <c r="D8" s="11"/>
      <c r="E8" s="107"/>
      <c r="F8" s="4"/>
      <c r="G8" s="495"/>
      <c r="H8" s="858"/>
      <c r="I8" s="1013"/>
      <c r="J8" s="1013"/>
      <c r="K8" s="1011"/>
      <c r="L8" s="1011"/>
      <c r="M8" s="1011"/>
      <c r="N8" s="949"/>
      <c r="O8" s="859"/>
      <c r="P8" s="900"/>
      <c r="Q8" s="900"/>
      <c r="R8" s="851" t="s">
        <v>27</v>
      </c>
      <c r="S8" s="852" t="s">
        <v>33</v>
      </c>
      <c r="T8" s="949"/>
      <c r="U8" s="949"/>
      <c r="V8" s="851" t="s">
        <v>27</v>
      </c>
      <c r="W8" s="851" t="s">
        <v>33</v>
      </c>
      <c r="X8" s="857"/>
      <c r="Y8" s="857"/>
      <c r="Z8" s="1011"/>
      <c r="AA8" s="838"/>
      <c r="AB8" s="959"/>
      <c r="AC8" s="970"/>
      <c r="AD8" s="838"/>
    </row>
    <row r="9" spans="1:30" s="8" customFormat="1" ht="13.5" customHeight="1" x14ac:dyDescent="0.2">
      <c r="A9" s="10"/>
      <c r="B9" s="1040"/>
      <c r="C9" s="858"/>
      <c r="D9" s="11"/>
      <c r="E9" s="107"/>
      <c r="F9" s="4"/>
      <c r="G9" s="495"/>
      <c r="H9" s="7"/>
      <c r="I9" s="1013"/>
      <c r="J9" s="1013"/>
      <c r="K9" s="1011"/>
      <c r="L9" s="1011"/>
      <c r="M9" s="1011"/>
      <c r="N9" s="949"/>
      <c r="O9" s="859"/>
      <c r="P9" s="900"/>
      <c r="Q9" s="900"/>
      <c r="R9" s="838"/>
      <c r="S9" s="853"/>
      <c r="T9" s="949"/>
      <c r="U9" s="949"/>
      <c r="V9" s="838"/>
      <c r="W9" s="838"/>
      <c r="X9" s="857"/>
      <c r="Y9" s="857"/>
      <c r="Z9" s="1011"/>
      <c r="AA9" s="838"/>
      <c r="AB9" s="959"/>
      <c r="AC9" s="7"/>
      <c r="AD9" s="7"/>
    </row>
    <row r="10" spans="1:30" s="15" customFormat="1" ht="12" thickBot="1" x14ac:dyDescent="0.25">
      <c r="A10" s="13">
        <v>1</v>
      </c>
      <c r="B10" s="13">
        <v>2</v>
      </c>
      <c r="C10" s="13">
        <v>3</v>
      </c>
      <c r="D10" s="13">
        <v>4</v>
      </c>
      <c r="E10" s="13">
        <v>5</v>
      </c>
      <c r="F10" s="13">
        <v>6</v>
      </c>
      <c r="G10" s="13">
        <v>7</v>
      </c>
      <c r="H10" s="13">
        <v>9</v>
      </c>
      <c r="I10" s="13">
        <v>8</v>
      </c>
      <c r="J10" s="13">
        <v>9</v>
      </c>
      <c r="K10" s="13">
        <v>10</v>
      </c>
      <c r="L10" s="13">
        <v>11</v>
      </c>
      <c r="M10" s="13">
        <v>12</v>
      </c>
      <c r="N10" s="13"/>
      <c r="O10" s="13">
        <v>13</v>
      </c>
      <c r="P10" s="13">
        <v>14</v>
      </c>
      <c r="Q10" s="13">
        <v>15</v>
      </c>
      <c r="R10" s="14">
        <v>17</v>
      </c>
      <c r="S10" s="14">
        <v>18</v>
      </c>
      <c r="T10" s="13">
        <v>17</v>
      </c>
      <c r="U10" s="13">
        <v>18</v>
      </c>
      <c r="V10" s="13">
        <v>19</v>
      </c>
      <c r="W10" s="13">
        <v>20</v>
      </c>
      <c r="X10" s="13">
        <v>21</v>
      </c>
      <c r="Y10" s="13">
        <v>22</v>
      </c>
      <c r="Z10" s="13">
        <v>27</v>
      </c>
      <c r="AA10" s="13">
        <v>23</v>
      </c>
      <c r="AB10" s="13">
        <v>24</v>
      </c>
      <c r="AC10" s="13">
        <v>25</v>
      </c>
      <c r="AD10" s="13">
        <v>26</v>
      </c>
    </row>
    <row r="11" spans="1:30" ht="14.25" thickTop="1" thickBot="1" x14ac:dyDescent="0.25">
      <c r="A11" s="527"/>
      <c r="B11" s="408" t="s">
        <v>432</v>
      </c>
      <c r="C11" s="606" t="s">
        <v>600</v>
      </c>
      <c r="D11" s="1051"/>
      <c r="E11" s="1052"/>
      <c r="F11" s="551"/>
      <c r="G11" s="551"/>
      <c r="H11" s="552"/>
      <c r="I11" s="26"/>
      <c r="J11" s="26"/>
      <c r="K11" s="26"/>
      <c r="L11" s="26"/>
      <c r="M11" s="26"/>
      <c r="N11" s="26"/>
      <c r="O11" s="26"/>
      <c r="P11" s="26"/>
      <c r="Q11" s="26"/>
      <c r="R11" s="26"/>
      <c r="S11" s="26"/>
      <c r="T11" s="26"/>
      <c r="U11" s="26"/>
      <c r="V11" s="26"/>
      <c r="W11" s="26"/>
      <c r="X11" s="26"/>
      <c r="Y11" s="26"/>
      <c r="Z11" s="26"/>
      <c r="AA11" s="553"/>
      <c r="AB11" s="502"/>
      <c r="AC11" s="513"/>
      <c r="AD11" s="554"/>
    </row>
    <row r="12" spans="1:30" ht="14.25" thickTop="1" thickBot="1" x14ac:dyDescent="0.25">
      <c r="A12" s="555" t="s">
        <v>38</v>
      </c>
      <c r="B12" s="44" t="s">
        <v>601</v>
      </c>
      <c r="C12" s="32" t="s">
        <v>446</v>
      </c>
      <c r="D12" s="814" t="s">
        <v>602</v>
      </c>
      <c r="E12" s="815"/>
      <c r="F12" s="54">
        <v>10415</v>
      </c>
      <c r="G12" s="54">
        <f>F12</f>
        <v>10415</v>
      </c>
      <c r="H12" s="556"/>
      <c r="I12" s="56">
        <v>2000</v>
      </c>
      <c r="J12" s="56">
        <v>6000</v>
      </c>
      <c r="K12" s="56"/>
      <c r="L12" s="56"/>
      <c r="M12" s="56"/>
      <c r="N12" s="56"/>
      <c r="O12" s="56"/>
      <c r="P12" s="56">
        <v>156.22</v>
      </c>
      <c r="Q12" s="56">
        <v>156.22999999999999</v>
      </c>
      <c r="R12" s="56"/>
      <c r="S12" s="56"/>
      <c r="T12" s="56">
        <f t="shared" ref="T12:T13" si="0">F12*0.02</f>
        <v>208.3</v>
      </c>
      <c r="U12" s="56">
        <f t="shared" ref="U12:U14" si="1">T12</f>
        <v>208.3</v>
      </c>
      <c r="V12" s="55">
        <f t="shared" ref="V12:V14" si="2">G12*0.09</f>
        <v>937.34999999999991</v>
      </c>
      <c r="W12" s="57">
        <f t="shared" ref="W12:W14" si="3">G12*0.12</f>
        <v>1249.8</v>
      </c>
      <c r="X12" s="56"/>
      <c r="Y12" s="56"/>
      <c r="Z12" s="56">
        <v>100</v>
      </c>
      <c r="AA12" s="56">
        <f>SUM(G12:J12)-SUM(P12+T12+V12)</f>
        <v>17113.13</v>
      </c>
      <c r="AB12" s="413" t="s">
        <v>38</v>
      </c>
      <c r="AC12" s="513"/>
      <c r="AD12" s="554"/>
    </row>
    <row r="13" spans="1:30" ht="12.75" customHeight="1" thickTop="1" x14ac:dyDescent="0.2">
      <c r="A13" s="555" t="s">
        <v>127</v>
      </c>
      <c r="B13" s="44" t="s">
        <v>603</v>
      </c>
      <c r="C13" s="32" t="s">
        <v>446</v>
      </c>
      <c r="D13" s="32" t="s">
        <v>158</v>
      </c>
      <c r="E13" s="32" t="s">
        <v>159</v>
      </c>
      <c r="F13" s="54">
        <v>10415</v>
      </c>
      <c r="G13" s="54">
        <f>F13</f>
        <v>10415</v>
      </c>
      <c r="H13" s="491"/>
      <c r="I13" s="56">
        <v>2000</v>
      </c>
      <c r="J13" s="56">
        <v>6000</v>
      </c>
      <c r="K13" s="56"/>
      <c r="L13" s="56"/>
      <c r="M13" s="56"/>
      <c r="N13" s="56"/>
      <c r="O13" s="56"/>
      <c r="P13" s="56">
        <v>156.22</v>
      </c>
      <c r="Q13" s="56">
        <v>156.22999999999999</v>
      </c>
      <c r="R13" s="56"/>
      <c r="S13" s="56"/>
      <c r="T13" s="56">
        <f t="shared" si="0"/>
        <v>208.3</v>
      </c>
      <c r="U13" s="56">
        <f t="shared" si="1"/>
        <v>208.3</v>
      </c>
      <c r="V13" s="55">
        <f t="shared" si="2"/>
        <v>937.34999999999991</v>
      </c>
      <c r="W13" s="57">
        <f t="shared" si="3"/>
        <v>1249.8</v>
      </c>
      <c r="X13" s="56"/>
      <c r="Y13" s="56"/>
      <c r="Z13" s="56">
        <v>100</v>
      </c>
      <c r="AA13" s="56">
        <f>SUM(G13:J13)-SUM(P13+T13+V13)</f>
        <v>17113.13</v>
      </c>
      <c r="AB13" s="413" t="s">
        <v>127</v>
      </c>
      <c r="AC13" s="513"/>
      <c r="AD13" s="554"/>
    </row>
    <row r="14" spans="1:30" ht="13.5" thickBot="1" x14ac:dyDescent="0.25">
      <c r="A14" s="555" t="s">
        <v>128</v>
      </c>
      <c r="B14" s="44" t="s">
        <v>604</v>
      </c>
      <c r="C14" s="32" t="s">
        <v>446</v>
      </c>
      <c r="D14" s="32" t="s">
        <v>158</v>
      </c>
      <c r="E14" s="32" t="s">
        <v>159</v>
      </c>
      <c r="F14" s="54">
        <v>10415</v>
      </c>
      <c r="G14" s="54">
        <f>F14</f>
        <v>10415</v>
      </c>
      <c r="H14" s="473"/>
      <c r="I14" s="56">
        <v>2000</v>
      </c>
      <c r="J14" s="56">
        <v>6000</v>
      </c>
      <c r="K14" s="55"/>
      <c r="L14" s="55"/>
      <c r="M14" s="55"/>
      <c r="N14" s="55"/>
      <c r="O14" s="55"/>
      <c r="P14" s="56">
        <v>156.22</v>
      </c>
      <c r="Q14" s="56">
        <v>156.22999999999999</v>
      </c>
      <c r="R14" s="55"/>
      <c r="S14" s="55"/>
      <c r="T14" s="56">
        <f t="shared" ref="T14" si="4">G14*0.02</f>
        <v>208.3</v>
      </c>
      <c r="U14" s="56">
        <f t="shared" si="1"/>
        <v>208.3</v>
      </c>
      <c r="V14" s="55">
        <f t="shared" si="2"/>
        <v>937.34999999999991</v>
      </c>
      <c r="W14" s="57">
        <f t="shared" si="3"/>
        <v>1249.8</v>
      </c>
      <c r="X14" s="55"/>
      <c r="Y14" s="55"/>
      <c r="Z14" s="55">
        <v>100</v>
      </c>
      <c r="AA14" s="56">
        <f>SUM(G14:J14)-SUM(P14+T14+V14)</f>
        <v>17113.13</v>
      </c>
      <c r="AB14" s="413" t="s">
        <v>128</v>
      </c>
      <c r="AC14" s="513"/>
      <c r="AD14" s="554"/>
    </row>
    <row r="15" spans="1:30" ht="13.5" thickBot="1" x14ac:dyDescent="0.25">
      <c r="A15" s="555"/>
      <c r="B15" s="44"/>
      <c r="C15" s="32"/>
      <c r="D15" s="32"/>
      <c r="E15" s="32"/>
      <c r="F15" s="191"/>
      <c r="G15" s="57"/>
      <c r="H15" s="58"/>
      <c r="I15" s="58"/>
      <c r="J15" s="58"/>
      <c r="K15" s="58"/>
      <c r="L15" s="58"/>
      <c r="M15" s="58"/>
      <c r="N15" s="58"/>
      <c r="O15" s="58"/>
      <c r="P15" s="58"/>
      <c r="Q15" s="58"/>
      <c r="R15" s="58"/>
      <c r="S15" s="58"/>
      <c r="T15" s="56"/>
      <c r="U15" s="56"/>
      <c r="V15" s="58"/>
      <c r="W15" s="58"/>
      <c r="X15" s="58"/>
      <c r="Y15" s="58"/>
      <c r="Z15" s="58"/>
      <c r="AA15" s="60"/>
      <c r="AB15" s="413"/>
      <c r="AC15" s="557"/>
      <c r="AD15" s="558"/>
    </row>
    <row r="16" spans="1:30" ht="13.5" thickBot="1" x14ac:dyDescent="0.25">
      <c r="A16" s="555"/>
      <c r="B16" s="44" t="s">
        <v>605</v>
      </c>
      <c r="C16" s="32" t="s">
        <v>37</v>
      </c>
      <c r="D16" s="32"/>
      <c r="E16" s="32"/>
      <c r="F16" s="598">
        <f>SUM(F12:F15)</f>
        <v>31245</v>
      </c>
      <c r="G16" s="598">
        <f t="shared" ref="G16:Z16" si="5">SUM(G12:G15)</f>
        <v>31245</v>
      </c>
      <c r="H16" s="598">
        <f t="shared" si="5"/>
        <v>0</v>
      </c>
      <c r="I16" s="598">
        <f t="shared" si="5"/>
        <v>6000</v>
      </c>
      <c r="J16" s="598">
        <f t="shared" si="5"/>
        <v>18000</v>
      </c>
      <c r="K16" s="598">
        <f t="shared" si="5"/>
        <v>0</v>
      </c>
      <c r="L16" s="598">
        <f t="shared" si="5"/>
        <v>0</v>
      </c>
      <c r="M16" s="598">
        <f t="shared" si="5"/>
        <v>0</v>
      </c>
      <c r="N16" s="598">
        <f t="shared" si="5"/>
        <v>0</v>
      </c>
      <c r="O16" s="598">
        <f>SUM(O12:O15)</f>
        <v>0</v>
      </c>
      <c r="P16" s="598">
        <f t="shared" si="5"/>
        <v>468.65999999999997</v>
      </c>
      <c r="Q16" s="598">
        <f t="shared" si="5"/>
        <v>468.68999999999994</v>
      </c>
      <c r="R16" s="598">
        <f t="shared" si="5"/>
        <v>0</v>
      </c>
      <c r="S16" s="598">
        <f t="shared" si="5"/>
        <v>0</v>
      </c>
      <c r="T16" s="598">
        <f>SUM(T12:T15)</f>
        <v>624.90000000000009</v>
      </c>
      <c r="U16" s="598">
        <f t="shared" si="5"/>
        <v>624.90000000000009</v>
      </c>
      <c r="V16" s="598">
        <f t="shared" si="5"/>
        <v>2812.0499999999997</v>
      </c>
      <c r="W16" s="598">
        <f t="shared" si="5"/>
        <v>3749.3999999999996</v>
      </c>
      <c r="X16" s="598">
        <f t="shared" si="5"/>
        <v>0</v>
      </c>
      <c r="Y16" s="598">
        <f t="shared" si="5"/>
        <v>0</v>
      </c>
      <c r="Z16" s="598">
        <f t="shared" si="5"/>
        <v>300</v>
      </c>
      <c r="AA16" s="366">
        <f>SUM(AA12:AA15)</f>
        <v>51339.39</v>
      </c>
      <c r="AB16" s="413"/>
      <c r="AC16" s="508"/>
      <c r="AD16" s="16"/>
    </row>
    <row r="17" spans="1:30" ht="21.95" customHeight="1" thickTop="1" x14ac:dyDescent="0.2">
      <c r="A17" s="555"/>
      <c r="B17" s="408"/>
      <c r="C17" s="32"/>
      <c r="D17" s="32"/>
      <c r="E17" s="32"/>
      <c r="F17" s="56"/>
      <c r="G17" s="56"/>
      <c r="H17" s="56"/>
      <c r="I17" s="56"/>
      <c r="J17" s="56"/>
      <c r="K17" s="56"/>
      <c r="L17" s="56"/>
      <c r="M17" s="56"/>
      <c r="N17" s="56"/>
      <c r="O17" s="56"/>
      <c r="P17" s="56"/>
      <c r="Q17" s="56"/>
      <c r="R17" s="56"/>
      <c r="S17" s="56"/>
      <c r="T17" s="56"/>
      <c r="U17" s="56"/>
      <c r="V17" s="56"/>
      <c r="W17" s="56"/>
      <c r="X17" s="56"/>
      <c r="Y17" s="56"/>
      <c r="Z17" s="56"/>
      <c r="AA17" s="55" t="s">
        <v>37</v>
      </c>
      <c r="AB17" s="413"/>
      <c r="AC17" s="508"/>
      <c r="AD17" s="16"/>
    </row>
    <row r="18" spans="1:30" ht="13.5" thickBot="1" x14ac:dyDescent="0.25">
      <c r="A18" s="562"/>
      <c r="B18" s="31"/>
      <c r="C18" s="34"/>
      <c r="D18" s="34"/>
      <c r="E18" s="34"/>
      <c r="F18" s="478"/>
      <c r="G18" s="478"/>
      <c r="H18" s="478"/>
      <c r="I18" s="478"/>
      <c r="J18" s="478"/>
      <c r="K18" s="478"/>
      <c r="L18" s="478"/>
      <c r="M18" s="478"/>
      <c r="N18" s="478"/>
      <c r="O18" s="478"/>
      <c r="P18" s="478"/>
      <c r="Q18" s="478"/>
      <c r="R18" s="478"/>
      <c r="S18" s="478"/>
      <c r="T18" s="478"/>
      <c r="U18" s="478"/>
      <c r="V18" s="478"/>
      <c r="W18" s="478"/>
      <c r="X18" s="478"/>
      <c r="Y18" s="478"/>
      <c r="Z18" s="478"/>
      <c r="AA18" s="478"/>
      <c r="AB18" s="563"/>
      <c r="AC18" s="564"/>
      <c r="AD18" s="565" t="s">
        <v>37</v>
      </c>
    </row>
    <row r="19" spans="1:30" ht="12" thickTop="1" x14ac:dyDescent="0.2">
      <c r="K19" s="1" t="s">
        <v>37</v>
      </c>
      <c r="AC19" s="18"/>
    </row>
    <row r="20" spans="1:30" x14ac:dyDescent="0.2">
      <c r="Z20" s="889" t="s">
        <v>48</v>
      </c>
      <c r="AA20" s="967"/>
      <c r="AB20" s="967"/>
      <c r="AC20" s="967"/>
    </row>
    <row r="21" spans="1:30" x14ac:dyDescent="0.2">
      <c r="A21" s="889" t="s">
        <v>49</v>
      </c>
      <c r="B21" s="889"/>
      <c r="C21" s="889"/>
      <c r="D21" s="889"/>
      <c r="E21" s="889"/>
      <c r="F21" s="889"/>
      <c r="O21" s="35"/>
      <c r="Z21" s="967"/>
      <c r="AA21" s="967"/>
      <c r="AB21" s="967"/>
      <c r="AC21" s="967"/>
    </row>
    <row r="22" spans="1:30" x14ac:dyDescent="0.2">
      <c r="A22" s="889"/>
      <c r="B22" s="889"/>
      <c r="C22" s="889"/>
      <c r="D22" s="889"/>
      <c r="E22" s="889"/>
      <c r="F22" s="889"/>
      <c r="G22" s="35"/>
      <c r="L22" s="17"/>
      <c r="M22" s="17"/>
      <c r="N22" s="17"/>
      <c r="O22" s="17"/>
      <c r="P22" s="17"/>
      <c r="Q22" s="17"/>
      <c r="T22" s="17" t="s">
        <v>531</v>
      </c>
      <c r="Z22" s="967"/>
      <c r="AA22" s="967"/>
      <c r="AB22" s="967"/>
      <c r="AC22" s="967"/>
    </row>
    <row r="23" spans="1:30" ht="12.75" x14ac:dyDescent="0.2">
      <c r="A23" s="889"/>
      <c r="B23" s="889"/>
      <c r="C23" s="889"/>
      <c r="D23" s="889"/>
      <c r="E23" s="889"/>
      <c r="F23" s="889"/>
      <c r="G23" s="35"/>
      <c r="I23" s="488"/>
      <c r="J23" s="488"/>
      <c r="K23" s="488"/>
      <c r="L23" s="604"/>
      <c r="M23" s="488"/>
      <c r="N23" s="488"/>
      <c r="O23" s="488"/>
      <c r="P23" s="488"/>
      <c r="Q23" s="488"/>
      <c r="Z23" s="967"/>
      <c r="AA23" s="967"/>
      <c r="AB23" s="967"/>
      <c r="AC23" s="967"/>
    </row>
    <row r="24" spans="1:30" ht="12.75" x14ac:dyDescent="0.2">
      <c r="I24" s="201"/>
      <c r="J24" s="201"/>
      <c r="K24" s="201"/>
      <c r="L24" s="201"/>
      <c r="M24" s="201"/>
      <c r="N24" s="201"/>
      <c r="O24" s="201"/>
      <c r="P24" s="201"/>
      <c r="Q24" s="201"/>
      <c r="X24" s="1" t="s">
        <v>37</v>
      </c>
      <c r="Z24" s="967"/>
      <c r="AA24" s="967"/>
      <c r="AB24" s="967"/>
      <c r="AC24" s="967"/>
    </row>
    <row r="25" spans="1:30" ht="12.75" x14ac:dyDescent="0.2">
      <c r="C25" s="921" t="s">
        <v>302</v>
      </c>
      <c r="D25" s="921"/>
      <c r="E25" s="921"/>
      <c r="F25" s="921"/>
      <c r="I25" s="201"/>
      <c r="J25" s="201"/>
      <c r="K25" s="201"/>
      <c r="L25" s="201"/>
      <c r="M25" s="201"/>
      <c r="N25" s="201"/>
      <c r="O25" s="201"/>
      <c r="P25" s="201"/>
      <c r="Q25" s="201"/>
      <c r="R25" s="201"/>
      <c r="T25" s="921" t="s">
        <v>302</v>
      </c>
      <c r="U25" s="921"/>
      <c r="V25" s="921"/>
      <c r="W25" s="921"/>
      <c r="Z25" s="967"/>
      <c r="AA25" s="967"/>
      <c r="AB25" s="967"/>
      <c r="AC25" s="967"/>
    </row>
    <row r="26" spans="1:30" ht="12.75" x14ac:dyDescent="0.2">
      <c r="C26" s="824" t="s">
        <v>79</v>
      </c>
      <c r="D26" s="824"/>
      <c r="E26" s="824"/>
      <c r="F26" s="824"/>
      <c r="Q26" s="1090"/>
      <c r="R26" s="809"/>
      <c r="T26" s="824" t="s">
        <v>79</v>
      </c>
      <c r="U26" s="824"/>
      <c r="V26" s="824"/>
      <c r="W26" s="824"/>
      <c r="Z26" s="967"/>
      <c r="AA26" s="967"/>
      <c r="AB26" s="967"/>
      <c r="AC26" s="967"/>
    </row>
    <row r="27" spans="1:30" ht="12.75" x14ac:dyDescent="0.2">
      <c r="T27" s="824" t="s">
        <v>51</v>
      </c>
      <c r="U27" s="824"/>
      <c r="V27" s="824"/>
      <c r="W27" s="824"/>
      <c r="X27" s="35" t="s">
        <v>37</v>
      </c>
      <c r="AC27" s="18" t="s">
        <v>108</v>
      </c>
    </row>
    <row r="28" spans="1:30" x14ac:dyDescent="0.2">
      <c r="A28" s="17" t="s">
        <v>52</v>
      </c>
      <c r="Z28" s="525"/>
      <c r="AA28" s="525"/>
      <c r="AB28" s="525"/>
      <c r="AC28" s="525" t="s">
        <v>109</v>
      </c>
    </row>
    <row r="29" spans="1:30" x14ac:dyDescent="0.2">
      <c r="Z29" s="524"/>
      <c r="AA29" s="524"/>
      <c r="AB29" s="524"/>
      <c r="AC29" s="524"/>
    </row>
    <row r="30" spans="1:30" x14ac:dyDescent="0.2">
      <c r="E30" s="1" t="s">
        <v>53</v>
      </c>
      <c r="Z30" s="888" t="s">
        <v>55</v>
      </c>
      <c r="AA30" s="1058"/>
      <c r="AB30" s="1058"/>
      <c r="AC30" s="1058"/>
    </row>
    <row r="31" spans="1:30" x14ac:dyDescent="0.2">
      <c r="Z31" s="1058"/>
      <c r="AA31" s="1058"/>
      <c r="AB31" s="1058"/>
      <c r="AC31" s="1058"/>
    </row>
    <row r="32" spans="1:30" x14ac:dyDescent="0.2">
      <c r="A32" s="17" t="s">
        <v>54</v>
      </c>
      <c r="Z32" s="1058"/>
      <c r="AA32" s="1058"/>
      <c r="AB32" s="1058"/>
      <c r="AC32" s="1058"/>
    </row>
    <row r="33" spans="3:30" x14ac:dyDescent="0.2">
      <c r="Z33" s="1058"/>
      <c r="AA33" s="1058"/>
      <c r="AB33" s="1058"/>
      <c r="AC33" s="1058"/>
    </row>
    <row r="34" spans="3:30" x14ac:dyDescent="0.2">
      <c r="C34" s="1" t="s">
        <v>56</v>
      </c>
      <c r="E34" s="1" t="s">
        <v>57</v>
      </c>
      <c r="Z34" s="1058"/>
      <c r="AA34" s="1058"/>
      <c r="AB34" s="1058"/>
      <c r="AC34" s="1058"/>
    </row>
    <row r="36" spans="3:30" x14ac:dyDescent="0.2">
      <c r="Z36" s="525"/>
      <c r="AA36" s="525"/>
      <c r="AB36" s="525"/>
      <c r="AC36" s="525" t="s">
        <v>184</v>
      </c>
      <c r="AD36" s="19"/>
    </row>
    <row r="37" spans="3:30" x14ac:dyDescent="0.2">
      <c r="C37" s="1000" t="s">
        <v>58</v>
      </c>
      <c r="D37" s="1000"/>
      <c r="E37" s="1000"/>
      <c r="AC37" s="1" t="s">
        <v>185</v>
      </c>
    </row>
  </sheetData>
  <mergeCells count="54">
    <mergeCell ref="A1:AD1"/>
    <mergeCell ref="A2:AD3"/>
    <mergeCell ref="A4:A7"/>
    <mergeCell ref="B4:B9"/>
    <mergeCell ref="C4:C9"/>
    <mergeCell ref="D4:E4"/>
    <mergeCell ref="F4:F5"/>
    <mergeCell ref="G4:G7"/>
    <mergeCell ref="H4:Z4"/>
    <mergeCell ref="D5:D7"/>
    <mergeCell ref="E5:E7"/>
    <mergeCell ref="H5:H8"/>
    <mergeCell ref="I5:O5"/>
    <mergeCell ref="P5:Q6"/>
    <mergeCell ref="R5:S5"/>
    <mergeCell ref="F6:F7"/>
    <mergeCell ref="I6:I9"/>
    <mergeCell ref="J6:J9"/>
    <mergeCell ref="K6:K9"/>
    <mergeCell ref="V5:W5"/>
    <mergeCell ref="X5:X9"/>
    <mergeCell ref="L6:L9"/>
    <mergeCell ref="M6:M9"/>
    <mergeCell ref="N6:N9"/>
    <mergeCell ref="O6:O9"/>
    <mergeCell ref="R6:S7"/>
    <mergeCell ref="AC6:AC8"/>
    <mergeCell ref="AD6:AD8"/>
    <mergeCell ref="P7:P9"/>
    <mergeCell ref="Q7:Q9"/>
    <mergeCell ref="T7:T9"/>
    <mergeCell ref="U7:U9"/>
    <mergeCell ref="R8:R9"/>
    <mergeCell ref="S8:S9"/>
    <mergeCell ref="V8:V9"/>
    <mergeCell ref="V6:W7"/>
    <mergeCell ref="W8:W9"/>
    <mergeCell ref="AB5:AB9"/>
    <mergeCell ref="T5:U6"/>
    <mergeCell ref="Y5:Y9"/>
    <mergeCell ref="Z5:Z9"/>
    <mergeCell ref="AA5:AA9"/>
    <mergeCell ref="T27:W27"/>
    <mergeCell ref="Z30:AC34"/>
    <mergeCell ref="C37:E37"/>
    <mergeCell ref="D11:E11"/>
    <mergeCell ref="D12:E12"/>
    <mergeCell ref="Z20:AC26"/>
    <mergeCell ref="A21:F23"/>
    <mergeCell ref="C25:F25"/>
    <mergeCell ref="T25:W25"/>
    <mergeCell ref="C26:F26"/>
    <mergeCell ref="Q26:R26"/>
    <mergeCell ref="T26:W26"/>
  </mergeCells>
  <pageMargins left="0.2" right="0.2" top="0.75" bottom="0.75" header="0.3" footer="0.3"/>
  <pageSetup paperSize="5" scale="65" orientation="landscape" r:id="rId1"/>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00B0F0"/>
  </sheetPr>
  <dimension ref="A1:AM63"/>
  <sheetViews>
    <sheetView zoomScale="93" zoomScaleNormal="93" workbookViewId="0">
      <pane xSplit="3" ySplit="10" topLeftCell="D11" activePane="bottomRight" state="frozen"/>
      <selection activeCell="M58" sqref="M58"/>
      <selection pane="topRight" activeCell="M58" sqref="M58"/>
      <selection pane="bottomLeft" activeCell="M58" sqref="M58"/>
      <selection pane="bottomRight" activeCell="B36" sqref="B36:B42"/>
    </sheetView>
  </sheetViews>
  <sheetFormatPr defaultColWidth="9.140625" defaultRowHeight="11.25" x14ac:dyDescent="0.2"/>
  <cols>
    <col min="1" max="1" width="4.140625" style="105" customWidth="1"/>
    <col min="2" max="2" width="27.7109375" style="17" customWidth="1"/>
    <col min="3" max="3" width="16.7109375" style="1" customWidth="1"/>
    <col min="4" max="4" width="9.140625" style="1" customWidth="1"/>
    <col min="5" max="5" width="10.140625" style="1" customWidth="1"/>
    <col min="6" max="6" width="14.85546875" style="1" customWidth="1"/>
    <col min="7" max="7" width="13" style="1" customWidth="1"/>
    <col min="8" max="8" width="6.5703125" style="1" hidden="1" customWidth="1"/>
    <col min="9" max="9" width="11.7109375" style="1" customWidth="1"/>
    <col min="10" max="10" width="10.85546875" style="1" customWidth="1"/>
    <col min="11" max="11" width="9.5703125" style="1" customWidth="1"/>
    <col min="12" max="12" width="11.42578125" style="1" customWidth="1"/>
    <col min="13" max="13" width="11.28515625" style="1" customWidth="1"/>
    <col min="14" max="14" width="9.85546875" style="1" hidden="1" customWidth="1"/>
    <col min="15" max="15" width="12.42578125" style="1" customWidth="1"/>
    <col min="16" max="17" width="12" style="1" customWidth="1"/>
    <col min="18" max="18" width="11.42578125" style="1" customWidth="1"/>
    <col min="19" max="19" width="10.7109375" style="1" hidden="1" customWidth="1"/>
    <col min="20" max="20" width="11.7109375" style="1" hidden="1" customWidth="1"/>
    <col min="21" max="21" width="13" style="1" customWidth="1"/>
    <col min="22" max="22" width="12" style="1" customWidth="1"/>
    <col min="23" max="23" width="12.7109375" style="1" customWidth="1"/>
    <col min="24" max="24" width="11.140625" style="1" customWidth="1"/>
    <col min="25" max="26" width="10.7109375" style="1" hidden="1" customWidth="1"/>
    <col min="27" max="27" width="11" style="1" customWidth="1"/>
    <col min="28" max="28" width="4.7109375" style="1" hidden="1" customWidth="1"/>
    <col min="29" max="29" width="11.5703125" style="1" customWidth="1"/>
    <col min="30" max="30" width="13.85546875" style="1" customWidth="1"/>
    <col min="31" max="31" width="2.7109375" style="1" customWidth="1"/>
    <col min="32" max="32" width="20.140625" style="1" customWidth="1"/>
    <col min="33" max="33" width="8.5703125" style="1" customWidth="1"/>
    <col min="34" max="34" width="12.7109375" style="1" customWidth="1"/>
    <col min="35" max="16384" width="9.140625" style="1"/>
  </cols>
  <sheetData>
    <row r="1" spans="1:33" ht="20.25" x14ac:dyDescent="0.3">
      <c r="A1" s="862" t="s">
        <v>616</v>
      </c>
      <c r="B1" s="863"/>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c r="AE1" s="863"/>
      <c r="AF1" s="863"/>
      <c r="AG1" s="863"/>
    </row>
    <row r="2" spans="1:33" x14ac:dyDescent="0.2">
      <c r="A2" s="945" t="s">
        <v>166</v>
      </c>
      <c r="B2" s="945"/>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c r="AE2" s="945"/>
      <c r="AF2" s="945"/>
      <c r="AG2" s="945"/>
    </row>
    <row r="3" spans="1:33" ht="15.75" customHeight="1" thickBot="1" x14ac:dyDescent="0.25">
      <c r="A3" s="946"/>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row>
    <row r="4" spans="1:33" s="4" customFormat="1" ht="24" customHeight="1" thickTop="1" x14ac:dyDescent="0.15">
      <c r="A4" s="866" t="s">
        <v>1</v>
      </c>
      <c r="B4" s="1006" t="s">
        <v>2</v>
      </c>
      <c r="C4" s="1041" t="s">
        <v>3</v>
      </c>
      <c r="D4" s="871" t="s">
        <v>4</v>
      </c>
      <c r="E4" s="871"/>
      <c r="F4" s="1007"/>
      <c r="G4" s="1097" t="s">
        <v>5</v>
      </c>
      <c r="H4" s="987" t="s">
        <v>6</v>
      </c>
      <c r="I4" s="988"/>
      <c r="J4" s="988"/>
      <c r="K4" s="988"/>
      <c r="L4" s="988"/>
      <c r="M4" s="988"/>
      <c r="N4" s="988"/>
      <c r="O4" s="988"/>
      <c r="P4" s="988"/>
      <c r="Q4" s="988"/>
      <c r="R4" s="988"/>
      <c r="S4" s="988"/>
      <c r="T4" s="988"/>
      <c r="U4" s="988"/>
      <c r="V4" s="988"/>
      <c r="W4" s="988"/>
      <c r="X4" s="988"/>
      <c r="Y4" s="988"/>
      <c r="Z4" s="988"/>
      <c r="AA4" s="988"/>
      <c r="AB4" s="988"/>
      <c r="AC4" s="990"/>
      <c r="AD4" s="3"/>
      <c r="AE4" s="3"/>
      <c r="AF4" s="3"/>
      <c r="AG4" s="3"/>
    </row>
    <row r="5" spans="1:33" s="8" customFormat="1" ht="13.5" customHeight="1" x14ac:dyDescent="0.2">
      <c r="A5" s="1005"/>
      <c r="B5" s="1040"/>
      <c r="C5" s="857"/>
      <c r="D5" s="1042" t="s">
        <v>7</v>
      </c>
      <c r="E5" s="1043" t="s">
        <v>8</v>
      </c>
      <c r="F5" s="1008"/>
      <c r="G5" s="1098"/>
      <c r="H5" s="856" t="s">
        <v>10</v>
      </c>
      <c r="I5" s="1096" t="s">
        <v>13</v>
      </c>
      <c r="J5" s="956"/>
      <c r="K5" s="956"/>
      <c r="L5" s="956"/>
      <c r="M5" s="956"/>
      <c r="N5" s="956"/>
      <c r="O5" s="956"/>
      <c r="P5" s="956"/>
      <c r="Q5" s="956"/>
      <c r="R5" s="998"/>
      <c r="S5" s="991" t="s">
        <v>238</v>
      </c>
      <c r="T5" s="993"/>
      <c r="U5" s="1062" t="s">
        <v>525</v>
      </c>
      <c r="V5" s="1091" t="s">
        <v>524</v>
      </c>
      <c r="W5" s="1092"/>
      <c r="X5" s="1092"/>
      <c r="Y5" s="1092"/>
      <c r="Z5" s="1101"/>
      <c r="AA5" s="972" t="s">
        <v>183</v>
      </c>
      <c r="AB5" s="550"/>
      <c r="AC5" s="972" t="s">
        <v>12</v>
      </c>
      <c r="AD5" s="838" t="s">
        <v>14</v>
      </c>
      <c r="AE5" s="842" t="s">
        <v>15</v>
      </c>
      <c r="AF5" s="7"/>
      <c r="AG5" s="7"/>
    </row>
    <row r="6" spans="1:33" s="8" customFormat="1" ht="13.5" customHeight="1" x14ac:dyDescent="0.2">
      <c r="A6" s="1005"/>
      <c r="B6" s="1040"/>
      <c r="C6" s="857"/>
      <c r="D6" s="958"/>
      <c r="E6" s="958"/>
      <c r="F6" s="973" t="s">
        <v>610</v>
      </c>
      <c r="G6" s="1098"/>
      <c r="H6" s="859"/>
      <c r="I6" s="1013" t="s">
        <v>233</v>
      </c>
      <c r="J6" s="900" t="s">
        <v>235</v>
      </c>
      <c r="K6" s="949" t="s">
        <v>221</v>
      </c>
      <c r="L6" s="859" t="s">
        <v>242</v>
      </c>
      <c r="M6" s="859" t="s">
        <v>664</v>
      </c>
      <c r="N6" s="949" t="s">
        <v>31</v>
      </c>
      <c r="O6" s="859" t="s">
        <v>549</v>
      </c>
      <c r="P6" s="859" t="s">
        <v>23</v>
      </c>
      <c r="Q6" s="859" t="s">
        <v>679</v>
      </c>
      <c r="R6" s="949" t="s">
        <v>514</v>
      </c>
      <c r="S6" s="994" t="s">
        <v>232</v>
      </c>
      <c r="T6" s="1053"/>
      <c r="U6" s="1011"/>
      <c r="V6" s="1102"/>
      <c r="W6" s="1103"/>
      <c r="X6" s="1103"/>
      <c r="Y6" s="1103"/>
      <c r="Z6" s="1104"/>
      <c r="AA6" s="857"/>
      <c r="AB6" s="306"/>
      <c r="AC6" s="857"/>
      <c r="AD6" s="838"/>
      <c r="AE6" s="842"/>
      <c r="AF6" s="838" t="s">
        <v>25</v>
      </c>
      <c r="AG6" s="838" t="s">
        <v>26</v>
      </c>
    </row>
    <row r="7" spans="1:33" s="8" customFormat="1" ht="13.5" customHeight="1" x14ac:dyDescent="0.15">
      <c r="A7" s="1005"/>
      <c r="B7" s="1040"/>
      <c r="C7" s="857"/>
      <c r="D7" s="958"/>
      <c r="E7" s="958"/>
      <c r="F7" s="974"/>
      <c r="G7" s="1098"/>
      <c r="H7" s="858"/>
      <c r="I7" s="1013"/>
      <c r="J7" s="916"/>
      <c r="K7" s="1011"/>
      <c r="L7" s="857"/>
      <c r="M7" s="857"/>
      <c r="N7" s="949"/>
      <c r="O7" s="859"/>
      <c r="P7" s="859"/>
      <c r="Q7" s="859"/>
      <c r="R7" s="949"/>
      <c r="S7" s="1015"/>
      <c r="T7" s="1054"/>
      <c r="U7" s="1011"/>
      <c r="V7" s="957" t="s">
        <v>27</v>
      </c>
      <c r="W7" s="960" t="s">
        <v>28</v>
      </c>
      <c r="X7" s="972" t="s">
        <v>23</v>
      </c>
      <c r="Y7" s="972" t="s">
        <v>12</v>
      </c>
      <c r="Z7" s="957" t="s">
        <v>669</v>
      </c>
      <c r="AA7" s="857"/>
      <c r="AB7" s="829" t="s">
        <v>31</v>
      </c>
      <c r="AC7" s="857"/>
      <c r="AD7" s="838"/>
      <c r="AE7" s="842"/>
      <c r="AF7" s="970"/>
      <c r="AG7" s="838"/>
    </row>
    <row r="8" spans="1:33" s="8" customFormat="1" ht="13.5" customHeight="1" x14ac:dyDescent="0.2">
      <c r="A8" s="10"/>
      <c r="B8" s="1040"/>
      <c r="C8" s="858"/>
      <c r="D8" s="11"/>
      <c r="E8" s="107"/>
      <c r="F8" s="4"/>
      <c r="G8" s="495"/>
      <c r="H8" s="858"/>
      <c r="I8" s="1013"/>
      <c r="J8" s="916"/>
      <c r="K8" s="1011"/>
      <c r="L8" s="1011"/>
      <c r="M8" s="1011"/>
      <c r="N8" s="949"/>
      <c r="O8" s="859"/>
      <c r="P8" s="859"/>
      <c r="Q8" s="859"/>
      <c r="R8" s="949"/>
      <c r="S8" s="851" t="s">
        <v>27</v>
      </c>
      <c r="T8" s="852" t="s">
        <v>33</v>
      </c>
      <c r="U8" s="1011"/>
      <c r="V8" s="949"/>
      <c r="W8" s="949"/>
      <c r="X8" s="857"/>
      <c r="Y8" s="857"/>
      <c r="Z8" s="949"/>
      <c r="AA8" s="857"/>
      <c r="AB8" s="829"/>
      <c r="AC8" s="857"/>
      <c r="AD8" s="838"/>
      <c r="AE8" s="959"/>
      <c r="AF8" s="970"/>
      <c r="AG8" s="838"/>
    </row>
    <row r="9" spans="1:33" s="8" customFormat="1" ht="13.5" customHeight="1" x14ac:dyDescent="0.2">
      <c r="A9" s="10"/>
      <c r="B9" s="1040"/>
      <c r="C9" s="858"/>
      <c r="D9" s="11"/>
      <c r="E9" s="107"/>
      <c r="F9" s="4"/>
      <c r="G9" s="495"/>
      <c r="H9" s="7"/>
      <c r="I9" s="1013"/>
      <c r="J9" s="916"/>
      <c r="K9" s="1011"/>
      <c r="L9" s="1011"/>
      <c r="M9" s="1011"/>
      <c r="N9" s="949"/>
      <c r="O9" s="859"/>
      <c r="P9" s="859"/>
      <c r="Q9" s="859"/>
      <c r="R9" s="949"/>
      <c r="S9" s="838"/>
      <c r="T9" s="853"/>
      <c r="U9" s="1011"/>
      <c r="V9" s="949"/>
      <c r="W9" s="949"/>
      <c r="X9" s="857"/>
      <c r="Y9" s="857"/>
      <c r="Z9" s="949"/>
      <c r="AA9" s="857"/>
      <c r="AB9" s="306"/>
      <c r="AC9" s="857"/>
      <c r="AD9" s="838"/>
      <c r="AE9" s="959"/>
      <c r="AF9" s="7"/>
      <c r="AG9" s="7"/>
    </row>
    <row r="10" spans="1:33" s="15" customFormat="1" ht="12" thickBot="1" x14ac:dyDescent="0.25">
      <c r="A10" s="13">
        <v>1</v>
      </c>
      <c r="B10" s="13">
        <v>2</v>
      </c>
      <c r="C10" s="13">
        <v>3</v>
      </c>
      <c r="D10" s="13">
        <v>4</v>
      </c>
      <c r="E10" s="13">
        <v>5</v>
      </c>
      <c r="F10" s="13">
        <v>6</v>
      </c>
      <c r="G10" s="13">
        <v>7</v>
      </c>
      <c r="H10" s="13">
        <v>9</v>
      </c>
      <c r="I10" s="13">
        <v>13</v>
      </c>
      <c r="J10" s="13">
        <v>12</v>
      </c>
      <c r="K10" s="13">
        <v>10</v>
      </c>
      <c r="L10" s="13">
        <v>14</v>
      </c>
      <c r="M10" s="13">
        <v>14</v>
      </c>
      <c r="N10" s="13"/>
      <c r="O10" s="13"/>
      <c r="P10" s="13"/>
      <c r="Q10" s="13"/>
      <c r="R10" s="13">
        <v>14</v>
      </c>
      <c r="S10" s="14">
        <v>17</v>
      </c>
      <c r="T10" s="14">
        <v>18</v>
      </c>
      <c r="U10" s="1063"/>
      <c r="V10" s="13">
        <v>15</v>
      </c>
      <c r="W10" s="13">
        <v>16</v>
      </c>
      <c r="X10" s="13">
        <v>25</v>
      </c>
      <c r="Y10" s="13">
        <v>26</v>
      </c>
      <c r="Z10" s="13">
        <v>29</v>
      </c>
      <c r="AA10" s="13">
        <v>21</v>
      </c>
      <c r="AB10" s="13">
        <v>22</v>
      </c>
      <c r="AC10" s="13">
        <v>27</v>
      </c>
      <c r="AD10" s="13">
        <v>28</v>
      </c>
      <c r="AE10" s="13">
        <v>29</v>
      </c>
      <c r="AF10" s="13">
        <v>30</v>
      </c>
      <c r="AG10" s="13">
        <v>31</v>
      </c>
    </row>
    <row r="11" spans="1:33" ht="21.95" customHeight="1" thickTop="1" thickBot="1" x14ac:dyDescent="0.25">
      <c r="A11" s="527"/>
      <c r="B11" s="408" t="s">
        <v>641</v>
      </c>
      <c r="C11" s="209"/>
      <c r="D11" s="1051"/>
      <c r="E11" s="1052"/>
      <c r="F11" s="551"/>
      <c r="G11" s="551"/>
      <c r="H11" s="552"/>
      <c r="I11" s="26"/>
      <c r="J11" s="26"/>
      <c r="K11" s="26"/>
      <c r="L11" s="26"/>
      <c r="M11" s="26"/>
      <c r="N11" s="26"/>
      <c r="O11" s="26"/>
      <c r="P11" s="26"/>
      <c r="Q11" s="26"/>
      <c r="R11" s="26"/>
      <c r="S11" s="26"/>
      <c r="T11" s="26"/>
      <c r="U11" s="26"/>
      <c r="V11" s="26"/>
      <c r="W11" s="26"/>
      <c r="X11" s="26"/>
      <c r="Y11" s="26"/>
      <c r="Z11" s="26"/>
      <c r="AA11" s="26"/>
      <c r="AB11" s="26"/>
      <c r="AC11" s="26"/>
      <c r="AD11" s="553"/>
      <c r="AE11" s="502"/>
      <c r="AF11" s="513"/>
      <c r="AG11" s="554"/>
    </row>
    <row r="12" spans="1:33" ht="21.95" customHeight="1" x14ac:dyDescent="0.2">
      <c r="A12" s="545" t="s">
        <v>38</v>
      </c>
      <c r="B12" s="44"/>
      <c r="C12" s="210" t="s">
        <v>383</v>
      </c>
      <c r="D12" s="935" t="s">
        <v>686</v>
      </c>
      <c r="E12" s="935"/>
      <c r="F12" s="57">
        <f>'[1]SB(1-15)'!$F$12</f>
        <v>94968</v>
      </c>
      <c r="G12" s="57">
        <f>F12/2</f>
        <v>47484</v>
      </c>
      <c r="H12" s="39"/>
      <c r="I12" s="38"/>
      <c r="J12" s="38"/>
      <c r="K12" s="38"/>
      <c r="L12" s="38"/>
      <c r="M12" s="38"/>
      <c r="N12" s="38"/>
      <c r="O12" s="38"/>
      <c r="P12" s="38"/>
      <c r="Q12" s="38"/>
      <c r="R12" s="38"/>
      <c r="S12" s="38"/>
      <c r="T12" s="38"/>
      <c r="U12" s="56">
        <v>12411.83</v>
      </c>
      <c r="V12" s="56">
        <f>F12*0.02</f>
        <v>1899.3600000000001</v>
      </c>
      <c r="W12" s="56">
        <f>V12</f>
        <v>1899.3600000000001</v>
      </c>
      <c r="X12" s="38"/>
      <c r="Y12" s="38"/>
      <c r="Z12" s="38"/>
      <c r="AA12" s="38"/>
      <c r="AB12" s="38"/>
      <c r="AC12" s="56">
        <v>11021.25</v>
      </c>
      <c r="AD12" s="56">
        <f>G12-SUM(I12:V12)-SUM(X12:AC12)</f>
        <v>22151.559999999998</v>
      </c>
      <c r="AE12" s="502" t="s">
        <v>38</v>
      </c>
      <c r="AF12" s="513"/>
      <c r="AG12" s="554"/>
    </row>
    <row r="13" spans="1:33" ht="21.95" customHeight="1" x14ac:dyDescent="0.2">
      <c r="A13" s="545" t="s">
        <v>127</v>
      </c>
      <c r="B13" s="30"/>
      <c r="C13" s="210" t="s">
        <v>697</v>
      </c>
      <c r="D13" s="32" t="s">
        <v>595</v>
      </c>
      <c r="E13" s="32" t="s">
        <v>159</v>
      </c>
      <c r="F13" s="57">
        <v>31470</v>
      </c>
      <c r="G13" s="57">
        <f>F13/2</f>
        <v>15735</v>
      </c>
      <c r="H13" s="39"/>
      <c r="I13" s="38"/>
      <c r="J13" s="38"/>
      <c r="K13" s="38"/>
      <c r="L13" s="38"/>
      <c r="M13" s="38"/>
      <c r="N13" s="38"/>
      <c r="O13" s="38"/>
      <c r="P13" s="38"/>
      <c r="Q13" s="38"/>
      <c r="R13" s="38"/>
      <c r="S13" s="38"/>
      <c r="T13" s="38"/>
      <c r="U13" s="58">
        <v>958.23</v>
      </c>
      <c r="V13" s="56">
        <f>F13*0.02</f>
        <v>629.4</v>
      </c>
      <c r="W13" s="56">
        <f>V13</f>
        <v>629.4</v>
      </c>
      <c r="X13" s="38"/>
      <c r="Y13" s="38"/>
      <c r="Z13" s="38"/>
      <c r="AA13" s="38"/>
      <c r="AB13" s="38"/>
      <c r="AC13" s="58"/>
      <c r="AD13" s="56">
        <f>G13-SUM(I13:V13)-SUM(X13:AC13)</f>
        <v>14147.369999999999</v>
      </c>
      <c r="AE13" s="502" t="s">
        <v>127</v>
      </c>
      <c r="AF13" s="513"/>
      <c r="AG13" s="554"/>
    </row>
    <row r="14" spans="1:33" ht="21.95" customHeight="1" x14ac:dyDescent="0.2">
      <c r="A14" s="545" t="s">
        <v>128</v>
      </c>
      <c r="B14" s="44"/>
      <c r="C14" s="210" t="s">
        <v>513</v>
      </c>
      <c r="D14" s="32" t="s">
        <v>595</v>
      </c>
      <c r="E14" s="32" t="s">
        <v>159</v>
      </c>
      <c r="F14" s="57">
        <v>25520</v>
      </c>
      <c r="G14" s="57">
        <f>F14/2</f>
        <v>12760</v>
      </c>
      <c r="H14" s="39"/>
      <c r="I14" s="38"/>
      <c r="J14" s="38"/>
      <c r="K14" s="38"/>
      <c r="L14" s="38"/>
      <c r="M14" s="38"/>
      <c r="N14" s="38"/>
      <c r="O14" s="38"/>
      <c r="P14" s="38"/>
      <c r="Q14" s="38"/>
      <c r="R14" s="38"/>
      <c r="S14" s="38"/>
      <c r="T14" s="38"/>
      <c r="U14" s="58">
        <v>186.22</v>
      </c>
      <c r="V14" s="56">
        <f>F14*0.02</f>
        <v>510.40000000000003</v>
      </c>
      <c r="W14" s="56">
        <f>V14</f>
        <v>510.40000000000003</v>
      </c>
      <c r="X14" s="38"/>
      <c r="Y14" s="38"/>
      <c r="Z14" s="38"/>
      <c r="AA14" s="38"/>
      <c r="AB14" s="38"/>
      <c r="AC14" s="58"/>
      <c r="AD14" s="56">
        <f t="shared" ref="AD14:AD15" si="0">G14-SUM(I14:V14)-SUM(X14:AC14)</f>
        <v>12063.38</v>
      </c>
      <c r="AE14" s="502" t="s">
        <v>128</v>
      </c>
      <c r="AF14" s="513"/>
      <c r="AG14" s="554"/>
    </row>
    <row r="15" spans="1:33" ht="21.95" customHeight="1" x14ac:dyDescent="0.2">
      <c r="A15" s="545" t="s">
        <v>129</v>
      </c>
      <c r="B15" s="30"/>
      <c r="C15" s="210" t="s">
        <v>684</v>
      </c>
      <c r="D15" s="32" t="s">
        <v>595</v>
      </c>
      <c r="E15" s="32" t="s">
        <v>159</v>
      </c>
      <c r="F15" s="56">
        <v>13474</v>
      </c>
      <c r="G15" s="57">
        <f>F15/2</f>
        <v>6737</v>
      </c>
      <c r="H15" s="39"/>
      <c r="I15" s="38"/>
      <c r="J15" s="38"/>
      <c r="K15" s="38"/>
      <c r="L15" s="38"/>
      <c r="M15" s="38"/>
      <c r="N15" s="38"/>
      <c r="O15" s="38"/>
      <c r="P15" s="38"/>
      <c r="Q15" s="38"/>
      <c r="R15" s="38"/>
      <c r="S15" s="38"/>
      <c r="T15" s="38"/>
      <c r="U15" s="58"/>
      <c r="V15" s="56">
        <f>F15*0.02</f>
        <v>269.48</v>
      </c>
      <c r="W15" s="56">
        <f>V15</f>
        <v>269.48</v>
      </c>
      <c r="X15" s="38"/>
      <c r="Y15" s="38"/>
      <c r="Z15" s="38"/>
      <c r="AA15" s="38"/>
      <c r="AB15" s="38"/>
      <c r="AC15" s="58"/>
      <c r="AD15" s="56">
        <f t="shared" si="0"/>
        <v>6467.52</v>
      </c>
      <c r="AE15" s="502" t="s">
        <v>129</v>
      </c>
      <c r="AF15" s="513"/>
      <c r="AG15" s="554"/>
    </row>
    <row r="16" spans="1:33" ht="21.95" customHeight="1" thickBot="1" x14ac:dyDescent="0.25">
      <c r="A16" s="545" t="s">
        <v>130</v>
      </c>
      <c r="B16" s="44"/>
      <c r="C16" s="32" t="s">
        <v>546</v>
      </c>
      <c r="D16" s="32" t="s">
        <v>595</v>
      </c>
      <c r="E16" s="32" t="s">
        <v>159</v>
      </c>
      <c r="F16" s="191">
        <v>12039</v>
      </c>
      <c r="G16" s="57">
        <f t="shared" ref="G16" si="1">F16/2</f>
        <v>6019.5</v>
      </c>
      <c r="H16" s="58"/>
      <c r="I16" s="58"/>
      <c r="J16" s="58"/>
      <c r="K16" s="58"/>
      <c r="L16" s="58"/>
      <c r="M16" s="58"/>
      <c r="N16" s="58"/>
      <c r="O16" s="58"/>
      <c r="P16" s="58"/>
      <c r="Q16" s="58"/>
      <c r="R16" s="58"/>
      <c r="S16" s="58"/>
      <c r="T16" s="58"/>
      <c r="U16" s="58"/>
      <c r="V16" s="56">
        <f>F16*0.02</f>
        <v>240.78</v>
      </c>
      <c r="W16" s="56">
        <f>V16</f>
        <v>240.78</v>
      </c>
      <c r="X16" s="58">
        <v>455.58</v>
      </c>
      <c r="Y16" s="58"/>
      <c r="Z16" s="58"/>
      <c r="AA16" s="58"/>
      <c r="AB16" s="58"/>
      <c r="AC16" s="58"/>
      <c r="AD16" s="60">
        <f>G16-SUM(I16:V16)-SUM(X16:AC16)</f>
        <v>5323.14</v>
      </c>
      <c r="AE16" s="502" t="s">
        <v>130</v>
      </c>
      <c r="AF16" s="557"/>
      <c r="AG16" s="558"/>
    </row>
    <row r="17" spans="1:39" ht="21.95" customHeight="1" thickBot="1" x14ac:dyDescent="0.25">
      <c r="A17" s="545" t="s">
        <v>131</v>
      </c>
      <c r="B17" s="44" t="s">
        <v>37</v>
      </c>
      <c r="C17" s="32" t="s">
        <v>37</v>
      </c>
      <c r="D17" s="32"/>
      <c r="E17" s="32"/>
      <c r="F17" s="472">
        <f>SUM(F12:F16)</f>
        <v>177471</v>
      </c>
      <c r="G17" s="472">
        <f t="shared" ref="G17:P17" si="2">SUM(G12:G16)</f>
        <v>88735.5</v>
      </c>
      <c r="H17" s="472">
        <f t="shared" si="2"/>
        <v>0</v>
      </c>
      <c r="I17" s="472">
        <f t="shared" si="2"/>
        <v>0</v>
      </c>
      <c r="J17" s="472">
        <f t="shared" si="2"/>
        <v>0</v>
      </c>
      <c r="K17" s="472">
        <f t="shared" si="2"/>
        <v>0</v>
      </c>
      <c r="L17" s="472">
        <f t="shared" si="2"/>
        <v>0</v>
      </c>
      <c r="M17" s="472">
        <f t="shared" si="2"/>
        <v>0</v>
      </c>
      <c r="N17" s="472">
        <f t="shared" si="2"/>
        <v>0</v>
      </c>
      <c r="O17" s="472">
        <f t="shared" si="2"/>
        <v>0</v>
      </c>
      <c r="P17" s="472">
        <f t="shared" si="2"/>
        <v>0</v>
      </c>
      <c r="Q17" s="472"/>
      <c r="R17" s="472">
        <f t="shared" ref="R17:AD17" si="3">SUM(R12:R16)</f>
        <v>0</v>
      </c>
      <c r="S17" s="472">
        <f t="shared" si="3"/>
        <v>0</v>
      </c>
      <c r="T17" s="472">
        <f t="shared" si="3"/>
        <v>0</v>
      </c>
      <c r="U17" s="472">
        <f t="shared" si="3"/>
        <v>13556.279999999999</v>
      </c>
      <c r="V17" s="472">
        <f t="shared" si="3"/>
        <v>3549.4200000000005</v>
      </c>
      <c r="W17" s="472">
        <f t="shared" si="3"/>
        <v>3549.4200000000005</v>
      </c>
      <c r="X17" s="472">
        <f t="shared" si="3"/>
        <v>455.58</v>
      </c>
      <c r="Y17" s="472">
        <f t="shared" si="3"/>
        <v>0</v>
      </c>
      <c r="Z17" s="472">
        <f t="shared" si="3"/>
        <v>0</v>
      </c>
      <c r="AA17" s="472">
        <f t="shared" si="3"/>
        <v>0</v>
      </c>
      <c r="AB17" s="472">
        <f t="shared" si="3"/>
        <v>0</v>
      </c>
      <c r="AC17" s="472">
        <f t="shared" si="3"/>
        <v>11021.25</v>
      </c>
      <c r="AD17" s="472">
        <f t="shared" si="3"/>
        <v>60152.969999999987</v>
      </c>
      <c r="AE17" s="502" t="s">
        <v>131</v>
      </c>
      <c r="AF17" s="508"/>
      <c r="AG17" s="16"/>
    </row>
    <row r="18" spans="1:39" ht="21.95" customHeight="1" thickTop="1" x14ac:dyDescent="0.2">
      <c r="A18" s="545" t="s">
        <v>132</v>
      </c>
      <c r="B18" s="408" t="s">
        <v>39</v>
      </c>
      <c r="C18" s="32" t="s">
        <v>37</v>
      </c>
      <c r="D18" s="32"/>
      <c r="E18" s="32"/>
      <c r="F18" s="56" t="s">
        <v>37</v>
      </c>
      <c r="G18" s="56"/>
      <c r="H18" s="56" t="s">
        <v>37</v>
      </c>
      <c r="I18" s="56" t="s">
        <v>37</v>
      </c>
      <c r="J18" s="56" t="s">
        <v>37</v>
      </c>
      <c r="K18" s="56"/>
      <c r="L18" s="56" t="s">
        <v>37</v>
      </c>
      <c r="M18" s="56" t="s">
        <v>37</v>
      </c>
      <c r="N18" s="56"/>
      <c r="O18" s="56"/>
      <c r="P18" s="56"/>
      <c r="Q18" s="56"/>
      <c r="R18" s="56" t="s">
        <v>37</v>
      </c>
      <c r="S18" s="56" t="s">
        <v>37</v>
      </c>
      <c r="T18" s="56" t="s">
        <v>37</v>
      </c>
      <c r="U18" s="56"/>
      <c r="V18" s="56"/>
      <c r="W18" s="56" t="s">
        <v>37</v>
      </c>
      <c r="X18" s="56" t="s">
        <v>37</v>
      </c>
      <c r="Y18" s="56"/>
      <c r="Z18" s="56"/>
      <c r="AA18" s="56"/>
      <c r="AB18" s="56"/>
      <c r="AC18" s="56"/>
      <c r="AD18" s="55" t="s">
        <v>37</v>
      </c>
      <c r="AE18" s="502" t="s">
        <v>132</v>
      </c>
      <c r="AF18" s="508"/>
      <c r="AG18" s="16"/>
    </row>
    <row r="19" spans="1:39" ht="21.95" customHeight="1" x14ac:dyDescent="0.2">
      <c r="A19" s="545" t="s">
        <v>133</v>
      </c>
      <c r="B19" s="44"/>
      <c r="C19" s="32" t="s">
        <v>40</v>
      </c>
      <c r="D19" s="935" t="s">
        <v>686</v>
      </c>
      <c r="E19" s="935"/>
      <c r="F19" s="54">
        <f>'[1]SB(1-15)'!$F$20</f>
        <v>84763</v>
      </c>
      <c r="G19" s="54">
        <f>F19/2</f>
        <v>42381.5</v>
      </c>
      <c r="H19" s="56"/>
      <c r="I19" s="56"/>
      <c r="J19" s="56"/>
      <c r="K19" s="56"/>
      <c r="L19" s="56"/>
      <c r="M19" s="56"/>
      <c r="N19" s="56"/>
      <c r="O19" s="56"/>
      <c r="P19" s="56"/>
      <c r="Q19" s="56"/>
      <c r="R19" s="56"/>
      <c r="S19" s="56"/>
      <c r="T19" s="56"/>
      <c r="U19" s="56">
        <v>10205</v>
      </c>
      <c r="V19" s="56">
        <f>F19*0.02</f>
        <v>1695.26</v>
      </c>
      <c r="W19" s="56">
        <f>V19</f>
        <v>1695.26</v>
      </c>
      <c r="X19" s="56"/>
      <c r="Y19" s="56"/>
      <c r="Z19" s="56"/>
      <c r="AA19" s="56"/>
      <c r="AB19" s="56"/>
      <c r="AC19" s="56"/>
      <c r="AD19" s="56">
        <f t="shared" ref="AD19:AD33" si="4">G19-SUM(I19:V19)-SUM(X19:AC19)</f>
        <v>30481.239999999998</v>
      </c>
      <c r="AE19" s="502" t="s">
        <v>133</v>
      </c>
      <c r="AF19" s="559"/>
      <c r="AG19" s="16"/>
      <c r="AJ19" s="88"/>
      <c r="AK19" s="88"/>
      <c r="AL19" s="560"/>
      <c r="AM19" s="88"/>
    </row>
    <row r="20" spans="1:39" ht="21.95" customHeight="1" x14ac:dyDescent="0.2">
      <c r="A20" s="545" t="s">
        <v>65</v>
      </c>
      <c r="B20" s="44"/>
      <c r="C20" s="32" t="s">
        <v>40</v>
      </c>
      <c r="D20" s="32" t="s">
        <v>595</v>
      </c>
      <c r="E20" s="32" t="s">
        <v>159</v>
      </c>
      <c r="F20" s="54">
        <f>'[1]SB(1-15)'!$F$21</f>
        <v>83457</v>
      </c>
      <c r="G20" s="54">
        <f>F20/2</f>
        <v>41728.5</v>
      </c>
      <c r="H20" s="55"/>
      <c r="I20" s="55"/>
      <c r="J20" s="55"/>
      <c r="K20" s="55"/>
      <c r="L20" s="55"/>
      <c r="M20" s="55"/>
      <c r="N20" s="55"/>
      <c r="O20" s="55"/>
      <c r="P20" s="55"/>
      <c r="Q20" s="55"/>
      <c r="R20" s="55"/>
      <c r="S20" s="56"/>
      <c r="T20" s="56"/>
      <c r="U20" s="56">
        <v>9922.58</v>
      </c>
      <c r="V20" s="56">
        <f>F20*0.02</f>
        <v>1669.14</v>
      </c>
      <c r="W20" s="56">
        <f>V20</f>
        <v>1669.14</v>
      </c>
      <c r="X20" s="55"/>
      <c r="Y20" s="55"/>
      <c r="Z20" s="55"/>
      <c r="AA20" s="55"/>
      <c r="AB20" s="55"/>
      <c r="AC20" s="56">
        <v>18700.36</v>
      </c>
      <c r="AD20" s="56">
        <f t="shared" si="4"/>
        <v>11436.419999999998</v>
      </c>
      <c r="AE20" s="502" t="s">
        <v>65</v>
      </c>
      <c r="AF20" s="559"/>
      <c r="AG20" s="16"/>
      <c r="AJ20" s="88"/>
      <c r="AK20" s="88"/>
      <c r="AL20" s="560"/>
      <c r="AM20" s="88"/>
    </row>
    <row r="21" spans="1:39" ht="21.95" customHeight="1" x14ac:dyDescent="0.2">
      <c r="A21" s="545" t="s">
        <v>134</v>
      </c>
      <c r="B21" s="44"/>
      <c r="C21" s="32" t="s">
        <v>40</v>
      </c>
      <c r="D21" s="32" t="s">
        <v>595</v>
      </c>
      <c r="E21" s="32" t="s">
        <v>159</v>
      </c>
      <c r="F21" s="54">
        <f>'[1]SB(1-15)'!$F$22</f>
        <v>83457</v>
      </c>
      <c r="G21" s="54">
        <f>F21/2</f>
        <v>41728.5</v>
      </c>
      <c r="H21" s="56"/>
      <c r="I21" s="56"/>
      <c r="J21" s="56"/>
      <c r="K21" s="56"/>
      <c r="L21" s="56"/>
      <c r="M21" s="56"/>
      <c r="N21" s="56"/>
      <c r="O21" s="56"/>
      <c r="P21" s="56"/>
      <c r="Q21" s="56"/>
      <c r="R21" s="56"/>
      <c r="S21" s="56"/>
      <c r="T21" s="56"/>
      <c r="U21" s="56">
        <v>9922.58</v>
      </c>
      <c r="V21" s="56">
        <f>F21*0.02</f>
        <v>1669.14</v>
      </c>
      <c r="W21" s="56">
        <f>V21</f>
        <v>1669.14</v>
      </c>
      <c r="X21" s="56"/>
      <c r="Y21" s="56"/>
      <c r="Z21" s="56"/>
      <c r="AA21" s="56"/>
      <c r="AB21" s="56"/>
      <c r="AC21" s="56"/>
      <c r="AD21" s="56">
        <f t="shared" si="4"/>
        <v>30136.78</v>
      </c>
      <c r="AE21" s="502" t="s">
        <v>134</v>
      </c>
      <c r="AF21" s="559"/>
      <c r="AG21" s="16"/>
      <c r="AJ21" s="88"/>
      <c r="AK21" s="88"/>
      <c r="AL21" s="560"/>
      <c r="AM21" s="88"/>
    </row>
    <row r="22" spans="1:39" ht="21.95" customHeight="1" x14ac:dyDescent="0.2">
      <c r="A22" s="545" t="s">
        <v>135</v>
      </c>
      <c r="B22" s="44"/>
      <c r="C22" s="32" t="s">
        <v>40</v>
      </c>
      <c r="D22" s="32" t="s">
        <v>595</v>
      </c>
      <c r="E22" s="32" t="s">
        <v>159</v>
      </c>
      <c r="F22" s="54">
        <f>'[1]SB(1-15)'!$F$23</f>
        <v>87440</v>
      </c>
      <c r="G22" s="54">
        <f t="shared" ref="G22:G23" si="5">F22/2</f>
        <v>43720</v>
      </c>
      <c r="H22" s="55"/>
      <c r="I22" s="55"/>
      <c r="J22" s="55"/>
      <c r="K22" s="55"/>
      <c r="L22" s="55"/>
      <c r="M22" s="55"/>
      <c r="N22" s="55"/>
      <c r="O22" s="55"/>
      <c r="P22" s="55"/>
      <c r="Q22" s="55"/>
      <c r="R22" s="55"/>
      <c r="S22" s="56"/>
      <c r="T22" s="56"/>
      <c r="U22" s="56">
        <v>10783.9</v>
      </c>
      <c r="V22" s="56">
        <f t="shared" ref="V22:V33" si="6">F22*0.02</f>
        <v>1748.8</v>
      </c>
      <c r="W22" s="56">
        <f t="shared" ref="W22:W27" si="7">V22</f>
        <v>1748.8</v>
      </c>
      <c r="X22" s="55"/>
      <c r="Y22" s="55"/>
      <c r="Z22" s="55"/>
      <c r="AA22" s="55"/>
      <c r="AB22" s="55"/>
      <c r="AC22" s="56"/>
      <c r="AD22" s="56">
        <f t="shared" si="4"/>
        <v>31187.300000000003</v>
      </c>
      <c r="AE22" s="502" t="s">
        <v>135</v>
      </c>
      <c r="AF22" s="619"/>
      <c r="AG22" s="558"/>
    </row>
    <row r="23" spans="1:39" ht="21.95" customHeight="1" x14ac:dyDescent="0.2">
      <c r="A23" s="545" t="s">
        <v>136</v>
      </c>
      <c r="B23" s="44"/>
      <c r="C23" s="32" t="s">
        <v>40</v>
      </c>
      <c r="D23" s="32" t="s">
        <v>595</v>
      </c>
      <c r="E23" s="32" t="s">
        <v>159</v>
      </c>
      <c r="F23" s="54">
        <f>'[1]SB(1-15)'!$F$24</f>
        <v>87440</v>
      </c>
      <c r="G23" s="54">
        <f t="shared" si="5"/>
        <v>43720</v>
      </c>
      <c r="H23" s="55"/>
      <c r="I23" s="55"/>
      <c r="J23" s="55"/>
      <c r="K23" s="55"/>
      <c r="L23" s="55"/>
      <c r="M23" s="55"/>
      <c r="N23" s="55"/>
      <c r="O23" s="55"/>
      <c r="P23" s="55"/>
      <c r="Q23" s="55">
        <v>3255.22</v>
      </c>
      <c r="R23" s="55"/>
      <c r="S23" s="56"/>
      <c r="T23" s="56"/>
      <c r="U23" s="56">
        <v>10783.9</v>
      </c>
      <c r="V23" s="56">
        <f t="shared" si="6"/>
        <v>1748.8</v>
      </c>
      <c r="W23" s="56">
        <f t="shared" si="7"/>
        <v>1748.8</v>
      </c>
      <c r="X23" s="55"/>
      <c r="Y23" s="55"/>
      <c r="Z23" s="55"/>
      <c r="AA23" s="55"/>
      <c r="AB23" s="55"/>
      <c r="AC23" s="56"/>
      <c r="AD23" s="56">
        <f t="shared" si="4"/>
        <v>27932.080000000002</v>
      </c>
      <c r="AE23" s="502" t="s">
        <v>136</v>
      </c>
      <c r="AF23" s="619"/>
      <c r="AG23" s="558"/>
    </row>
    <row r="24" spans="1:39" ht="21.95" customHeight="1" x14ac:dyDescent="0.2">
      <c r="A24" s="545" t="s">
        <v>137</v>
      </c>
      <c r="B24" s="44"/>
      <c r="C24" s="32" t="s">
        <v>40</v>
      </c>
      <c r="D24" s="32" t="s">
        <v>595</v>
      </c>
      <c r="E24" s="32" t="s">
        <v>159</v>
      </c>
      <c r="F24" s="54">
        <f>'[1]SB(1-15)'!$F$25</f>
        <v>83457</v>
      </c>
      <c r="G24" s="54">
        <f t="shared" ref="G24:G27" si="8">F24/2</f>
        <v>41728.5</v>
      </c>
      <c r="H24" s="56"/>
      <c r="I24" s="56"/>
      <c r="J24" s="56"/>
      <c r="K24" s="56"/>
      <c r="L24" s="56"/>
      <c r="M24" s="56"/>
      <c r="N24" s="56"/>
      <c r="O24" s="56"/>
      <c r="P24" s="56"/>
      <c r="Q24" s="56"/>
      <c r="R24" s="56"/>
      <c r="S24" s="56"/>
      <c r="T24" s="56"/>
      <c r="U24" s="56">
        <v>9922.58</v>
      </c>
      <c r="V24" s="56">
        <f t="shared" si="6"/>
        <v>1669.14</v>
      </c>
      <c r="W24" s="56">
        <f t="shared" si="7"/>
        <v>1669.14</v>
      </c>
      <c r="X24" s="56"/>
      <c r="Y24" s="56"/>
      <c r="Z24" s="56"/>
      <c r="AA24" s="56"/>
      <c r="AB24" s="56"/>
      <c r="AC24" s="56"/>
      <c r="AD24" s="56">
        <f t="shared" si="4"/>
        <v>30136.78</v>
      </c>
      <c r="AE24" s="502" t="s">
        <v>137</v>
      </c>
      <c r="AF24" s="559"/>
      <c r="AG24" s="16"/>
      <c r="AJ24" s="88"/>
      <c r="AK24" s="88"/>
      <c r="AL24" s="560"/>
      <c r="AM24" s="88"/>
    </row>
    <row r="25" spans="1:39" ht="21.95" customHeight="1" x14ac:dyDescent="0.2">
      <c r="A25" s="545" t="s">
        <v>138</v>
      </c>
      <c r="B25" s="44"/>
      <c r="C25" s="32" t="s">
        <v>40</v>
      </c>
      <c r="D25" s="32" t="s">
        <v>595</v>
      </c>
      <c r="E25" s="32" t="s">
        <v>159</v>
      </c>
      <c r="F25" s="54">
        <f>'[1]SB(1-15)'!$F$26</f>
        <v>87440</v>
      </c>
      <c r="G25" s="54">
        <f t="shared" si="8"/>
        <v>43720</v>
      </c>
      <c r="H25" s="58"/>
      <c r="I25" s="58"/>
      <c r="J25" s="58"/>
      <c r="K25" s="58"/>
      <c r="L25" s="58"/>
      <c r="M25" s="58"/>
      <c r="N25" s="58"/>
      <c r="O25" s="58"/>
      <c r="P25" s="58"/>
      <c r="Q25" s="58"/>
      <c r="R25" s="58"/>
      <c r="S25" s="58"/>
      <c r="T25" s="58"/>
      <c r="U25" s="56">
        <v>13735</v>
      </c>
      <c r="V25" s="56"/>
      <c r="W25" s="56"/>
      <c r="X25" s="58"/>
      <c r="Y25" s="58"/>
      <c r="Z25" s="58"/>
      <c r="AA25" s="58"/>
      <c r="AB25" s="58"/>
      <c r="AC25" s="58"/>
      <c r="AD25" s="56">
        <f t="shared" si="4"/>
        <v>29985</v>
      </c>
      <c r="AE25" s="502" t="s">
        <v>138</v>
      </c>
      <c r="AF25" s="559"/>
      <c r="AG25" s="16"/>
      <c r="AJ25" s="88"/>
      <c r="AK25" s="88"/>
      <c r="AL25" s="560"/>
      <c r="AM25" s="88"/>
    </row>
    <row r="26" spans="1:39" ht="21.95" customHeight="1" x14ac:dyDescent="0.2">
      <c r="A26" s="545" t="s">
        <v>139</v>
      </c>
      <c r="B26" s="44"/>
      <c r="C26" s="32" t="s">
        <v>40</v>
      </c>
      <c r="D26" s="32" t="s">
        <v>595</v>
      </c>
      <c r="E26" s="32" t="s">
        <v>159</v>
      </c>
      <c r="F26" s="54">
        <f>'[1]SB(1-15)'!$F$27</f>
        <v>83457</v>
      </c>
      <c r="G26" s="54">
        <f t="shared" si="8"/>
        <v>41728.5</v>
      </c>
      <c r="H26" s="58"/>
      <c r="I26" s="58"/>
      <c r="J26" s="58"/>
      <c r="K26" s="58"/>
      <c r="L26" s="58"/>
      <c r="M26" s="58"/>
      <c r="N26" s="58"/>
      <c r="O26" s="58"/>
      <c r="P26" s="58"/>
      <c r="Q26" s="58"/>
      <c r="R26" s="58"/>
      <c r="S26" s="58"/>
      <c r="T26" s="58"/>
      <c r="U26" s="56">
        <v>9922.58</v>
      </c>
      <c r="V26" s="56">
        <f t="shared" si="6"/>
        <v>1669.14</v>
      </c>
      <c r="W26" s="56">
        <f t="shared" si="7"/>
        <v>1669.14</v>
      </c>
      <c r="X26" s="58"/>
      <c r="Y26" s="58"/>
      <c r="Z26" s="58"/>
      <c r="AA26" s="58"/>
      <c r="AB26" s="58"/>
      <c r="AC26" s="58"/>
      <c r="AD26" s="56">
        <f t="shared" si="4"/>
        <v>30136.78</v>
      </c>
      <c r="AE26" s="502" t="s">
        <v>139</v>
      </c>
      <c r="AF26" s="559"/>
      <c r="AG26" s="16"/>
      <c r="AJ26" s="88"/>
      <c r="AK26" s="88"/>
      <c r="AL26" s="560"/>
      <c r="AM26" s="88"/>
    </row>
    <row r="27" spans="1:39" ht="21.95" customHeight="1" x14ac:dyDescent="0.2">
      <c r="A27" s="545" t="s">
        <v>140</v>
      </c>
      <c r="B27" s="44"/>
      <c r="C27" s="32" t="s">
        <v>40</v>
      </c>
      <c r="D27" s="32" t="s">
        <v>595</v>
      </c>
      <c r="E27" s="32" t="s">
        <v>159</v>
      </c>
      <c r="F27" s="54">
        <f>'[1]SB(1-15)'!$F$28</f>
        <v>83457</v>
      </c>
      <c r="G27" s="54">
        <f t="shared" si="8"/>
        <v>41728.5</v>
      </c>
      <c r="H27" s="58"/>
      <c r="I27" s="58"/>
      <c r="J27" s="58"/>
      <c r="K27" s="58"/>
      <c r="L27" s="58"/>
      <c r="M27" s="58"/>
      <c r="N27" s="58"/>
      <c r="O27" s="58"/>
      <c r="P27" s="58"/>
      <c r="Q27" s="58"/>
      <c r="R27" s="58"/>
      <c r="S27" s="58"/>
      <c r="T27" s="58"/>
      <c r="U27" s="56">
        <v>9922.58</v>
      </c>
      <c r="V27" s="56">
        <f t="shared" si="6"/>
        <v>1669.14</v>
      </c>
      <c r="W27" s="56">
        <f t="shared" si="7"/>
        <v>1669.14</v>
      </c>
      <c r="X27" s="58"/>
      <c r="Y27" s="58"/>
      <c r="Z27" s="58"/>
      <c r="AA27" s="58"/>
      <c r="AB27" s="58"/>
      <c r="AC27" s="58"/>
      <c r="AD27" s="56">
        <f t="shared" si="4"/>
        <v>30136.78</v>
      </c>
      <c r="AE27" s="502" t="s">
        <v>140</v>
      </c>
      <c r="AF27" s="559"/>
      <c r="AG27" s="16"/>
      <c r="AJ27" s="88"/>
      <c r="AK27" s="88"/>
      <c r="AL27" s="560"/>
      <c r="AM27" s="88"/>
    </row>
    <row r="28" spans="1:39" ht="21.95" customHeight="1" x14ac:dyDescent="0.2">
      <c r="A28" s="545" t="s">
        <v>141</v>
      </c>
      <c r="B28" s="44"/>
      <c r="C28" s="32" t="s">
        <v>651</v>
      </c>
      <c r="D28" s="32" t="s">
        <v>158</v>
      </c>
      <c r="E28" s="32" t="s">
        <v>159</v>
      </c>
      <c r="F28" s="59">
        <f>'[1]SB(1-15)'!$F$29</f>
        <v>44057</v>
      </c>
      <c r="G28" s="59">
        <f t="shared" ref="G28:G33" si="9">F28/2</f>
        <v>22028.5</v>
      </c>
      <c r="H28" s="58"/>
      <c r="I28" s="58"/>
      <c r="J28" s="58">
        <v>655.56</v>
      </c>
      <c r="K28" s="58"/>
      <c r="L28" s="58">
        <v>300</v>
      </c>
      <c r="M28" s="58">
        <v>1166.67</v>
      </c>
      <c r="N28" s="58"/>
      <c r="O28" s="58"/>
      <c r="P28" s="58">
        <v>5790.9</v>
      </c>
      <c r="Q28" s="58"/>
      <c r="R28" s="58">
        <v>3853.78</v>
      </c>
      <c r="S28" s="58"/>
      <c r="T28" s="58"/>
      <c r="U28" s="58">
        <v>2830.19</v>
      </c>
      <c r="V28" s="56">
        <f t="shared" si="6"/>
        <v>881.14</v>
      </c>
      <c r="W28" s="56">
        <f t="shared" ref="W28:W33" si="10">V28</f>
        <v>881.14</v>
      </c>
      <c r="X28" s="58">
        <v>3370.91</v>
      </c>
      <c r="Y28" s="58"/>
      <c r="Z28" s="58"/>
      <c r="AA28" s="58">
        <v>0</v>
      </c>
      <c r="AB28" s="58"/>
      <c r="AC28" s="58"/>
      <c r="AD28" s="56">
        <f t="shared" si="4"/>
        <v>3179.3500000000004</v>
      </c>
      <c r="AE28" s="502" t="s">
        <v>141</v>
      </c>
      <c r="AF28" s="557"/>
      <c r="AG28" s="558" t="s">
        <v>37</v>
      </c>
      <c r="AH28" s="35"/>
    </row>
    <row r="29" spans="1:39" ht="21.95" customHeight="1" x14ac:dyDescent="0.2">
      <c r="A29" s="545" t="s">
        <v>142</v>
      </c>
      <c r="B29" s="44"/>
      <c r="C29" s="32" t="s">
        <v>473</v>
      </c>
      <c r="D29" s="32" t="s">
        <v>158</v>
      </c>
      <c r="E29" s="32" t="s">
        <v>159</v>
      </c>
      <c r="F29" s="59">
        <f>'[1]SB(1-15)'!$F$30</f>
        <v>22097</v>
      </c>
      <c r="G29" s="59">
        <f t="shared" si="9"/>
        <v>11048.5</v>
      </c>
      <c r="H29" s="58"/>
      <c r="I29" s="58"/>
      <c r="J29" s="58"/>
      <c r="K29" s="58"/>
      <c r="L29" s="58"/>
      <c r="M29" s="58">
        <v>1166.6600000000001</v>
      </c>
      <c r="N29" s="58"/>
      <c r="O29" s="58"/>
      <c r="P29" s="58">
        <v>1953.51</v>
      </c>
      <c r="Q29" s="58"/>
      <c r="R29" s="58"/>
      <c r="S29" s="58"/>
      <c r="T29" s="58"/>
      <c r="U29" s="58"/>
      <c r="V29" s="56">
        <f t="shared" si="6"/>
        <v>441.94</v>
      </c>
      <c r="W29" s="56">
        <f t="shared" si="10"/>
        <v>441.94</v>
      </c>
      <c r="X29" s="58"/>
      <c r="Y29" s="58"/>
      <c r="Z29" s="58"/>
      <c r="AA29" s="58">
        <v>0</v>
      </c>
      <c r="AB29" s="58"/>
      <c r="AC29" s="58"/>
      <c r="AD29" s="56">
        <f t="shared" si="4"/>
        <v>7486.3899999999994</v>
      </c>
      <c r="AE29" s="502" t="s">
        <v>142</v>
      </c>
      <c r="AF29" s="557"/>
      <c r="AG29" s="558"/>
      <c r="AH29" s="35"/>
    </row>
    <row r="30" spans="1:39" ht="21.95" customHeight="1" x14ac:dyDescent="0.2">
      <c r="A30" s="545" t="s">
        <v>143</v>
      </c>
      <c r="B30" s="44"/>
      <c r="C30" s="32" t="s">
        <v>499</v>
      </c>
      <c r="D30" s="32" t="s">
        <v>158</v>
      </c>
      <c r="E30" s="32" t="s">
        <v>159</v>
      </c>
      <c r="F30" s="59">
        <f>'[1]SB(1-15)'!$F$31</f>
        <v>14308</v>
      </c>
      <c r="G30" s="54">
        <f t="shared" si="9"/>
        <v>7154</v>
      </c>
      <c r="H30" s="56"/>
      <c r="I30" s="56"/>
      <c r="J30" s="56"/>
      <c r="K30" s="56"/>
      <c r="L30" s="56"/>
      <c r="M30" s="56"/>
      <c r="N30" s="56"/>
      <c r="O30" s="56"/>
      <c r="P30" s="56"/>
      <c r="Q30" s="56"/>
      <c r="R30" s="56"/>
      <c r="S30" s="56"/>
      <c r="T30" s="56"/>
      <c r="U30" s="56"/>
      <c r="V30" s="56">
        <f t="shared" si="6"/>
        <v>286.16000000000003</v>
      </c>
      <c r="W30" s="56">
        <f t="shared" si="10"/>
        <v>286.16000000000003</v>
      </c>
      <c r="X30" s="56"/>
      <c r="Y30" s="56"/>
      <c r="Z30" s="56"/>
      <c r="AA30" s="56">
        <v>2735.84</v>
      </c>
      <c r="AB30" s="56"/>
      <c r="AC30" s="56"/>
      <c r="AD30" s="56">
        <f t="shared" si="4"/>
        <v>4132</v>
      </c>
      <c r="AE30" s="502" t="s">
        <v>143</v>
      </c>
      <c r="AF30" s="557"/>
      <c r="AG30" s="558"/>
    </row>
    <row r="31" spans="1:39" ht="21.95" customHeight="1" x14ac:dyDescent="0.2">
      <c r="A31" s="545" t="s">
        <v>144</v>
      </c>
      <c r="B31" s="44"/>
      <c r="C31" s="32" t="s">
        <v>499</v>
      </c>
      <c r="D31" s="32" t="s">
        <v>158</v>
      </c>
      <c r="E31" s="32" t="s">
        <v>159</v>
      </c>
      <c r="F31" s="59">
        <f>'[1]SB(1-15)'!$F$32</f>
        <v>14308</v>
      </c>
      <c r="G31" s="54">
        <f t="shared" si="9"/>
        <v>7154</v>
      </c>
      <c r="H31" s="61"/>
      <c r="I31" s="56"/>
      <c r="J31" s="56"/>
      <c r="K31" s="56"/>
      <c r="L31" s="56"/>
      <c r="M31" s="56"/>
      <c r="N31" s="56"/>
      <c r="O31" s="56"/>
      <c r="P31" s="56"/>
      <c r="Q31" s="56"/>
      <c r="R31" s="56"/>
      <c r="S31" s="56"/>
      <c r="T31" s="56"/>
      <c r="U31" s="56"/>
      <c r="V31" s="56">
        <f t="shared" si="6"/>
        <v>286.16000000000003</v>
      </c>
      <c r="W31" s="56">
        <f t="shared" si="10"/>
        <v>286.16000000000003</v>
      </c>
      <c r="X31" s="56"/>
      <c r="Y31" s="56"/>
      <c r="Z31" s="56"/>
      <c r="AA31" s="56">
        <v>2844.14</v>
      </c>
      <c r="AB31" s="56"/>
      <c r="AC31" s="56"/>
      <c r="AD31" s="56">
        <f t="shared" si="4"/>
        <v>4023.7000000000003</v>
      </c>
      <c r="AE31" s="502" t="s">
        <v>144</v>
      </c>
      <c r="AF31" s="557"/>
      <c r="AG31" s="558"/>
    </row>
    <row r="32" spans="1:39" ht="21.95" customHeight="1" x14ac:dyDescent="0.2">
      <c r="A32" s="545" t="s">
        <v>145</v>
      </c>
      <c r="B32" s="44"/>
      <c r="C32" s="32" t="s">
        <v>446</v>
      </c>
      <c r="D32" s="32" t="s">
        <v>158</v>
      </c>
      <c r="E32" s="443" t="s">
        <v>159</v>
      </c>
      <c r="F32" s="54">
        <f>'[1]SB(1-15)'!$F$33</f>
        <v>13575</v>
      </c>
      <c r="G32" s="57">
        <f t="shared" si="9"/>
        <v>6787.5</v>
      </c>
      <c r="H32" s="55"/>
      <c r="I32" s="55"/>
      <c r="J32" s="55">
        <v>1000</v>
      </c>
      <c r="K32" s="55"/>
      <c r="L32" s="55"/>
      <c r="M32" s="55"/>
      <c r="N32" s="55"/>
      <c r="O32" s="55"/>
      <c r="P32" s="55">
        <v>1200</v>
      </c>
      <c r="Q32" s="55"/>
      <c r="R32" s="55"/>
      <c r="S32" s="55"/>
      <c r="T32" s="55"/>
      <c r="U32" s="55"/>
      <c r="V32" s="55">
        <f t="shared" si="6"/>
        <v>271.5</v>
      </c>
      <c r="W32" s="55">
        <f t="shared" si="10"/>
        <v>271.5</v>
      </c>
      <c r="X32" s="55">
        <v>232.92</v>
      </c>
      <c r="Y32" s="55"/>
      <c r="Z32" s="55"/>
      <c r="AA32" s="55">
        <v>3220.09</v>
      </c>
      <c r="AB32" s="55" t="s">
        <v>37</v>
      </c>
      <c r="AC32" s="55"/>
      <c r="AD32" s="55">
        <f t="shared" si="4"/>
        <v>862.98999999999978</v>
      </c>
      <c r="AE32" s="502" t="s">
        <v>145</v>
      </c>
      <c r="AF32" s="508"/>
      <c r="AG32" s="16"/>
      <c r="AH32" s="18"/>
      <c r="AI32" s="35"/>
    </row>
    <row r="33" spans="1:35" ht="21.95" customHeight="1" thickBot="1" x14ac:dyDescent="0.25">
      <c r="A33" s="545" t="s">
        <v>146</v>
      </c>
      <c r="B33" s="44"/>
      <c r="C33" s="32" t="s">
        <v>446</v>
      </c>
      <c r="D33" s="32" t="s">
        <v>158</v>
      </c>
      <c r="E33" s="443" t="s">
        <v>159</v>
      </c>
      <c r="F33" s="62">
        <f>'[1]SB(1-15)'!$F$34</f>
        <v>13474</v>
      </c>
      <c r="G33" s="62">
        <f t="shared" si="9"/>
        <v>6737</v>
      </c>
      <c r="H33" s="61"/>
      <c r="I33" s="61"/>
      <c r="J33" s="61"/>
      <c r="K33" s="61"/>
      <c r="L33" s="61"/>
      <c r="M33" s="61"/>
      <c r="N33" s="61"/>
      <c r="O33" s="61"/>
      <c r="P33" s="61"/>
      <c r="Q33" s="61"/>
      <c r="R33" s="61"/>
      <c r="S33" s="61"/>
      <c r="T33" s="61"/>
      <c r="U33" s="61"/>
      <c r="V33" s="61">
        <f t="shared" si="6"/>
        <v>269.48</v>
      </c>
      <c r="W33" s="61">
        <f t="shared" si="10"/>
        <v>269.48</v>
      </c>
      <c r="X33" s="61"/>
      <c r="Y33" s="61"/>
      <c r="Z33" s="61"/>
      <c r="AA33" s="61"/>
      <c r="AB33" s="61"/>
      <c r="AC33" s="61"/>
      <c r="AD33" s="60">
        <f t="shared" si="4"/>
        <v>6467.52</v>
      </c>
      <c r="AE33" s="502" t="s">
        <v>146</v>
      </c>
      <c r="AF33" s="508"/>
      <c r="AG33" s="16"/>
      <c r="AH33" s="18"/>
      <c r="AI33" s="35"/>
    </row>
    <row r="34" spans="1:35" ht="21.95" customHeight="1" thickBot="1" x14ac:dyDescent="0.25">
      <c r="A34" s="545" t="s">
        <v>147</v>
      </c>
      <c r="B34" s="44"/>
      <c r="C34" s="32"/>
      <c r="D34" s="32"/>
      <c r="E34" s="32"/>
      <c r="F34" s="472">
        <f t="shared" ref="F34:AD34" si="11">SUM(F19:F33)</f>
        <v>886187</v>
      </c>
      <c r="G34" s="472">
        <f t="shared" si="11"/>
        <v>443093.5</v>
      </c>
      <c r="H34" s="472">
        <f t="shared" si="11"/>
        <v>0</v>
      </c>
      <c r="I34" s="472">
        <f t="shared" si="11"/>
        <v>0</v>
      </c>
      <c r="J34" s="472">
        <f t="shared" si="11"/>
        <v>1655.56</v>
      </c>
      <c r="K34" s="472">
        <f t="shared" si="11"/>
        <v>0</v>
      </c>
      <c r="L34" s="472">
        <f t="shared" si="11"/>
        <v>300</v>
      </c>
      <c r="M34" s="472">
        <f t="shared" si="11"/>
        <v>2333.33</v>
      </c>
      <c r="N34" s="472">
        <f t="shared" si="11"/>
        <v>0</v>
      </c>
      <c r="O34" s="472">
        <f t="shared" si="11"/>
        <v>0</v>
      </c>
      <c r="P34" s="472">
        <f t="shared" si="11"/>
        <v>8944.41</v>
      </c>
      <c r="Q34" s="472">
        <f t="shared" si="11"/>
        <v>3255.22</v>
      </c>
      <c r="R34" s="472">
        <f t="shared" si="11"/>
        <v>3853.78</v>
      </c>
      <c r="S34" s="472">
        <f t="shared" si="11"/>
        <v>0</v>
      </c>
      <c r="T34" s="472">
        <f t="shared" si="11"/>
        <v>0</v>
      </c>
      <c r="U34" s="472">
        <f t="shared" si="11"/>
        <v>97950.890000000014</v>
      </c>
      <c r="V34" s="472">
        <f t="shared" si="11"/>
        <v>15974.939999999997</v>
      </c>
      <c r="W34" s="472">
        <f t="shared" si="11"/>
        <v>15974.939999999997</v>
      </c>
      <c r="X34" s="472">
        <f t="shared" si="11"/>
        <v>3603.83</v>
      </c>
      <c r="Y34" s="472">
        <f t="shared" si="11"/>
        <v>0</v>
      </c>
      <c r="Z34" s="472">
        <f t="shared" si="11"/>
        <v>0</v>
      </c>
      <c r="AA34" s="472">
        <f t="shared" si="11"/>
        <v>8800.07</v>
      </c>
      <c r="AB34" s="472">
        <f t="shared" si="11"/>
        <v>0</v>
      </c>
      <c r="AC34" s="472">
        <f t="shared" si="11"/>
        <v>18700.36</v>
      </c>
      <c r="AD34" s="472">
        <f t="shared" si="11"/>
        <v>277721.11000000004</v>
      </c>
      <c r="AE34" s="502" t="s">
        <v>147</v>
      </c>
      <c r="AF34" s="508" t="s">
        <v>37</v>
      </c>
      <c r="AG34" s="16"/>
    </row>
    <row r="35" spans="1:35" ht="21.95" customHeight="1" thickTop="1" x14ac:dyDescent="0.2">
      <c r="A35" s="545" t="s">
        <v>148</v>
      </c>
      <c r="B35" s="408" t="s">
        <v>43</v>
      </c>
      <c r="C35" s="32" t="s">
        <v>37</v>
      </c>
      <c r="D35" s="32" t="s">
        <v>37</v>
      </c>
      <c r="E35" s="32"/>
      <c r="F35" s="56" t="s">
        <v>37</v>
      </c>
      <c r="G35" s="56" t="s">
        <v>37</v>
      </c>
      <c r="H35" s="56" t="s">
        <v>37</v>
      </c>
      <c r="I35" s="56"/>
      <c r="J35" s="56" t="s">
        <v>37</v>
      </c>
      <c r="K35" s="56" t="s">
        <v>37</v>
      </c>
      <c r="L35" s="56"/>
      <c r="M35" s="56"/>
      <c r="N35" s="56"/>
      <c r="O35" s="56"/>
      <c r="P35" s="56"/>
      <c r="Q35" s="56"/>
      <c r="R35" s="56"/>
      <c r="S35" s="56" t="s">
        <v>37</v>
      </c>
      <c r="T35" s="56" t="s">
        <v>37</v>
      </c>
      <c r="U35" s="56"/>
      <c r="V35" s="56"/>
      <c r="W35" s="56"/>
      <c r="X35" s="56"/>
      <c r="Y35" s="56"/>
      <c r="Z35" s="56"/>
      <c r="AA35" s="56"/>
      <c r="AB35" s="56"/>
      <c r="AC35" s="56"/>
      <c r="AD35" s="55" t="s">
        <v>37</v>
      </c>
      <c r="AE35" s="502" t="s">
        <v>148</v>
      </c>
      <c r="AF35" s="508"/>
      <c r="AG35" s="16"/>
    </row>
    <row r="36" spans="1:35" ht="21.95" customHeight="1" x14ac:dyDescent="0.2">
      <c r="A36" s="545" t="s">
        <v>149</v>
      </c>
      <c r="B36" s="44"/>
      <c r="C36" s="32" t="s">
        <v>45</v>
      </c>
      <c r="D36" s="935" t="s">
        <v>686</v>
      </c>
      <c r="E36" s="935"/>
      <c r="F36" s="54">
        <f>'[1]SB(1-15)'!$F$37</f>
        <v>93016</v>
      </c>
      <c r="G36" s="54">
        <f t="shared" ref="G36:G39" si="12">F36/2</f>
        <v>46508</v>
      </c>
      <c r="H36" s="56"/>
      <c r="I36" s="56"/>
      <c r="J36" s="56">
        <v>655.56</v>
      </c>
      <c r="K36" s="56"/>
      <c r="L36" s="56"/>
      <c r="M36" s="56"/>
      <c r="N36" s="56"/>
      <c r="O36" s="56"/>
      <c r="P36" s="56">
        <v>7957.7</v>
      </c>
      <c r="Q36" s="56"/>
      <c r="R36" s="56">
        <v>4817.22</v>
      </c>
      <c r="S36" s="56"/>
      <c r="T36" s="56"/>
      <c r="U36" s="56">
        <v>11989.71</v>
      </c>
      <c r="V36" s="56">
        <f t="shared" ref="V36:V41" si="13">F36*0.02</f>
        <v>1860.32</v>
      </c>
      <c r="W36" s="56">
        <f t="shared" ref="W36:W37" si="14">V36</f>
        <v>1860.32</v>
      </c>
      <c r="X36" s="56">
        <v>1000</v>
      </c>
      <c r="Y36" s="56"/>
      <c r="Z36" s="56"/>
      <c r="AA36" s="56">
        <v>11657.06</v>
      </c>
      <c r="AB36" s="56" t="s">
        <v>37</v>
      </c>
      <c r="AC36" s="56"/>
      <c r="AD36" s="56">
        <f t="shared" ref="AD36:AD41" si="15">G36-SUM(I36:V36)-SUM(X36:AC36)</f>
        <v>6570.4300000000021</v>
      </c>
      <c r="AE36" s="502" t="s">
        <v>149</v>
      </c>
      <c r="AF36" s="508"/>
      <c r="AG36" s="16"/>
      <c r="AH36" s="18"/>
    </row>
    <row r="37" spans="1:35" ht="21.95" customHeight="1" x14ac:dyDescent="0.2">
      <c r="A37" s="545" t="s">
        <v>150</v>
      </c>
      <c r="B37" s="44"/>
      <c r="C37" s="32" t="s">
        <v>648</v>
      </c>
      <c r="D37" s="32" t="s">
        <v>37</v>
      </c>
      <c r="E37" s="32" t="s">
        <v>159</v>
      </c>
      <c r="F37" s="54">
        <f>'[1]SB(1-15)'!$F$38</f>
        <v>22097</v>
      </c>
      <c r="G37" s="54">
        <f t="shared" si="12"/>
        <v>11048.5</v>
      </c>
      <c r="H37" s="56"/>
      <c r="I37" s="56"/>
      <c r="J37" s="56"/>
      <c r="K37" s="56"/>
      <c r="L37" s="56"/>
      <c r="M37" s="56"/>
      <c r="N37" s="56"/>
      <c r="O37" s="56"/>
      <c r="P37" s="56"/>
      <c r="Q37" s="56"/>
      <c r="R37" s="56"/>
      <c r="S37" s="56"/>
      <c r="T37" s="56"/>
      <c r="U37" s="56"/>
      <c r="V37" s="56">
        <f t="shared" si="13"/>
        <v>441.94</v>
      </c>
      <c r="W37" s="56">
        <f t="shared" si="14"/>
        <v>441.94</v>
      </c>
      <c r="X37" s="56"/>
      <c r="Y37" s="56"/>
      <c r="Z37" s="56"/>
      <c r="AA37" s="56"/>
      <c r="AB37" s="56" t="s">
        <v>37</v>
      </c>
      <c r="AC37" s="56"/>
      <c r="AD37" s="56">
        <f t="shared" si="15"/>
        <v>10606.56</v>
      </c>
      <c r="AE37" s="502" t="s">
        <v>150</v>
      </c>
      <c r="AF37" s="508"/>
      <c r="AG37" s="16"/>
      <c r="AH37" s="18"/>
    </row>
    <row r="38" spans="1:35" ht="21.95" customHeight="1" x14ac:dyDescent="0.2">
      <c r="A38" s="545" t="s">
        <v>151</v>
      </c>
      <c r="B38" s="44"/>
      <c r="C38" s="32" t="s">
        <v>473</v>
      </c>
      <c r="D38" s="32" t="s">
        <v>158</v>
      </c>
      <c r="E38" s="32" t="s">
        <v>159</v>
      </c>
      <c r="F38" s="54">
        <f>'[1]SB(1-15)'!$F$39</f>
        <v>21748</v>
      </c>
      <c r="G38" s="54">
        <f t="shared" si="12"/>
        <v>10874</v>
      </c>
      <c r="H38" s="56"/>
      <c r="I38" s="56"/>
      <c r="J38" s="55">
        <v>1311.12</v>
      </c>
      <c r="K38" s="56"/>
      <c r="L38" s="56"/>
      <c r="M38" s="58">
        <v>1166.6600000000001</v>
      </c>
      <c r="N38" s="56"/>
      <c r="O38" s="56"/>
      <c r="P38" s="55">
        <v>1957.57</v>
      </c>
      <c r="Q38" s="55"/>
      <c r="R38" s="56"/>
      <c r="S38" s="56"/>
      <c r="T38" s="56"/>
      <c r="U38" s="56"/>
      <c r="V38" s="56">
        <f t="shared" si="13"/>
        <v>434.96000000000004</v>
      </c>
      <c r="W38" s="56">
        <f>V38</f>
        <v>434.96000000000004</v>
      </c>
      <c r="X38" s="56"/>
      <c r="Y38" s="56"/>
      <c r="Z38" s="56"/>
      <c r="AA38" s="56"/>
      <c r="AB38" s="58"/>
      <c r="AC38" s="56"/>
      <c r="AD38" s="56">
        <f t="shared" si="15"/>
        <v>6003.6900000000005</v>
      </c>
      <c r="AE38" s="502" t="s">
        <v>151</v>
      </c>
      <c r="AF38" s="508"/>
      <c r="AG38" s="16"/>
      <c r="AH38" s="18"/>
    </row>
    <row r="39" spans="1:35" ht="21.95" customHeight="1" x14ac:dyDescent="0.2">
      <c r="A39" s="545" t="s">
        <v>152</v>
      </c>
      <c r="B39" s="44"/>
      <c r="C39" s="32" t="s">
        <v>473</v>
      </c>
      <c r="D39" s="32" t="s">
        <v>158</v>
      </c>
      <c r="E39" s="32" t="s">
        <v>159</v>
      </c>
      <c r="F39" s="54">
        <f>'[1]SB(1-15)'!$F$40</f>
        <v>21748</v>
      </c>
      <c r="G39" s="54">
        <f t="shared" si="12"/>
        <v>10874</v>
      </c>
      <c r="H39" s="56"/>
      <c r="I39" s="56">
        <v>298.27999999999997</v>
      </c>
      <c r="J39" s="56">
        <v>1191.8800000000001</v>
      </c>
      <c r="K39" s="56"/>
      <c r="L39" s="56"/>
      <c r="M39" s="56">
        <v>700</v>
      </c>
      <c r="N39" s="56"/>
      <c r="O39" s="56"/>
      <c r="P39" s="56"/>
      <c r="Q39" s="56"/>
      <c r="R39" s="56"/>
      <c r="S39" s="56"/>
      <c r="T39" s="56"/>
      <c r="U39" s="56"/>
      <c r="V39" s="56">
        <f t="shared" si="13"/>
        <v>434.96000000000004</v>
      </c>
      <c r="W39" s="56">
        <f>V39</f>
        <v>434.96000000000004</v>
      </c>
      <c r="X39" s="56"/>
      <c r="Y39" s="56"/>
      <c r="Z39" s="56"/>
      <c r="AA39" s="56"/>
      <c r="AB39" s="58"/>
      <c r="AC39" s="56"/>
      <c r="AD39" s="56">
        <f t="shared" si="15"/>
        <v>8248.880000000001</v>
      </c>
      <c r="AE39" s="502" t="s">
        <v>152</v>
      </c>
      <c r="AF39" s="508"/>
      <c r="AG39" s="16"/>
      <c r="AH39" s="18"/>
    </row>
    <row r="40" spans="1:35" ht="21.95" customHeight="1" x14ac:dyDescent="0.2">
      <c r="A40" s="545" t="s">
        <v>153</v>
      </c>
      <c r="B40" s="44"/>
      <c r="C40" s="32" t="s">
        <v>654</v>
      </c>
      <c r="D40" s="32" t="s">
        <v>158</v>
      </c>
      <c r="E40" s="32" t="s">
        <v>159</v>
      </c>
      <c r="F40" s="54">
        <f>'[1]SB(1-15)'!$F$41</f>
        <v>18231</v>
      </c>
      <c r="G40" s="54">
        <f>F40/2</f>
        <v>9115.5</v>
      </c>
      <c r="H40" s="56"/>
      <c r="I40" s="56"/>
      <c r="J40" s="56">
        <v>655.56</v>
      </c>
      <c r="K40" s="56"/>
      <c r="L40" s="56"/>
      <c r="M40" s="56">
        <v>1166.6600000000001</v>
      </c>
      <c r="N40" s="56"/>
      <c r="O40" s="56">
        <v>1366.67</v>
      </c>
      <c r="P40" s="56">
        <v>1139.93</v>
      </c>
      <c r="Q40" s="56"/>
      <c r="R40" s="56"/>
      <c r="S40" s="56"/>
      <c r="T40" s="56"/>
      <c r="U40" s="56"/>
      <c r="V40" s="56">
        <f t="shared" si="13"/>
        <v>364.62</v>
      </c>
      <c r="W40" s="56">
        <f>V40</f>
        <v>364.62</v>
      </c>
      <c r="X40" s="56">
        <v>908.85</v>
      </c>
      <c r="Y40" s="56"/>
      <c r="Z40" s="56"/>
      <c r="AA40" s="56">
        <v>3000</v>
      </c>
      <c r="AB40" s="58"/>
      <c r="AC40" s="56"/>
      <c r="AD40" s="56">
        <f t="shared" si="15"/>
        <v>513.20999999999958</v>
      </c>
      <c r="AE40" s="502" t="s">
        <v>153</v>
      </c>
      <c r="AF40" s="557"/>
      <c r="AG40" s="561"/>
    </row>
    <row r="41" spans="1:35" ht="21.95" customHeight="1" thickBot="1" x14ac:dyDescent="0.25">
      <c r="A41" s="545" t="s">
        <v>154</v>
      </c>
      <c r="B41" s="44"/>
      <c r="C41" s="256" t="s">
        <v>609</v>
      </c>
      <c r="D41" s="32" t="s">
        <v>158</v>
      </c>
      <c r="E41" s="443" t="s">
        <v>159</v>
      </c>
      <c r="F41" s="470">
        <f>'[1]SB(1-15)'!$F$42</f>
        <v>16233</v>
      </c>
      <c r="G41" s="470">
        <f t="shared" ref="G41" si="16">F41/2</f>
        <v>8116.5</v>
      </c>
      <c r="H41" s="60"/>
      <c r="I41" s="60"/>
      <c r="J41" s="60"/>
      <c r="K41" s="60"/>
      <c r="L41" s="60"/>
      <c r="M41" s="60"/>
      <c r="N41" s="60"/>
      <c r="O41" s="60"/>
      <c r="P41" s="60"/>
      <c r="Q41" s="60"/>
      <c r="R41" s="60"/>
      <c r="S41" s="60"/>
      <c r="T41" s="60"/>
      <c r="U41" s="60"/>
      <c r="V41" s="60">
        <f t="shared" si="13"/>
        <v>324.66000000000003</v>
      </c>
      <c r="W41" s="60">
        <f t="shared" ref="W41" si="17">V41</f>
        <v>324.66000000000003</v>
      </c>
      <c r="X41" s="60"/>
      <c r="Y41" s="60"/>
      <c r="Z41" s="60"/>
      <c r="AA41" s="60"/>
      <c r="AB41" s="60" t="s">
        <v>37</v>
      </c>
      <c r="AC41" s="60"/>
      <c r="AD41" s="60">
        <f t="shared" si="15"/>
        <v>7791.84</v>
      </c>
      <c r="AE41" s="502" t="s">
        <v>154</v>
      </c>
      <c r="AF41" s="508"/>
      <c r="AG41" s="16"/>
      <c r="AH41" s="18"/>
    </row>
    <row r="42" spans="1:35" ht="21.95" customHeight="1" thickBot="1" x14ac:dyDescent="0.25">
      <c r="A42" s="545" t="s">
        <v>155</v>
      </c>
      <c r="B42" s="44"/>
      <c r="C42" s="32" t="s">
        <v>37</v>
      </c>
      <c r="D42" s="23" t="s">
        <v>37</v>
      </c>
      <c r="E42" s="23" t="s">
        <v>37</v>
      </c>
      <c r="F42" s="64">
        <f>SUM(F36:F41)</f>
        <v>193073</v>
      </c>
      <c r="G42" s="64">
        <f>SUM(G36:G41)</f>
        <v>96536.5</v>
      </c>
      <c r="H42" s="64">
        <f t="shared" ref="H42" si="18">SUM(H36:H41)</f>
        <v>0</v>
      </c>
      <c r="I42" s="64">
        <f t="shared" ref="I42:AC42" si="19">SUM(I36:I41)</f>
        <v>298.27999999999997</v>
      </c>
      <c r="J42" s="64">
        <f t="shared" si="19"/>
        <v>3814.12</v>
      </c>
      <c r="K42" s="64">
        <f t="shared" si="19"/>
        <v>0</v>
      </c>
      <c r="L42" s="64">
        <f>SUM(L36:L41)</f>
        <v>0</v>
      </c>
      <c r="M42" s="64">
        <f>SUM(M36:M41)</f>
        <v>3033.32</v>
      </c>
      <c r="N42" s="64">
        <f t="shared" si="19"/>
        <v>0</v>
      </c>
      <c r="O42" s="64">
        <f>SUM(O36:O41)</f>
        <v>1366.67</v>
      </c>
      <c r="P42" s="64">
        <f t="shared" si="19"/>
        <v>11055.2</v>
      </c>
      <c r="Q42" s="64">
        <f t="shared" si="19"/>
        <v>0</v>
      </c>
      <c r="R42" s="64">
        <f t="shared" si="19"/>
        <v>4817.22</v>
      </c>
      <c r="S42" s="64">
        <f t="shared" si="19"/>
        <v>0</v>
      </c>
      <c r="T42" s="64">
        <f t="shared" si="19"/>
        <v>0</v>
      </c>
      <c r="U42" s="64">
        <f t="shared" si="19"/>
        <v>11989.71</v>
      </c>
      <c r="V42" s="64">
        <f>SUM(V36:V41)</f>
        <v>3861.4599999999996</v>
      </c>
      <c r="W42" s="64">
        <f t="shared" si="19"/>
        <v>3861.4599999999996</v>
      </c>
      <c r="X42" s="64">
        <f t="shared" si="19"/>
        <v>1908.85</v>
      </c>
      <c r="Y42" s="64">
        <f t="shared" si="19"/>
        <v>0</v>
      </c>
      <c r="Z42" s="64">
        <f>SUM(Z36:Z41)</f>
        <v>0</v>
      </c>
      <c r="AA42" s="64">
        <f>SUM(AA36:AA41)</f>
        <v>14657.06</v>
      </c>
      <c r="AB42" s="64">
        <f t="shared" si="19"/>
        <v>0</v>
      </c>
      <c r="AC42" s="64">
        <f t="shared" si="19"/>
        <v>0</v>
      </c>
      <c r="AD42" s="64">
        <f>SUM(AD36:AD41)</f>
        <v>39734.61</v>
      </c>
      <c r="AE42" s="502" t="s">
        <v>155</v>
      </c>
      <c r="AF42" s="508" t="s">
        <v>37</v>
      </c>
      <c r="AG42" s="16"/>
      <c r="AI42" s="35"/>
    </row>
    <row r="43" spans="1:35" ht="21.95" customHeight="1" thickTop="1" x14ac:dyDescent="0.2">
      <c r="A43" s="545" t="s">
        <v>156</v>
      </c>
      <c r="B43" s="44" t="s">
        <v>37</v>
      </c>
      <c r="C43" s="32" t="s">
        <v>37</v>
      </c>
      <c r="D43" s="32"/>
      <c r="E43" s="32"/>
      <c r="F43" s="55" t="s">
        <v>37</v>
      </c>
      <c r="G43" s="55" t="s">
        <v>37</v>
      </c>
      <c r="H43" s="55"/>
      <c r="I43" s="55"/>
      <c r="J43" s="55" t="s">
        <v>37</v>
      </c>
      <c r="K43" s="55" t="s">
        <v>37</v>
      </c>
      <c r="L43" s="55" t="s">
        <v>37</v>
      </c>
      <c r="M43" s="55" t="s">
        <v>37</v>
      </c>
      <c r="N43" s="55"/>
      <c r="O43" s="55"/>
      <c r="P43" s="55"/>
      <c r="Q43" s="55"/>
      <c r="R43" s="55" t="s">
        <v>37</v>
      </c>
      <c r="S43" s="55" t="s">
        <v>37</v>
      </c>
      <c r="T43" s="55" t="s">
        <v>37</v>
      </c>
      <c r="U43" s="55"/>
      <c r="V43" s="55"/>
      <c r="W43" s="55"/>
      <c r="X43" s="55"/>
      <c r="Y43" s="55"/>
      <c r="Z43" s="55"/>
      <c r="AA43" s="55"/>
      <c r="AB43" s="55"/>
      <c r="AC43" s="55"/>
      <c r="AD43" s="55" t="s">
        <v>37</v>
      </c>
      <c r="AE43" s="502" t="s">
        <v>156</v>
      </c>
      <c r="AF43" s="508"/>
      <c r="AG43" s="16"/>
    </row>
    <row r="44" spans="1:35" ht="21.95" customHeight="1" thickBot="1" x14ac:dyDescent="0.25">
      <c r="A44" s="562" t="s">
        <v>157</v>
      </c>
      <c r="B44" s="31" t="s">
        <v>541</v>
      </c>
      <c r="C44" s="34"/>
      <c r="D44" s="34"/>
      <c r="E44" s="34"/>
      <c r="F44" s="478">
        <f t="shared" ref="F44:AD44" si="20">F42+F34+F17</f>
        <v>1256731</v>
      </c>
      <c r="G44" s="478">
        <f t="shared" si="20"/>
        <v>628365.5</v>
      </c>
      <c r="H44" s="478">
        <f t="shared" si="20"/>
        <v>0</v>
      </c>
      <c r="I44" s="478">
        <f t="shared" si="20"/>
        <v>298.27999999999997</v>
      </c>
      <c r="J44" s="478">
        <f t="shared" si="20"/>
        <v>5469.68</v>
      </c>
      <c r="K44" s="478">
        <f t="shared" si="20"/>
        <v>0</v>
      </c>
      <c r="L44" s="478">
        <f t="shared" si="20"/>
        <v>300</v>
      </c>
      <c r="M44" s="478">
        <f t="shared" si="20"/>
        <v>5366.65</v>
      </c>
      <c r="N44" s="478">
        <f t="shared" si="20"/>
        <v>0</v>
      </c>
      <c r="O44" s="478">
        <f t="shared" si="20"/>
        <v>1366.67</v>
      </c>
      <c r="P44" s="478">
        <f t="shared" si="20"/>
        <v>19999.61</v>
      </c>
      <c r="Q44" s="478">
        <f t="shared" si="20"/>
        <v>3255.22</v>
      </c>
      <c r="R44" s="478">
        <f t="shared" si="20"/>
        <v>8671</v>
      </c>
      <c r="S44" s="478">
        <f t="shared" si="20"/>
        <v>0</v>
      </c>
      <c r="T44" s="478">
        <f t="shared" si="20"/>
        <v>0</v>
      </c>
      <c r="U44" s="478">
        <f t="shared" si="20"/>
        <v>123496.88</v>
      </c>
      <c r="V44" s="478">
        <f t="shared" si="20"/>
        <v>23385.82</v>
      </c>
      <c r="W44" s="478">
        <f t="shared" si="20"/>
        <v>23385.82</v>
      </c>
      <c r="X44" s="478">
        <f t="shared" si="20"/>
        <v>5968.26</v>
      </c>
      <c r="Y44" s="478">
        <f t="shared" si="20"/>
        <v>0</v>
      </c>
      <c r="Z44" s="478">
        <f t="shared" si="20"/>
        <v>0</v>
      </c>
      <c r="AA44" s="478">
        <f t="shared" si="20"/>
        <v>23457.129999999997</v>
      </c>
      <c r="AB44" s="478">
        <f t="shared" si="20"/>
        <v>0</v>
      </c>
      <c r="AC44" s="478">
        <f>AC42+AC34+AC17</f>
        <v>29721.61</v>
      </c>
      <c r="AD44" s="478">
        <f t="shared" si="20"/>
        <v>377608.69</v>
      </c>
      <c r="AE44" s="563" t="s">
        <v>157</v>
      </c>
      <c r="AF44" s="564"/>
      <c r="AG44" s="565" t="s">
        <v>37</v>
      </c>
    </row>
    <row r="45" spans="1:35" ht="9.75" customHeight="1" thickTop="1" x14ac:dyDescent="0.2">
      <c r="K45" s="1" t="s">
        <v>37</v>
      </c>
      <c r="AF45" s="18"/>
    </row>
    <row r="46" spans="1:35" ht="6.75" customHeight="1" x14ac:dyDescent="0.2">
      <c r="AC46" s="889" t="s">
        <v>48</v>
      </c>
      <c r="AD46" s="967"/>
      <c r="AE46" s="967"/>
      <c r="AF46" s="967"/>
      <c r="AG46" s="967"/>
    </row>
    <row r="47" spans="1:35" ht="11.25" customHeight="1" x14ac:dyDescent="0.2">
      <c r="A47" s="889" t="s">
        <v>49</v>
      </c>
      <c r="B47" s="889"/>
      <c r="C47" s="889"/>
      <c r="D47" s="889"/>
      <c r="E47" s="889"/>
      <c r="F47" s="889"/>
      <c r="O47" s="35"/>
      <c r="AC47" s="967"/>
      <c r="AD47" s="967"/>
      <c r="AE47" s="967"/>
      <c r="AF47" s="967"/>
      <c r="AG47" s="967"/>
    </row>
    <row r="48" spans="1:35" x14ac:dyDescent="0.2">
      <c r="A48" s="889"/>
      <c r="B48" s="889"/>
      <c r="C48" s="889"/>
      <c r="D48" s="889"/>
      <c r="E48" s="889"/>
      <c r="F48" s="889"/>
      <c r="G48" s="35"/>
      <c r="L48" s="17"/>
      <c r="M48" s="17"/>
      <c r="N48" s="17"/>
      <c r="O48" s="17"/>
      <c r="P48" s="17"/>
      <c r="Q48" s="17"/>
      <c r="R48" s="17"/>
      <c r="V48" s="17" t="s">
        <v>531</v>
      </c>
      <c r="AC48" s="967"/>
      <c r="AD48" s="967"/>
      <c r="AE48" s="967"/>
      <c r="AF48" s="967"/>
      <c r="AG48" s="967"/>
    </row>
    <row r="49" spans="1:33" ht="12.75" x14ac:dyDescent="0.2">
      <c r="A49" s="889"/>
      <c r="B49" s="889"/>
      <c r="C49" s="889"/>
      <c r="D49" s="889"/>
      <c r="E49" s="889"/>
      <c r="F49" s="889"/>
      <c r="I49" s="488"/>
      <c r="J49" s="488"/>
      <c r="K49" s="488"/>
      <c r="L49" s="488"/>
      <c r="M49" s="488"/>
      <c r="N49" s="488"/>
      <c r="O49" s="488"/>
      <c r="P49" s="488"/>
      <c r="Q49" s="488"/>
      <c r="R49" s="488"/>
      <c r="AC49" s="967"/>
      <c r="AD49" s="967"/>
      <c r="AE49" s="967"/>
      <c r="AF49" s="967"/>
      <c r="AG49" s="967"/>
    </row>
    <row r="50" spans="1:33" ht="12.75" x14ac:dyDescent="0.2">
      <c r="I50" s="201"/>
      <c r="J50" s="201"/>
      <c r="K50" s="201"/>
      <c r="L50" s="201"/>
      <c r="M50" s="201"/>
      <c r="N50" s="201"/>
      <c r="O50" s="201"/>
      <c r="P50" s="201"/>
      <c r="Q50" s="201"/>
      <c r="R50" s="201"/>
      <c r="AC50" s="967"/>
      <c r="AD50" s="967"/>
      <c r="AE50" s="967"/>
      <c r="AF50" s="967"/>
      <c r="AG50" s="967"/>
    </row>
    <row r="51" spans="1:33" ht="12.75" x14ac:dyDescent="0.2">
      <c r="C51" s="921" t="s">
        <v>678</v>
      </c>
      <c r="D51" s="921"/>
      <c r="E51" s="921"/>
      <c r="F51" s="921"/>
      <c r="I51" s="201"/>
      <c r="J51" s="201"/>
      <c r="K51" s="201"/>
      <c r="L51" s="201"/>
      <c r="M51" s="201"/>
      <c r="N51" s="201"/>
      <c r="O51" s="201"/>
      <c r="P51" s="201"/>
      <c r="Q51" s="201"/>
      <c r="R51" s="201"/>
      <c r="S51" s="201"/>
      <c r="V51" s="921" t="s">
        <v>678</v>
      </c>
      <c r="W51" s="921"/>
      <c r="X51" s="921"/>
      <c r="Y51" s="921"/>
      <c r="Z51" s="625"/>
      <c r="AC51" s="967"/>
      <c r="AD51" s="967"/>
      <c r="AE51" s="967"/>
      <c r="AF51" s="967"/>
      <c r="AG51" s="967"/>
    </row>
    <row r="52" spans="1:33" ht="12.75" customHeight="1" x14ac:dyDescent="0.2">
      <c r="C52" s="824" t="s">
        <v>383</v>
      </c>
      <c r="D52" s="824"/>
      <c r="E52" s="824"/>
      <c r="F52" s="824"/>
      <c r="R52" s="1090"/>
      <c r="S52" s="809"/>
      <c r="V52" s="824" t="s">
        <v>383</v>
      </c>
      <c r="W52" s="824"/>
      <c r="X52" s="824"/>
      <c r="Y52" s="824"/>
      <c r="Z52" s="306"/>
      <c r="AC52" s="967"/>
      <c r="AD52" s="967"/>
      <c r="AE52" s="967"/>
      <c r="AF52" s="967"/>
      <c r="AG52" s="967"/>
    </row>
    <row r="53" spans="1:33" ht="12.75" x14ac:dyDescent="0.2">
      <c r="V53" s="824" t="s">
        <v>51</v>
      </c>
      <c r="W53" s="824"/>
      <c r="X53" s="824"/>
      <c r="Y53" s="824"/>
      <c r="Z53" s="306"/>
      <c r="AF53" s="18"/>
    </row>
    <row r="54" spans="1:33" x14ac:dyDescent="0.2">
      <c r="A54" s="17" t="s">
        <v>52</v>
      </c>
      <c r="AC54" s="525"/>
      <c r="AD54" s="525"/>
      <c r="AE54" s="525"/>
      <c r="AF54" s="525" t="s">
        <v>111</v>
      </c>
    </row>
    <row r="55" spans="1:33" x14ac:dyDescent="0.2">
      <c r="AC55" s="524"/>
      <c r="AD55" s="524"/>
      <c r="AE55" s="524"/>
      <c r="AF55" s="524" t="s">
        <v>105</v>
      </c>
    </row>
    <row r="56" spans="1:33" x14ac:dyDescent="0.2">
      <c r="E56" s="1" t="s">
        <v>53</v>
      </c>
      <c r="AC56" s="888" t="s">
        <v>55</v>
      </c>
      <c r="AD56" s="1105"/>
      <c r="AE56" s="1105"/>
      <c r="AF56" s="1105"/>
      <c r="AG56" s="967"/>
    </row>
    <row r="57" spans="1:33" x14ac:dyDescent="0.2">
      <c r="AC57" s="1105"/>
      <c r="AD57" s="1105"/>
      <c r="AE57" s="1105"/>
      <c r="AF57" s="1105"/>
      <c r="AG57" s="967"/>
    </row>
    <row r="58" spans="1:33" ht="11.25" customHeight="1" x14ac:dyDescent="0.2">
      <c r="A58" s="17" t="s">
        <v>54</v>
      </c>
      <c r="AC58" s="1105"/>
      <c r="AD58" s="1105"/>
      <c r="AE58" s="1105"/>
      <c r="AF58" s="1105"/>
      <c r="AG58" s="967"/>
    </row>
    <row r="59" spans="1:33" x14ac:dyDescent="0.2">
      <c r="AC59" s="1105"/>
      <c r="AD59" s="1105"/>
      <c r="AE59" s="1105"/>
      <c r="AF59" s="1105"/>
      <c r="AG59" s="967"/>
    </row>
    <row r="60" spans="1:33" x14ac:dyDescent="0.2">
      <c r="C60" s="1" t="s">
        <v>56</v>
      </c>
      <c r="E60" s="1" t="s">
        <v>57</v>
      </c>
      <c r="AC60" s="1105"/>
      <c r="AD60" s="1105"/>
      <c r="AE60" s="1105"/>
      <c r="AF60" s="1105"/>
      <c r="AG60" s="967"/>
    </row>
    <row r="62" spans="1:33" x14ac:dyDescent="0.2">
      <c r="AC62" s="525"/>
      <c r="AD62" s="525"/>
      <c r="AE62" s="525"/>
      <c r="AF62" s="525" t="s">
        <v>184</v>
      </c>
      <c r="AG62" s="19"/>
    </row>
    <row r="63" spans="1:33" x14ac:dyDescent="0.2">
      <c r="C63" s="1000" t="s">
        <v>58</v>
      </c>
      <c r="D63" s="1000"/>
      <c r="E63" s="1000"/>
      <c r="AF63" s="1" t="s">
        <v>185</v>
      </c>
    </row>
  </sheetData>
  <mergeCells count="56">
    <mergeCell ref="AC56:AG60"/>
    <mergeCell ref="E5:E7"/>
    <mergeCell ref="T8:T9"/>
    <mergeCell ref="H5:H8"/>
    <mergeCell ref="D11:E11"/>
    <mergeCell ref="S8:S9"/>
    <mergeCell ref="O6:O9"/>
    <mergeCell ref="P6:P9"/>
    <mergeCell ref="V53:Y53"/>
    <mergeCell ref="I5:R5"/>
    <mergeCell ref="AA5:AA9"/>
    <mergeCell ref="I6:I9"/>
    <mergeCell ref="J6:J9"/>
    <mergeCell ref="S5:T5"/>
    <mergeCell ref="S6:T7"/>
    <mergeCell ref="AC46:AG52"/>
    <mergeCell ref="C63:E63"/>
    <mergeCell ref="A1:AG1"/>
    <mergeCell ref="A2:AG3"/>
    <mergeCell ref="A4:A7"/>
    <mergeCell ref="B4:B9"/>
    <mergeCell ref="C4:C9"/>
    <mergeCell ref="F6:F7"/>
    <mergeCell ref="D4:E4"/>
    <mergeCell ref="F4:F5"/>
    <mergeCell ref="AD5:AD9"/>
    <mergeCell ref="D5:D7"/>
    <mergeCell ref="G4:G7"/>
    <mergeCell ref="AG6:AG8"/>
    <mergeCell ref="R52:S52"/>
    <mergeCell ref="H4:AC4"/>
    <mergeCell ref="D19:E19"/>
    <mergeCell ref="C51:F51"/>
    <mergeCell ref="V51:Y51"/>
    <mergeCell ref="C52:F52"/>
    <mergeCell ref="V52:Y52"/>
    <mergeCell ref="D12:E12"/>
    <mergeCell ref="U5:U10"/>
    <mergeCell ref="A47:F49"/>
    <mergeCell ref="D36:E36"/>
    <mergeCell ref="K6:K9"/>
    <mergeCell ref="L6:L9"/>
    <mergeCell ref="M6:M9"/>
    <mergeCell ref="R6:R9"/>
    <mergeCell ref="N6:N9"/>
    <mergeCell ref="Q6:Q9"/>
    <mergeCell ref="AF6:AF8"/>
    <mergeCell ref="V7:V9"/>
    <mergeCell ref="W7:W9"/>
    <mergeCell ref="X7:X9"/>
    <mergeCell ref="AB7:AB8"/>
    <mergeCell ref="V5:Z6"/>
    <mergeCell ref="Z7:Z9"/>
    <mergeCell ref="AE5:AE9"/>
    <mergeCell ref="Y7:Y9"/>
    <mergeCell ref="AC5:AC9"/>
  </mergeCells>
  <phoneticPr fontId="23" type="noConversion"/>
  <pageMargins left="0.72" right="0.15748031496063" top="0.32" bottom="0.15748031496063" header="0.15748031496063" footer="0.28999999999999998"/>
  <pageSetup paperSize="8" scale="62" orientation="landscape" r:id="rId1"/>
  <headerFooter alignWithMargins="0"/>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0624-70F2-4E4E-A5E0-EBE5F952B7E9}">
  <sheetPr>
    <tabColor rgb="FF92D050"/>
  </sheetPr>
  <dimension ref="A1:AF84"/>
  <sheetViews>
    <sheetView zoomScale="98" zoomScaleNormal="98" workbookViewId="0">
      <pane xSplit="6" ySplit="11" topLeftCell="G12" activePane="bottomRight" state="frozen"/>
      <selection pane="topRight" activeCell="G1" sqref="G1"/>
      <selection pane="bottomLeft" activeCell="A12" sqref="A12"/>
      <selection pane="bottomRight" activeCell="C48" sqref="C48"/>
    </sheetView>
  </sheetViews>
  <sheetFormatPr defaultColWidth="9.140625" defaultRowHeight="11.25" x14ac:dyDescent="0.2"/>
  <cols>
    <col min="1" max="1" width="4.140625" style="1" customWidth="1"/>
    <col min="2" max="2" width="3" style="105" customWidth="1"/>
    <col min="3" max="3" width="28.28515625" style="17" customWidth="1"/>
    <col min="4" max="4" width="17.5703125" style="1" customWidth="1"/>
    <col min="5" max="5" width="9.7109375" style="1" customWidth="1"/>
    <col min="6" max="6" width="8.85546875" style="1" customWidth="1"/>
    <col min="7" max="7" width="12.7109375" style="1" customWidth="1"/>
    <col min="8" max="8" width="13.7109375" style="176" customWidth="1"/>
    <col min="9" max="10" width="12.7109375" style="1" hidden="1" customWidth="1"/>
    <col min="11" max="11" width="12.7109375" style="1" customWidth="1"/>
    <col min="12" max="12" width="11.5703125" style="1" customWidth="1"/>
    <col min="13" max="13" width="10.5703125" style="1" hidden="1" customWidth="1"/>
    <col min="14" max="14" width="8.28515625" style="1" hidden="1" customWidth="1"/>
    <col min="15" max="15" width="10.42578125" style="1" hidden="1" customWidth="1"/>
    <col min="16" max="16" width="11.85546875" style="1" customWidth="1"/>
    <col min="17" max="17" width="11.5703125" style="1" customWidth="1"/>
    <col min="18" max="18" width="10.42578125" style="1" hidden="1" customWidth="1"/>
    <col min="19" max="19" width="11.5703125" style="1" hidden="1" customWidth="1"/>
    <col min="20" max="20" width="11.5703125" style="1" customWidth="1"/>
    <col min="21" max="21" width="11.7109375" style="1" customWidth="1"/>
    <col min="22" max="22" width="12.28515625" style="1" customWidth="1"/>
    <col min="23" max="23" width="13.140625" style="1" customWidth="1"/>
    <col min="24" max="24" width="10.28515625" style="1" hidden="1" customWidth="1"/>
    <col min="25" max="25" width="10.7109375" style="1" customWidth="1"/>
    <col min="26" max="26" width="11.42578125" style="1" customWidth="1"/>
    <col min="27" max="27" width="12.42578125" style="1" customWidth="1"/>
    <col min="28" max="28" width="3" style="1" customWidth="1"/>
    <col min="29" max="29" width="15.7109375" style="1" customWidth="1"/>
    <col min="30" max="30" width="9" style="1" customWidth="1"/>
    <col min="31" max="16384" width="9.140625" style="1"/>
  </cols>
  <sheetData>
    <row r="1" spans="2:30" ht="26.25" x14ac:dyDescent="0.4">
      <c r="B1" s="944" t="s">
        <v>59</v>
      </c>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row>
    <row r="2" spans="2:30" x14ac:dyDescent="0.2">
      <c r="B2" s="945" t="s">
        <v>164</v>
      </c>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row>
    <row r="3" spans="2:30" ht="15.75" customHeight="1" thickBot="1" x14ac:dyDescent="0.25">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row>
    <row r="4" spans="2:30" s="4" customFormat="1" ht="24" customHeight="1" thickTop="1" x14ac:dyDescent="0.3">
      <c r="B4" s="494" t="s">
        <v>1</v>
      </c>
      <c r="C4" s="980" t="s">
        <v>2</v>
      </c>
      <c r="D4" s="948" t="s">
        <v>3</v>
      </c>
      <c r="E4" s="871" t="s">
        <v>4</v>
      </c>
      <c r="F4" s="871"/>
      <c r="G4" s="866" t="s">
        <v>610</v>
      </c>
      <c r="H4" s="872"/>
      <c r="I4" s="1069" t="s">
        <v>674</v>
      </c>
      <c r="J4" s="1069" t="s">
        <v>675</v>
      </c>
      <c r="K4" s="985" t="s">
        <v>695</v>
      </c>
      <c r="L4" s="887" t="s">
        <v>6</v>
      </c>
      <c r="M4" s="887"/>
      <c r="N4" s="887"/>
      <c r="O4" s="887"/>
      <c r="P4" s="887"/>
      <c r="Q4" s="887"/>
      <c r="R4" s="887"/>
      <c r="S4" s="887"/>
      <c r="T4" s="887"/>
      <c r="U4" s="887"/>
      <c r="V4" s="887"/>
      <c r="W4" s="887"/>
      <c r="X4" s="887"/>
      <c r="Y4" s="887"/>
      <c r="Z4" s="887"/>
      <c r="AA4" s="3"/>
      <c r="AB4" s="3"/>
      <c r="AC4" s="3"/>
      <c r="AD4" s="3"/>
    </row>
    <row r="5" spans="2:30" s="8" customFormat="1" ht="13.5" customHeight="1" x14ac:dyDescent="0.15">
      <c r="B5" s="10"/>
      <c r="C5" s="981"/>
      <c r="D5" s="949"/>
      <c r="E5" s="851" t="s">
        <v>7</v>
      </c>
      <c r="F5" s="852" t="s">
        <v>8</v>
      </c>
      <c r="G5" s="874"/>
      <c r="H5" s="873"/>
      <c r="I5" s="1070"/>
      <c r="J5" s="1070"/>
      <c r="K5" s="900"/>
      <c r="L5" s="740"/>
      <c r="M5" s="741"/>
      <c r="N5" s="741"/>
      <c r="O5" s="741"/>
      <c r="P5" s="741"/>
      <c r="Q5" s="741"/>
      <c r="R5" s="956" t="s">
        <v>238</v>
      </c>
      <c r="S5" s="956"/>
      <c r="T5" s="1062" t="s">
        <v>525</v>
      </c>
      <c r="U5" s="1047" t="s">
        <v>524</v>
      </c>
      <c r="V5" s="1048"/>
      <c r="W5" s="742"/>
      <c r="X5" s="743"/>
      <c r="Y5" s="972" t="s">
        <v>12</v>
      </c>
      <c r="Z5" s="972" t="s">
        <v>183</v>
      </c>
      <c r="AA5" s="1068" t="s">
        <v>14</v>
      </c>
      <c r="AB5" s="1064" t="s">
        <v>15</v>
      </c>
      <c r="AC5" s="7"/>
      <c r="AD5" s="7"/>
    </row>
    <row r="6" spans="2:30" s="8" customFormat="1" ht="13.5" customHeight="1" x14ac:dyDescent="0.15">
      <c r="B6" s="10"/>
      <c r="C6" s="981"/>
      <c r="D6" s="949"/>
      <c r="E6" s="867"/>
      <c r="F6" s="867"/>
      <c r="G6" s="839"/>
      <c r="H6" s="973"/>
      <c r="I6" s="1070"/>
      <c r="J6" s="1070"/>
      <c r="K6" s="900"/>
      <c r="L6" s="1071"/>
      <c r="M6" s="957"/>
      <c r="N6" s="856"/>
      <c r="O6" s="856"/>
      <c r="P6" s="856"/>
      <c r="Q6" s="856" t="s">
        <v>514</v>
      </c>
      <c r="R6" s="931" t="s">
        <v>232</v>
      </c>
      <c r="S6" s="937"/>
      <c r="T6" s="1011"/>
      <c r="U6" s="1049"/>
      <c r="V6" s="1050"/>
      <c r="W6" s="744"/>
      <c r="X6" s="745"/>
      <c r="Y6" s="867"/>
      <c r="Z6" s="1067"/>
      <c r="AA6" s="1068"/>
      <c r="AB6" s="1064"/>
      <c r="AC6" s="838" t="s">
        <v>25</v>
      </c>
      <c r="AD6" s="838" t="s">
        <v>26</v>
      </c>
    </row>
    <row r="7" spans="2:30" s="8" customFormat="1" ht="13.5" customHeight="1" x14ac:dyDescent="0.15">
      <c r="B7" s="10"/>
      <c r="C7" s="981"/>
      <c r="D7" s="949"/>
      <c r="E7" s="867"/>
      <c r="F7" s="867"/>
      <c r="G7" s="839"/>
      <c r="H7" s="974"/>
      <c r="I7" s="1070"/>
      <c r="J7" s="1070"/>
      <c r="K7" s="900"/>
      <c r="L7" s="908"/>
      <c r="M7" s="949"/>
      <c r="N7" s="859"/>
      <c r="O7" s="859"/>
      <c r="P7" s="859"/>
      <c r="Q7" s="859"/>
      <c r="R7" s="939"/>
      <c r="S7" s="1060"/>
      <c r="T7" s="1011"/>
      <c r="U7" s="957" t="s">
        <v>27</v>
      </c>
      <c r="V7" s="957" t="s">
        <v>28</v>
      </c>
      <c r="W7" s="957"/>
      <c r="X7" s="957" t="s">
        <v>30</v>
      </c>
      <c r="Y7" s="867"/>
      <c r="Z7" s="1067"/>
      <c r="AA7" s="1068"/>
      <c r="AB7" s="1064"/>
      <c r="AC7" s="970"/>
      <c r="AD7" s="838"/>
    </row>
    <row r="8" spans="2:30" s="8" customFormat="1" ht="13.5" customHeight="1" x14ac:dyDescent="0.2">
      <c r="B8" s="10"/>
      <c r="C8" s="981"/>
      <c r="D8" s="950"/>
      <c r="E8" s="11"/>
      <c r="F8" s="107"/>
      <c r="G8" s="495"/>
      <c r="H8" s="4"/>
      <c r="I8" s="1070"/>
      <c r="J8" s="1070"/>
      <c r="K8" s="900"/>
      <c r="L8" s="908"/>
      <c r="M8" s="949"/>
      <c r="N8" s="859"/>
      <c r="O8" s="859"/>
      <c r="P8" s="859"/>
      <c r="Q8" s="859"/>
      <c r="R8" s="851" t="s">
        <v>27</v>
      </c>
      <c r="S8" s="852" t="s">
        <v>33</v>
      </c>
      <c r="T8" s="1011"/>
      <c r="U8" s="949"/>
      <c r="V8" s="949"/>
      <c r="W8" s="949"/>
      <c r="X8" s="949"/>
      <c r="Y8" s="867"/>
      <c r="Z8" s="1067"/>
      <c r="AA8" s="1068"/>
      <c r="AB8" s="1065"/>
      <c r="AC8" s="970"/>
      <c r="AD8" s="838"/>
    </row>
    <row r="9" spans="2:30" s="8" customFormat="1" ht="13.5" customHeight="1" x14ac:dyDescent="0.2">
      <c r="B9" s="10"/>
      <c r="C9" s="981"/>
      <c r="D9" s="950"/>
      <c r="E9" s="11"/>
      <c r="F9" s="107"/>
      <c r="G9" s="495"/>
      <c r="H9" s="4"/>
      <c r="I9" s="495"/>
      <c r="J9" s="495"/>
      <c r="K9" s="900"/>
      <c r="L9" s="908"/>
      <c r="M9" s="949"/>
      <c r="N9" s="859"/>
      <c r="O9" s="859"/>
      <c r="P9" s="859"/>
      <c r="Q9" s="859"/>
      <c r="R9" s="838"/>
      <c r="S9" s="853"/>
      <c r="T9" s="1011"/>
      <c r="U9" s="949"/>
      <c r="V9" s="949"/>
      <c r="W9" s="949"/>
      <c r="X9" s="949"/>
      <c r="Y9" s="867"/>
      <c r="Z9" s="1067"/>
      <c r="AA9" s="1068"/>
      <c r="AB9" s="1065"/>
      <c r="AC9" s="7"/>
      <c r="AD9" s="7"/>
    </row>
    <row r="10" spans="2:30" s="15" customFormat="1" ht="12" thickBot="1" x14ac:dyDescent="0.25">
      <c r="B10" s="13">
        <v>1</v>
      </c>
      <c r="C10" s="13">
        <v>2</v>
      </c>
      <c r="D10" s="13">
        <v>3</v>
      </c>
      <c r="E10" s="13">
        <v>4</v>
      </c>
      <c r="F10" s="13">
        <v>5</v>
      </c>
      <c r="G10" s="13">
        <v>7</v>
      </c>
      <c r="H10" s="13">
        <v>6</v>
      </c>
      <c r="I10" s="13"/>
      <c r="J10" s="13"/>
      <c r="K10" s="691"/>
      <c r="L10" s="13">
        <v>8</v>
      </c>
      <c r="M10" s="13">
        <v>12</v>
      </c>
      <c r="N10" s="13">
        <v>19</v>
      </c>
      <c r="O10" s="13"/>
      <c r="P10" s="13"/>
      <c r="Q10" s="13">
        <v>19</v>
      </c>
      <c r="R10" s="14">
        <v>16</v>
      </c>
      <c r="S10" s="496">
        <v>17</v>
      </c>
      <c r="T10" s="1063"/>
      <c r="U10" s="13">
        <v>14</v>
      </c>
      <c r="V10" s="13">
        <v>15</v>
      </c>
      <c r="W10" s="13">
        <v>22</v>
      </c>
      <c r="X10" s="13">
        <v>23</v>
      </c>
      <c r="Y10" s="13">
        <v>21</v>
      </c>
      <c r="Z10" s="13">
        <v>20</v>
      </c>
      <c r="AA10" s="13">
        <v>25</v>
      </c>
      <c r="AB10" s="13">
        <v>26</v>
      </c>
      <c r="AC10" s="13">
        <v>27</v>
      </c>
      <c r="AD10" s="13">
        <v>28</v>
      </c>
    </row>
    <row r="11" spans="2:30" s="15" customFormat="1" ht="18.75" customHeight="1" thickTop="1" x14ac:dyDescent="0.2">
      <c r="B11" s="497"/>
      <c r="C11" s="498" t="s">
        <v>687</v>
      </c>
      <c r="D11" s="208"/>
      <c r="E11" s="208"/>
      <c r="F11" s="208"/>
      <c r="G11" s="208"/>
      <c r="H11" s="208"/>
      <c r="I11" s="208"/>
      <c r="J11" s="208"/>
      <c r="K11" s="208"/>
      <c r="L11" s="208"/>
      <c r="M11" s="208"/>
      <c r="N11" s="208"/>
      <c r="O11" s="208"/>
      <c r="P11" s="208"/>
      <c r="Q11" s="208"/>
      <c r="R11" s="493"/>
      <c r="S11" s="493"/>
      <c r="T11" s="493"/>
      <c r="U11" s="208"/>
      <c r="V11" s="208"/>
      <c r="W11" s="208"/>
      <c r="X11" s="208"/>
      <c r="Y11" s="208"/>
      <c r="Z11" s="208"/>
      <c r="AA11" s="208"/>
      <c r="AB11" s="502"/>
      <c r="AC11" s="499"/>
      <c r="AD11" s="500"/>
    </row>
    <row r="12" spans="2:30" s="15" customFormat="1" ht="18.75" customHeight="1" thickBot="1" x14ac:dyDescent="0.25">
      <c r="B12" s="222" t="s">
        <v>38</v>
      </c>
      <c r="C12" s="30"/>
      <c r="D12" s="210" t="s">
        <v>499</v>
      </c>
      <c r="E12" s="935" t="s">
        <v>688</v>
      </c>
      <c r="F12" s="935"/>
      <c r="G12" s="713">
        <v>14308</v>
      </c>
      <c r="H12" s="60">
        <v>14414</v>
      </c>
      <c r="I12" s="746"/>
      <c r="J12" s="746"/>
      <c r="K12" s="60">
        <f>G12-H12</f>
        <v>-106</v>
      </c>
      <c r="L12" s="746"/>
      <c r="M12" s="746"/>
      <c r="N12" s="746"/>
      <c r="O12" s="746"/>
      <c r="P12" s="746"/>
      <c r="Q12" s="746"/>
      <c r="R12" s="747"/>
      <c r="S12" s="747"/>
      <c r="T12" s="60"/>
      <c r="U12" s="60">
        <f>K12*0.02</f>
        <v>-2.12</v>
      </c>
      <c r="V12" s="60">
        <f>K12*0.02</f>
        <v>-2.12</v>
      </c>
      <c r="W12" s="746"/>
      <c r="X12" s="746"/>
      <c r="Y12" s="746"/>
      <c r="Z12" s="746"/>
      <c r="AA12" s="60">
        <f>K12-U12</f>
        <v>-103.88</v>
      </c>
      <c r="AB12" s="510" t="s">
        <v>38</v>
      </c>
      <c r="AC12" s="207"/>
      <c r="AD12" s="22"/>
    </row>
    <row r="13" spans="2:30" s="15" customFormat="1" ht="18.75" customHeight="1" x14ac:dyDescent="0.2">
      <c r="B13" s="222" t="s">
        <v>127</v>
      </c>
      <c r="C13" s="44"/>
      <c r="D13" s="404"/>
      <c r="E13" s="210"/>
      <c r="F13" s="210"/>
      <c r="G13" s="507"/>
      <c r="H13" s="55"/>
      <c r="I13" s="208"/>
      <c r="J13" s="208"/>
      <c r="K13" s="208"/>
      <c r="L13" s="208"/>
      <c r="M13" s="208"/>
      <c r="N13" s="208"/>
      <c r="O13" s="208"/>
      <c r="P13" s="208"/>
      <c r="Q13" s="208"/>
      <c r="R13" s="493"/>
      <c r="S13" s="493"/>
      <c r="T13" s="55"/>
      <c r="U13" s="55"/>
      <c r="V13" s="55"/>
      <c r="W13" s="208"/>
      <c r="X13" s="208"/>
      <c r="Y13" s="208"/>
      <c r="Z13" s="208"/>
      <c r="AA13" s="55"/>
      <c r="AB13" s="510" t="s">
        <v>127</v>
      </c>
      <c r="AC13" s="208"/>
      <c r="AD13" s="22"/>
    </row>
    <row r="14" spans="2:30" ht="17.100000000000001" customHeight="1" x14ac:dyDescent="0.2">
      <c r="B14" s="222" t="s">
        <v>128</v>
      </c>
      <c r="C14" s="194" t="s">
        <v>478</v>
      </c>
      <c r="D14" s="209"/>
      <c r="E14" s="210"/>
      <c r="F14" s="210"/>
      <c r="G14" s="618"/>
      <c r="H14" s="56"/>
      <c r="I14" s="618"/>
      <c r="J14" s="618"/>
      <c r="K14" s="617"/>
      <c r="L14" s="618"/>
      <c r="M14" s="56"/>
      <c r="N14" s="56"/>
      <c r="O14" s="56"/>
      <c r="P14" s="56"/>
      <c r="Q14" s="56"/>
      <c r="R14" s="56"/>
      <c r="S14" s="54"/>
      <c r="T14" s="54"/>
      <c r="U14" s="56"/>
      <c r="V14" s="56"/>
      <c r="W14" s="56"/>
      <c r="X14" s="56"/>
      <c r="Y14" s="56"/>
      <c r="Z14" s="56"/>
      <c r="AA14" s="56"/>
      <c r="AB14" s="510" t="s">
        <v>128</v>
      </c>
      <c r="AC14" s="503"/>
      <c r="AD14" s="504"/>
    </row>
    <row r="15" spans="2:30" ht="17.100000000000001" customHeight="1" x14ac:dyDescent="0.2">
      <c r="B15" s="222" t="s">
        <v>129</v>
      </c>
      <c r="C15" s="30"/>
      <c r="D15" s="209" t="s">
        <v>473</v>
      </c>
      <c r="E15" s="935" t="s">
        <v>688</v>
      </c>
      <c r="F15" s="935"/>
      <c r="G15" s="618">
        <v>21748</v>
      </c>
      <c r="H15" s="56">
        <v>21922</v>
      </c>
      <c r="I15" s="618"/>
      <c r="J15" s="618"/>
      <c r="K15" s="56">
        <f t="shared" ref="K15:K16" si="0">G15-H15</f>
        <v>-174</v>
      </c>
      <c r="L15" s="618"/>
      <c r="M15" s="56"/>
      <c r="N15" s="56"/>
      <c r="O15" s="56"/>
      <c r="P15" s="56"/>
      <c r="Q15" s="56"/>
      <c r="R15" s="56"/>
      <c r="S15" s="54"/>
      <c r="T15" s="54"/>
      <c r="U15" s="56">
        <f>K15*0.02</f>
        <v>-3.48</v>
      </c>
      <c r="V15" s="56">
        <f>K15*0.02</f>
        <v>-3.48</v>
      </c>
      <c r="W15" s="56"/>
      <c r="X15" s="56"/>
      <c r="Y15" s="56"/>
      <c r="Z15" s="56"/>
      <c r="AA15" s="56">
        <f>K15-U15</f>
        <v>-170.52</v>
      </c>
      <c r="AB15" s="510" t="s">
        <v>129</v>
      </c>
      <c r="AC15" s="503"/>
      <c r="AD15" s="504"/>
    </row>
    <row r="16" spans="2:30" ht="17.100000000000001" customHeight="1" thickBot="1" x14ac:dyDescent="0.25">
      <c r="B16" s="222" t="s">
        <v>130</v>
      </c>
      <c r="C16" s="30"/>
      <c r="D16" s="209" t="s">
        <v>499</v>
      </c>
      <c r="E16" s="210" t="s">
        <v>176</v>
      </c>
      <c r="F16" s="210" t="s">
        <v>175</v>
      </c>
      <c r="G16" s="713">
        <v>14308</v>
      </c>
      <c r="H16" s="60">
        <v>14521</v>
      </c>
      <c r="I16" s="713"/>
      <c r="J16" s="713"/>
      <c r="K16" s="473">
        <f t="shared" si="0"/>
        <v>-213</v>
      </c>
      <c r="L16" s="713"/>
      <c r="M16" s="60"/>
      <c r="N16" s="60"/>
      <c r="O16" s="60"/>
      <c r="P16" s="60"/>
      <c r="Q16" s="60"/>
      <c r="R16" s="60"/>
      <c r="S16" s="470"/>
      <c r="T16" s="470"/>
      <c r="U16" s="60">
        <f>K16*0.02</f>
        <v>-4.26</v>
      </c>
      <c r="V16" s="473">
        <f>K16*0.02</f>
        <v>-4.26</v>
      </c>
      <c r="W16" s="60"/>
      <c r="X16" s="60"/>
      <c r="Y16" s="60"/>
      <c r="Z16" s="60"/>
      <c r="AA16" s="60">
        <f>K16-U16</f>
        <v>-208.74</v>
      </c>
      <c r="AB16" s="510" t="s">
        <v>130</v>
      </c>
      <c r="AC16" s="503"/>
      <c r="AD16" s="504"/>
    </row>
    <row r="17" spans="2:32" ht="17.100000000000001" customHeight="1" x14ac:dyDescent="0.2">
      <c r="B17" s="222" t="s">
        <v>131</v>
      </c>
      <c r="C17" s="44"/>
      <c r="D17" s="443"/>
      <c r="E17" s="210"/>
      <c r="F17" s="210"/>
      <c r="G17" s="507"/>
      <c r="H17" s="55"/>
      <c r="I17" s="507"/>
      <c r="J17" s="507"/>
      <c r="K17" s="507"/>
      <c r="L17" s="507"/>
      <c r="M17" s="55"/>
      <c r="N17" s="55"/>
      <c r="O17" s="55"/>
      <c r="P17" s="55"/>
      <c r="Q17" s="55"/>
      <c r="R17" s="55"/>
      <c r="S17" s="57"/>
      <c r="T17" s="57"/>
      <c r="U17" s="55"/>
      <c r="V17" s="55"/>
      <c r="W17" s="55"/>
      <c r="X17" s="55"/>
      <c r="Y17" s="55"/>
      <c r="Z17" s="55"/>
      <c r="AA17" s="55"/>
      <c r="AB17" s="510" t="s">
        <v>131</v>
      </c>
      <c r="AC17" s="503"/>
      <c r="AD17" s="504"/>
    </row>
    <row r="18" spans="2:32" ht="17.100000000000001" customHeight="1" x14ac:dyDescent="0.2">
      <c r="B18" s="222" t="s">
        <v>132</v>
      </c>
      <c r="C18" s="194" t="s">
        <v>68</v>
      </c>
      <c r="D18" s="209"/>
      <c r="E18" s="576"/>
      <c r="F18" s="43"/>
      <c r="G18" s="56"/>
      <c r="H18" s="56"/>
      <c r="I18" s="56"/>
      <c r="J18" s="56"/>
      <c r="K18" s="56"/>
      <c r="L18" s="56"/>
      <c r="M18" s="56"/>
      <c r="N18" s="56"/>
      <c r="O18" s="56"/>
      <c r="P18" s="56"/>
      <c r="Q18" s="56"/>
      <c r="R18" s="56"/>
      <c r="S18" s="56"/>
      <c r="T18" s="56"/>
      <c r="U18" s="56"/>
      <c r="V18" s="56"/>
      <c r="W18" s="56"/>
      <c r="X18" s="56"/>
      <c r="Y18" s="56"/>
      <c r="Z18" s="56"/>
      <c r="AA18" s="56"/>
      <c r="AB18" s="510" t="s">
        <v>132</v>
      </c>
      <c r="AC18" s="503"/>
      <c r="AD18" s="504"/>
    </row>
    <row r="19" spans="2:32" ht="17.100000000000001" customHeight="1" thickBot="1" x14ac:dyDescent="0.25">
      <c r="B19" s="222" t="s">
        <v>133</v>
      </c>
      <c r="C19" s="30"/>
      <c r="D19" s="209" t="s">
        <v>499</v>
      </c>
      <c r="E19" s="935" t="s">
        <v>688</v>
      </c>
      <c r="F19" s="935"/>
      <c r="G19" s="713">
        <v>14308</v>
      </c>
      <c r="H19" s="60">
        <v>14414</v>
      </c>
      <c r="I19" s="60"/>
      <c r="J19" s="60"/>
      <c r="K19" s="60">
        <f>G19-H19</f>
        <v>-106</v>
      </c>
      <c r="L19" s="60"/>
      <c r="M19" s="60"/>
      <c r="N19" s="60"/>
      <c r="O19" s="60"/>
      <c r="P19" s="60"/>
      <c r="Q19" s="60"/>
      <c r="R19" s="60"/>
      <c r="S19" s="60"/>
      <c r="T19" s="60"/>
      <c r="U19" s="60">
        <f>K19*0.02</f>
        <v>-2.12</v>
      </c>
      <c r="V19" s="60">
        <f>K19*0.02</f>
        <v>-2.12</v>
      </c>
      <c r="W19" s="60"/>
      <c r="X19" s="60"/>
      <c r="Y19" s="60"/>
      <c r="Z19" s="60"/>
      <c r="AA19" s="60">
        <f>K19-U19</f>
        <v>-103.88</v>
      </c>
      <c r="AB19" s="510" t="s">
        <v>133</v>
      </c>
      <c r="AC19" s="503"/>
      <c r="AD19" s="504"/>
    </row>
    <row r="20" spans="2:32" ht="18.75" customHeight="1" x14ac:dyDescent="0.2">
      <c r="B20" s="222" t="s">
        <v>65</v>
      </c>
      <c r="C20" s="30"/>
      <c r="D20" s="709"/>
      <c r="E20" s="935"/>
      <c r="F20" s="935"/>
      <c r="G20" s="507"/>
      <c r="H20" s="57"/>
      <c r="I20" s="507"/>
      <c r="J20" s="507"/>
      <c r="K20" s="55"/>
      <c r="L20" s="55"/>
      <c r="M20" s="748"/>
      <c r="N20" s="55"/>
      <c r="O20" s="55"/>
      <c r="P20" s="55"/>
      <c r="Q20" s="55"/>
      <c r="R20" s="55"/>
      <c r="S20" s="55"/>
      <c r="T20" s="55"/>
      <c r="U20" s="55"/>
      <c r="V20" s="55"/>
      <c r="W20" s="55"/>
      <c r="X20" s="55"/>
      <c r="Y20" s="55"/>
      <c r="Z20" s="55"/>
      <c r="AA20" s="55"/>
      <c r="AB20" s="510" t="s">
        <v>65</v>
      </c>
      <c r="AC20" s="503"/>
      <c r="AD20" s="504"/>
    </row>
    <row r="21" spans="2:32" ht="17.100000000000001" customHeight="1" x14ac:dyDescent="0.2">
      <c r="B21" s="222" t="s">
        <v>134</v>
      </c>
      <c r="C21" s="30"/>
      <c r="D21" s="209"/>
      <c r="E21" s="576"/>
      <c r="F21" s="43"/>
      <c r="G21" s="56"/>
      <c r="H21" s="56"/>
      <c r="I21" s="56"/>
      <c r="J21" s="56"/>
      <c r="K21" s="56"/>
      <c r="L21" s="56"/>
      <c r="M21" s="56"/>
      <c r="N21" s="56"/>
      <c r="O21" s="56"/>
      <c r="P21" s="56"/>
      <c r="Q21" s="56"/>
      <c r="R21" s="56"/>
      <c r="S21" s="56"/>
      <c r="T21" s="56"/>
      <c r="U21" s="56"/>
      <c r="V21" s="56"/>
      <c r="W21" s="56"/>
      <c r="X21" s="56"/>
      <c r="Y21" s="56"/>
      <c r="Z21" s="56"/>
      <c r="AA21" s="56"/>
      <c r="AB21" s="510" t="s">
        <v>134</v>
      </c>
      <c r="AC21" s="503"/>
      <c r="AD21" s="504"/>
    </row>
    <row r="22" spans="2:32" ht="17.100000000000001" customHeight="1" x14ac:dyDescent="0.2">
      <c r="B22" s="222" t="s">
        <v>135</v>
      </c>
      <c r="C22" s="194" t="s">
        <v>689</v>
      </c>
      <c r="D22" s="209"/>
      <c r="E22" s="576"/>
      <c r="F22" s="731"/>
      <c r="G22" s="56"/>
      <c r="H22" s="56"/>
      <c r="I22" s="56"/>
      <c r="J22" s="56"/>
      <c r="K22" s="56"/>
      <c r="L22" s="56"/>
      <c r="M22" s="56"/>
      <c r="N22" s="56"/>
      <c r="O22" s="56"/>
      <c r="P22" s="56"/>
      <c r="Q22" s="56"/>
      <c r="R22" s="56"/>
      <c r="S22" s="56"/>
      <c r="T22" s="56"/>
      <c r="U22" s="56"/>
      <c r="V22" s="56"/>
      <c r="W22" s="56"/>
      <c r="X22" s="56"/>
      <c r="Y22" s="56"/>
      <c r="Z22" s="56"/>
      <c r="AA22" s="56"/>
      <c r="AB22" s="510" t="s">
        <v>135</v>
      </c>
      <c r="AC22" s="503"/>
      <c r="AD22" s="504"/>
    </row>
    <row r="23" spans="2:32" ht="17.100000000000001" customHeight="1" thickBot="1" x14ac:dyDescent="0.25">
      <c r="B23" s="222" t="s">
        <v>136</v>
      </c>
      <c r="C23" s="30"/>
      <c r="D23" s="210" t="s">
        <v>167</v>
      </c>
      <c r="E23" s="935" t="s">
        <v>688</v>
      </c>
      <c r="F23" s="935"/>
      <c r="G23" s="713">
        <v>17094</v>
      </c>
      <c r="H23" s="470">
        <v>17219</v>
      </c>
      <c r="I23" s="60"/>
      <c r="J23" s="60"/>
      <c r="K23" s="60">
        <f>G23-H23</f>
        <v>-125</v>
      </c>
      <c r="L23" s="60"/>
      <c r="M23" s="60"/>
      <c r="N23" s="60"/>
      <c r="O23" s="60"/>
      <c r="P23" s="60"/>
      <c r="Q23" s="60"/>
      <c r="R23" s="60"/>
      <c r="S23" s="60"/>
      <c r="T23" s="60"/>
      <c r="U23" s="60">
        <f>K23*0.02</f>
        <v>-2.5</v>
      </c>
      <c r="V23" s="60">
        <f>K23*0.02</f>
        <v>-2.5</v>
      </c>
      <c r="W23" s="60"/>
      <c r="X23" s="60"/>
      <c r="Y23" s="60"/>
      <c r="Z23" s="60"/>
      <c r="AA23" s="60">
        <f>K23-U23</f>
        <v>-122.5</v>
      </c>
      <c r="AB23" s="510" t="s">
        <v>136</v>
      </c>
      <c r="AC23" s="503"/>
      <c r="AD23" s="504"/>
    </row>
    <row r="24" spans="2:32" ht="17.100000000000001" customHeight="1" x14ac:dyDescent="0.2">
      <c r="B24" s="222" t="s">
        <v>137</v>
      </c>
      <c r="C24" s="194"/>
      <c r="D24" s="209"/>
      <c r="E24" s="576"/>
      <c r="F24" s="731"/>
      <c r="G24" s="55"/>
      <c r="H24" s="55"/>
      <c r="I24" s="55"/>
      <c r="J24" s="55"/>
      <c r="K24" s="55"/>
      <c r="L24" s="55"/>
      <c r="M24" s="55"/>
      <c r="N24" s="55"/>
      <c r="O24" s="55"/>
      <c r="P24" s="55"/>
      <c r="Q24" s="55"/>
      <c r="R24" s="55"/>
      <c r="S24" s="55"/>
      <c r="T24" s="55"/>
      <c r="U24" s="55"/>
      <c r="V24" s="55"/>
      <c r="W24" s="55"/>
      <c r="X24" s="55"/>
      <c r="Y24" s="55"/>
      <c r="Z24" s="55"/>
      <c r="AA24" s="55"/>
      <c r="AB24" s="510" t="s">
        <v>137</v>
      </c>
      <c r="AC24" s="503"/>
      <c r="AD24" s="504"/>
    </row>
    <row r="25" spans="2:32" ht="17.100000000000001" customHeight="1" x14ac:dyDescent="0.2">
      <c r="B25" s="222" t="s">
        <v>138</v>
      </c>
      <c r="C25" s="194"/>
      <c r="D25" s="210"/>
      <c r="E25" s="576"/>
      <c r="F25" s="210"/>
      <c r="G25" s="56"/>
      <c r="H25" s="56"/>
      <c r="I25" s="56"/>
      <c r="J25" s="56"/>
      <c r="K25" s="56"/>
      <c r="L25" s="56"/>
      <c r="M25" s="56"/>
      <c r="N25" s="56"/>
      <c r="O25" s="56"/>
      <c r="P25" s="56"/>
      <c r="Q25" s="56"/>
      <c r="R25" s="56"/>
      <c r="S25" s="56"/>
      <c r="T25" s="56"/>
      <c r="U25" s="56"/>
      <c r="V25" s="56"/>
      <c r="W25" s="56"/>
      <c r="X25" s="56"/>
      <c r="Y25" s="56"/>
      <c r="Z25" s="56"/>
      <c r="AA25" s="56"/>
      <c r="AB25" s="510" t="s">
        <v>138</v>
      </c>
      <c r="AC25" s="506"/>
      <c r="AD25" s="505"/>
    </row>
    <row r="26" spans="2:32" ht="17.100000000000001" customHeight="1" x14ac:dyDescent="0.2">
      <c r="B26" s="222" t="s">
        <v>139</v>
      </c>
      <c r="C26" s="194" t="s">
        <v>690</v>
      </c>
      <c r="D26" s="23"/>
      <c r="E26" s="935"/>
      <c r="F26" s="935"/>
      <c r="G26" s="618"/>
      <c r="H26" s="54"/>
      <c r="I26" s="618"/>
      <c r="J26" s="752"/>
      <c r="K26" s="54"/>
      <c r="L26" s="753"/>
      <c r="M26" s="56"/>
      <c r="N26" s="56"/>
      <c r="O26" s="56"/>
      <c r="P26" s="56"/>
      <c r="Q26" s="56"/>
      <c r="R26" s="56"/>
      <c r="S26" s="54"/>
      <c r="T26" s="54"/>
      <c r="U26" s="56"/>
      <c r="V26" s="56"/>
      <c r="W26" s="56"/>
      <c r="X26" s="56"/>
      <c r="Y26" s="56"/>
      <c r="Z26" s="56"/>
      <c r="AA26" s="56"/>
      <c r="AB26" s="510" t="s">
        <v>139</v>
      </c>
      <c r="AC26" s="506"/>
      <c r="AD26" s="505"/>
    </row>
    <row r="27" spans="2:32" ht="17.100000000000001" customHeight="1" x14ac:dyDescent="0.2">
      <c r="B27" s="222" t="s">
        <v>140</v>
      </c>
      <c r="C27" s="30"/>
      <c r="D27" s="32" t="s">
        <v>644</v>
      </c>
      <c r="E27" s="935" t="s">
        <v>688</v>
      </c>
      <c r="F27" s="935"/>
      <c r="G27" s="618">
        <v>18957</v>
      </c>
      <c r="H27" s="56">
        <v>19098</v>
      </c>
      <c r="I27" s="618"/>
      <c r="J27" s="752"/>
      <c r="K27" s="56">
        <f>G27-H27</f>
        <v>-141</v>
      </c>
      <c r="L27" s="753"/>
      <c r="M27" s="56"/>
      <c r="N27" s="56"/>
      <c r="O27" s="56"/>
      <c r="P27" s="56"/>
      <c r="Q27" s="56"/>
      <c r="R27" s="56"/>
      <c r="S27" s="54"/>
      <c r="T27" s="54"/>
      <c r="U27" s="56">
        <f>K27*0.02</f>
        <v>-2.82</v>
      </c>
      <c r="V27" s="56">
        <f t="shared" ref="V27:V30" si="1">K27*0.02</f>
        <v>-2.82</v>
      </c>
      <c r="W27" s="56"/>
      <c r="X27" s="56"/>
      <c r="Y27" s="56"/>
      <c r="Z27" s="56"/>
      <c r="AA27" s="56">
        <f>K27-U27</f>
        <v>-138.18</v>
      </c>
      <c r="AB27" s="510" t="s">
        <v>140</v>
      </c>
      <c r="AC27" s="506"/>
      <c r="AD27" s="505"/>
    </row>
    <row r="28" spans="2:32" ht="17.100000000000001" customHeight="1" x14ac:dyDescent="0.2">
      <c r="B28" s="222" t="s">
        <v>141</v>
      </c>
      <c r="C28" s="44"/>
      <c r="D28" s="210" t="s">
        <v>645</v>
      </c>
      <c r="E28" s="210" t="s">
        <v>176</v>
      </c>
      <c r="F28" s="210" t="s">
        <v>175</v>
      </c>
      <c r="G28" s="618">
        <v>18957</v>
      </c>
      <c r="H28" s="56">
        <v>19098</v>
      </c>
      <c r="I28" s="618"/>
      <c r="J28" s="752"/>
      <c r="K28" s="56">
        <f>G28-H28</f>
        <v>-141</v>
      </c>
      <c r="L28" s="753"/>
      <c r="M28" s="56"/>
      <c r="N28" s="56"/>
      <c r="O28" s="56"/>
      <c r="P28" s="56"/>
      <c r="Q28" s="56"/>
      <c r="R28" s="56"/>
      <c r="S28" s="54"/>
      <c r="T28" s="54"/>
      <c r="U28" s="56">
        <f>K28*0.02</f>
        <v>-2.82</v>
      </c>
      <c r="V28" s="56">
        <f t="shared" si="1"/>
        <v>-2.82</v>
      </c>
      <c r="W28" s="56"/>
      <c r="X28" s="56"/>
      <c r="Y28" s="56"/>
      <c r="Z28" s="56"/>
      <c r="AA28" s="56">
        <f>K28-U28</f>
        <v>-138.18</v>
      </c>
      <c r="AB28" s="510" t="s">
        <v>141</v>
      </c>
      <c r="AC28" s="506"/>
      <c r="AD28" s="505"/>
      <c r="AF28" s="35"/>
    </row>
    <row r="29" spans="2:32" ht="17.100000000000001" customHeight="1" x14ac:dyDescent="0.2">
      <c r="B29" s="222" t="s">
        <v>142</v>
      </c>
      <c r="C29" s="44"/>
      <c r="D29" s="210" t="s">
        <v>64</v>
      </c>
      <c r="E29" s="210" t="s">
        <v>176</v>
      </c>
      <c r="F29" s="210" t="s">
        <v>175</v>
      </c>
      <c r="G29" s="56">
        <v>16833</v>
      </c>
      <c r="H29" s="56">
        <v>16958</v>
      </c>
      <c r="I29" s="56"/>
      <c r="J29" s="471"/>
      <c r="K29" s="56">
        <f>G29-H29</f>
        <v>-125</v>
      </c>
      <c r="L29" s="753"/>
      <c r="M29" s="56"/>
      <c r="N29" s="56"/>
      <c r="O29" s="56"/>
      <c r="P29" s="56"/>
      <c r="Q29" s="56"/>
      <c r="R29" s="56"/>
      <c r="S29" s="56"/>
      <c r="T29" s="56"/>
      <c r="U29" s="56">
        <f>K29*0.02</f>
        <v>-2.5</v>
      </c>
      <c r="V29" s="56">
        <f t="shared" si="1"/>
        <v>-2.5</v>
      </c>
      <c r="W29" s="56"/>
      <c r="X29" s="56"/>
      <c r="Y29" s="56"/>
      <c r="Z29" s="56"/>
      <c r="AA29" s="56">
        <f>K29-U29</f>
        <v>-122.5</v>
      </c>
      <c r="AB29" s="510" t="s">
        <v>142</v>
      </c>
      <c r="AC29" s="204"/>
      <c r="AD29" s="505"/>
    </row>
    <row r="30" spans="2:32" ht="17.100000000000001" customHeight="1" thickBot="1" x14ac:dyDescent="0.25">
      <c r="B30" s="222" t="s">
        <v>143</v>
      </c>
      <c r="C30" s="44"/>
      <c r="D30" s="210" t="s">
        <v>446</v>
      </c>
      <c r="E30" s="210" t="s">
        <v>176</v>
      </c>
      <c r="F30" s="210" t="s">
        <v>175</v>
      </c>
      <c r="G30" s="60">
        <v>15852</v>
      </c>
      <c r="H30" s="60">
        <v>15971</v>
      </c>
      <c r="I30" s="60"/>
      <c r="J30" s="60"/>
      <c r="K30" s="473">
        <f>G30-H30</f>
        <v>-119</v>
      </c>
      <c r="L30" s="60"/>
      <c r="M30" s="60"/>
      <c r="N30" s="60"/>
      <c r="O30" s="60"/>
      <c r="P30" s="60"/>
      <c r="Q30" s="60"/>
      <c r="R30" s="60"/>
      <c r="S30" s="60"/>
      <c r="T30" s="60"/>
      <c r="U30" s="60">
        <f>K30*0.02</f>
        <v>-2.38</v>
      </c>
      <c r="V30" s="473">
        <f t="shared" si="1"/>
        <v>-2.38</v>
      </c>
      <c r="W30" s="60"/>
      <c r="X30" s="60"/>
      <c r="Y30" s="60"/>
      <c r="Z30" s="60"/>
      <c r="AA30" s="60">
        <f>K30-U30</f>
        <v>-116.62</v>
      </c>
      <c r="AB30" s="510" t="s">
        <v>143</v>
      </c>
      <c r="AC30" s="506"/>
      <c r="AD30" s="505"/>
    </row>
    <row r="31" spans="2:32" ht="17.100000000000001" customHeight="1" x14ac:dyDescent="0.2">
      <c r="B31" s="222" t="s">
        <v>144</v>
      </c>
      <c r="C31" s="30"/>
      <c r="D31" s="30"/>
      <c r="E31" s="935"/>
      <c r="F31" s="935"/>
      <c r="G31" s="507"/>
      <c r="H31" s="57"/>
      <c r="I31" s="507"/>
      <c r="J31" s="507"/>
      <c r="K31" s="57"/>
      <c r="L31" s="55"/>
      <c r="M31" s="55"/>
      <c r="N31" s="55"/>
      <c r="O31" s="55"/>
      <c r="P31" s="55"/>
      <c r="Q31" s="55"/>
      <c r="R31" s="55"/>
      <c r="S31" s="57"/>
      <c r="T31" s="57"/>
      <c r="U31" s="55"/>
      <c r="V31" s="55"/>
      <c r="W31" s="55"/>
      <c r="X31" s="55"/>
      <c r="Y31" s="55"/>
      <c r="Z31" s="55"/>
      <c r="AA31" s="55"/>
      <c r="AB31" s="510" t="s">
        <v>144</v>
      </c>
      <c r="AC31" s="506"/>
      <c r="AD31" s="505"/>
    </row>
    <row r="32" spans="2:32" ht="17.100000000000001" customHeight="1" x14ac:dyDescent="0.2">
      <c r="B32" s="222" t="s">
        <v>145</v>
      </c>
      <c r="C32" s="30"/>
      <c r="D32" s="244"/>
      <c r="E32" s="210"/>
      <c r="F32" s="210"/>
      <c r="G32" s="618"/>
      <c r="H32" s="54"/>
      <c r="I32" s="618"/>
      <c r="J32" s="618"/>
      <c r="K32" s="54"/>
      <c r="L32" s="56"/>
      <c r="M32" s="56"/>
      <c r="N32" s="56"/>
      <c r="O32" s="56"/>
      <c r="P32" s="56"/>
      <c r="Q32" s="56"/>
      <c r="R32" s="56"/>
      <c r="S32" s="54"/>
      <c r="T32" s="54"/>
      <c r="U32" s="56"/>
      <c r="V32" s="56"/>
      <c r="W32" s="56"/>
      <c r="X32" s="56"/>
      <c r="Y32" s="56"/>
      <c r="Z32" s="56"/>
      <c r="AA32" s="56"/>
      <c r="AB32" s="510" t="s">
        <v>145</v>
      </c>
      <c r="AC32" s="506"/>
      <c r="AD32" s="505"/>
    </row>
    <row r="33" spans="1:30" ht="17.100000000000001" customHeight="1" x14ac:dyDescent="0.2">
      <c r="B33" s="222" t="s">
        <v>146</v>
      </c>
      <c r="C33" s="194" t="s">
        <v>691</v>
      </c>
      <c r="D33" s="209"/>
      <c r="E33" s="210"/>
      <c r="F33" s="210"/>
      <c r="G33" s="618"/>
      <c r="H33" s="54"/>
      <c r="I33" s="618"/>
      <c r="J33" s="618"/>
      <c r="K33" s="54"/>
      <c r="L33" s="56"/>
      <c r="M33" s="56"/>
      <c r="N33" s="56"/>
      <c r="O33" s="56"/>
      <c r="P33" s="56"/>
      <c r="Q33" s="56"/>
      <c r="R33" s="56"/>
      <c r="S33" s="54"/>
      <c r="T33" s="54"/>
      <c r="U33" s="56"/>
      <c r="V33" s="56"/>
      <c r="W33" s="56"/>
      <c r="X33" s="56"/>
      <c r="Y33" s="56"/>
      <c r="Z33" s="56"/>
      <c r="AA33" s="56"/>
      <c r="AB33" s="510" t="s">
        <v>146</v>
      </c>
      <c r="AC33" s="506"/>
      <c r="AD33" s="505"/>
    </row>
    <row r="34" spans="1:30" ht="17.100000000000001" customHeight="1" x14ac:dyDescent="0.2">
      <c r="B34" s="222" t="s">
        <v>147</v>
      </c>
      <c r="C34" s="44"/>
      <c r="D34" s="210" t="s">
        <v>660</v>
      </c>
      <c r="E34" s="935" t="s">
        <v>688</v>
      </c>
      <c r="F34" s="935"/>
      <c r="G34" s="618">
        <v>34855</v>
      </c>
      <c r="H34" s="54">
        <v>35201</v>
      </c>
      <c r="I34" s="618"/>
      <c r="J34" s="618"/>
      <c r="K34" s="56">
        <f>G34-H34</f>
        <v>-346</v>
      </c>
      <c r="L34" s="56"/>
      <c r="M34" s="56"/>
      <c r="N34" s="56"/>
      <c r="O34" s="56"/>
      <c r="P34" s="56"/>
      <c r="Q34" s="56"/>
      <c r="R34" s="56"/>
      <c r="S34" s="54"/>
      <c r="T34" s="54"/>
      <c r="U34" s="56">
        <f>K34*0.02</f>
        <v>-6.92</v>
      </c>
      <c r="V34" s="56">
        <f t="shared" ref="V34:V37" si="2">K34*0.02</f>
        <v>-6.92</v>
      </c>
      <c r="W34" s="56"/>
      <c r="X34" s="56"/>
      <c r="Y34" s="56"/>
      <c r="Z34" s="56"/>
      <c r="AA34" s="56">
        <f>K34-U34</f>
        <v>-339.08</v>
      </c>
      <c r="AB34" s="510" t="s">
        <v>147</v>
      </c>
      <c r="AC34" s="508"/>
      <c r="AD34" s="505"/>
    </row>
    <row r="35" spans="1:30" ht="17.100000000000001" customHeight="1" x14ac:dyDescent="0.2">
      <c r="B35" s="222" t="s">
        <v>148</v>
      </c>
      <c r="C35" s="44"/>
      <c r="D35" s="210" t="s">
        <v>124</v>
      </c>
      <c r="E35" s="210" t="s">
        <v>176</v>
      </c>
      <c r="F35" s="210" t="s">
        <v>175</v>
      </c>
      <c r="G35" s="56">
        <v>16113</v>
      </c>
      <c r="H35" s="56">
        <v>16233</v>
      </c>
      <c r="I35" s="56"/>
      <c r="J35" s="56"/>
      <c r="K35" s="56">
        <f>G35-H35</f>
        <v>-120</v>
      </c>
      <c r="L35" s="56"/>
      <c r="M35" s="56"/>
      <c r="N35" s="56"/>
      <c r="O35" s="56"/>
      <c r="P35" s="56"/>
      <c r="Q35" s="56"/>
      <c r="R35" s="56"/>
      <c r="S35" s="56"/>
      <c r="T35" s="56"/>
      <c r="U35" s="56">
        <f>K35*0.02</f>
        <v>-2.4</v>
      </c>
      <c r="V35" s="56">
        <f t="shared" si="2"/>
        <v>-2.4</v>
      </c>
      <c r="W35" s="56"/>
      <c r="X35" s="56"/>
      <c r="Y35" s="56"/>
      <c r="Z35" s="56"/>
      <c r="AA35" s="56">
        <f>K35-U35</f>
        <v>-117.6</v>
      </c>
      <c r="AB35" s="510" t="s">
        <v>148</v>
      </c>
      <c r="AC35" s="204"/>
      <c r="AD35" s="505"/>
    </row>
    <row r="36" spans="1:30" ht="17.100000000000001" customHeight="1" x14ac:dyDescent="0.2">
      <c r="A36"/>
      <c r="B36" s="222" t="s">
        <v>149</v>
      </c>
      <c r="C36" s="44"/>
      <c r="D36" s="210" t="s">
        <v>551</v>
      </c>
      <c r="E36" s="210" t="s">
        <v>176</v>
      </c>
      <c r="F36" s="210" t="s">
        <v>175</v>
      </c>
      <c r="G36" s="618">
        <v>14308</v>
      </c>
      <c r="H36" s="56">
        <v>14414</v>
      </c>
      <c r="I36" s="32"/>
      <c r="J36" s="32"/>
      <c r="K36" s="56">
        <f>G36-H36</f>
        <v>-106</v>
      </c>
      <c r="L36" s="56"/>
      <c r="M36" s="56"/>
      <c r="N36" s="56"/>
      <c r="O36" s="56"/>
      <c r="P36" s="56"/>
      <c r="Q36" s="56"/>
      <c r="R36" s="56"/>
      <c r="S36" s="56"/>
      <c r="T36" s="56"/>
      <c r="U36" s="56">
        <f>K36*0.02</f>
        <v>-2.12</v>
      </c>
      <c r="V36" s="56">
        <f t="shared" si="2"/>
        <v>-2.12</v>
      </c>
      <c r="W36" s="56"/>
      <c r="X36" s="56"/>
      <c r="Y36" s="56"/>
      <c r="Z36" s="56"/>
      <c r="AA36" s="56">
        <f>K36-U36</f>
        <v>-103.88</v>
      </c>
      <c r="AB36" s="510" t="s">
        <v>149</v>
      </c>
      <c r="AC36" s="25"/>
      <c r="AD36" s="505"/>
    </row>
    <row r="37" spans="1:30" ht="17.100000000000001" customHeight="1" thickBot="1" x14ac:dyDescent="0.25">
      <c r="B37" s="222" t="s">
        <v>150</v>
      </c>
      <c r="C37" s="44"/>
      <c r="D37" s="210" t="s">
        <v>516</v>
      </c>
      <c r="E37" s="210" t="s">
        <v>176</v>
      </c>
      <c r="F37" s="210" t="s">
        <v>175</v>
      </c>
      <c r="G37" s="713">
        <v>14308</v>
      </c>
      <c r="H37" s="470">
        <v>14414</v>
      </c>
      <c r="I37" s="713"/>
      <c r="J37" s="713"/>
      <c r="K37" s="473">
        <f>G37-H37</f>
        <v>-106</v>
      </c>
      <c r="L37" s="749"/>
      <c r="M37" s="60"/>
      <c r="N37" s="60"/>
      <c r="O37" s="60"/>
      <c r="P37" s="60"/>
      <c r="Q37" s="60"/>
      <c r="R37" s="60"/>
      <c r="S37" s="470"/>
      <c r="T37" s="470"/>
      <c r="U37" s="60">
        <f>K37*0.02</f>
        <v>-2.12</v>
      </c>
      <c r="V37" s="473">
        <f t="shared" si="2"/>
        <v>-2.12</v>
      </c>
      <c r="W37" s="60"/>
      <c r="X37" s="60"/>
      <c r="Y37" s="60"/>
      <c r="Z37" s="60"/>
      <c r="AA37" s="60">
        <f>K37-U37</f>
        <v>-103.88</v>
      </c>
      <c r="AB37" s="510" t="s">
        <v>150</v>
      </c>
      <c r="AC37" s="508"/>
      <c r="AD37" s="505"/>
    </row>
    <row r="38" spans="1:30" ht="17.100000000000001" customHeight="1" x14ac:dyDescent="0.2">
      <c r="B38" s="222" t="s">
        <v>151</v>
      </c>
      <c r="C38" s="30"/>
      <c r="D38" s="210"/>
      <c r="E38" s="210"/>
      <c r="F38" s="404"/>
      <c r="G38" s="507"/>
      <c r="H38" s="57"/>
      <c r="I38" s="507"/>
      <c r="J38" s="507"/>
      <c r="K38" s="57"/>
      <c r="L38" s="55"/>
      <c r="M38" s="55"/>
      <c r="N38" s="55"/>
      <c r="O38" s="55"/>
      <c r="P38" s="55"/>
      <c r="Q38" s="55"/>
      <c r="R38" s="55"/>
      <c r="S38" s="57"/>
      <c r="T38" s="57"/>
      <c r="U38" s="55"/>
      <c r="V38" s="55"/>
      <c r="W38" s="55"/>
      <c r="X38" s="55"/>
      <c r="Y38" s="55"/>
      <c r="Z38" s="55"/>
      <c r="AA38" s="55"/>
      <c r="AB38" s="510" t="s">
        <v>151</v>
      </c>
      <c r="AC38" s="508"/>
      <c r="AD38" s="505"/>
    </row>
    <row r="39" spans="1:30" ht="17.100000000000001" customHeight="1" x14ac:dyDescent="0.2">
      <c r="B39" s="222" t="s">
        <v>152</v>
      </c>
      <c r="C39" s="194" t="s">
        <v>692</v>
      </c>
      <c r="D39" s="210"/>
      <c r="E39" s="32"/>
      <c r="F39" s="32"/>
      <c r="G39" s="56"/>
      <c r="H39" s="56"/>
      <c r="I39" s="56"/>
      <c r="J39" s="56"/>
      <c r="K39" s="56"/>
      <c r="L39" s="56"/>
      <c r="M39" s="56"/>
      <c r="N39" s="56"/>
      <c r="O39" s="56"/>
      <c r="P39" s="56"/>
      <c r="Q39" s="56"/>
      <c r="R39" s="56"/>
      <c r="S39" s="56"/>
      <c r="T39" s="56"/>
      <c r="U39" s="56"/>
      <c r="V39" s="56"/>
      <c r="W39" s="56"/>
      <c r="X39" s="56"/>
      <c r="Y39" s="56"/>
      <c r="Z39" s="56"/>
      <c r="AA39" s="56"/>
      <c r="AB39" s="510" t="s">
        <v>152</v>
      </c>
      <c r="AC39" s="204"/>
      <c r="AD39" s="505"/>
    </row>
    <row r="40" spans="1:30" ht="17.100000000000001" customHeight="1" x14ac:dyDescent="0.2">
      <c r="B40" s="222" t="s">
        <v>153</v>
      </c>
      <c r="C40" s="30"/>
      <c r="D40" s="210" t="s">
        <v>499</v>
      </c>
      <c r="E40" s="935" t="s">
        <v>688</v>
      </c>
      <c r="F40" s="935"/>
      <c r="G40" s="618">
        <v>14308</v>
      </c>
      <c r="H40" s="56">
        <v>14414</v>
      </c>
      <c r="I40" s="56"/>
      <c r="J40" s="56"/>
      <c r="K40" s="56">
        <f>G40-H40</f>
        <v>-106</v>
      </c>
      <c r="L40" s="56"/>
      <c r="M40" s="56"/>
      <c r="N40" s="56"/>
      <c r="O40" s="56"/>
      <c r="P40" s="56"/>
      <c r="Q40" s="56"/>
      <c r="R40" s="56"/>
      <c r="S40" s="56"/>
      <c r="T40" s="56"/>
      <c r="U40" s="56">
        <f>K40*0.02</f>
        <v>-2.12</v>
      </c>
      <c r="V40" s="56">
        <f t="shared" ref="V40:V41" si="3">K40*0.02</f>
        <v>-2.12</v>
      </c>
      <c r="W40" s="56"/>
      <c r="X40" s="56"/>
      <c r="Y40" s="56"/>
      <c r="Z40" s="56"/>
      <c r="AA40" s="56">
        <f>K40-U40</f>
        <v>-103.88</v>
      </c>
      <c r="AB40" s="510" t="s">
        <v>153</v>
      </c>
      <c r="AC40" s="506"/>
      <c r="AD40" s="505"/>
    </row>
    <row r="41" spans="1:30" ht="17.100000000000001" customHeight="1" thickBot="1" x14ac:dyDescent="0.25">
      <c r="B41" s="222" t="s">
        <v>154</v>
      </c>
      <c r="C41" s="30"/>
      <c r="D41" s="210" t="s">
        <v>83</v>
      </c>
      <c r="E41" s="210" t="s">
        <v>176</v>
      </c>
      <c r="F41" s="210" t="s">
        <v>175</v>
      </c>
      <c r="G41" s="713">
        <v>13357</v>
      </c>
      <c r="H41" s="60">
        <v>14189</v>
      </c>
      <c r="I41" s="713"/>
      <c r="J41" s="713"/>
      <c r="K41" s="473">
        <f>G41-H41</f>
        <v>-832</v>
      </c>
      <c r="L41" s="60"/>
      <c r="M41" s="60"/>
      <c r="N41" s="60"/>
      <c r="O41" s="60"/>
      <c r="P41" s="60"/>
      <c r="Q41" s="60"/>
      <c r="R41" s="60"/>
      <c r="S41" s="60"/>
      <c r="T41" s="60"/>
      <c r="U41" s="60">
        <f>K41*0.02</f>
        <v>-16.64</v>
      </c>
      <c r="V41" s="473">
        <f t="shared" si="3"/>
        <v>-16.64</v>
      </c>
      <c r="W41" s="60"/>
      <c r="X41" s="60"/>
      <c r="Y41" s="60"/>
      <c r="Z41" s="60"/>
      <c r="AA41" s="60">
        <f>K41-U41</f>
        <v>-815.36</v>
      </c>
      <c r="AB41" s="510" t="s">
        <v>154</v>
      </c>
      <c r="AC41" s="506"/>
      <c r="AD41" s="505"/>
    </row>
    <row r="42" spans="1:30" ht="17.100000000000001" customHeight="1" x14ac:dyDescent="0.2">
      <c r="B42" s="222" t="s">
        <v>155</v>
      </c>
      <c r="C42" s="30"/>
      <c r="D42" s="404"/>
      <c r="E42" s="210"/>
      <c r="F42" s="210"/>
      <c r="G42" s="507"/>
      <c r="H42" s="55"/>
      <c r="I42" s="507"/>
      <c r="J42" s="507"/>
      <c r="K42" s="55"/>
      <c r="L42" s="55"/>
      <c r="M42" s="55"/>
      <c r="N42" s="55"/>
      <c r="O42" s="55"/>
      <c r="P42" s="55"/>
      <c r="Q42" s="55"/>
      <c r="R42" s="55"/>
      <c r="S42" s="55"/>
      <c r="T42" s="55"/>
      <c r="U42" s="55"/>
      <c r="V42" s="55"/>
      <c r="W42" s="55"/>
      <c r="X42" s="55"/>
      <c r="Y42" s="55"/>
      <c r="Z42" s="55"/>
      <c r="AA42" s="55"/>
      <c r="AB42" s="510" t="s">
        <v>155</v>
      </c>
      <c r="AC42" s="506"/>
      <c r="AD42" s="505"/>
    </row>
    <row r="43" spans="1:30" ht="17.100000000000001" customHeight="1" x14ac:dyDescent="0.2">
      <c r="B43" s="222" t="s">
        <v>156</v>
      </c>
      <c r="C43" s="194" t="s">
        <v>693</v>
      </c>
      <c r="D43" s="210"/>
      <c r="E43" s="210"/>
      <c r="F43" s="210"/>
      <c r="G43" s="618"/>
      <c r="H43" s="54"/>
      <c r="I43" s="618"/>
      <c r="J43" s="618"/>
      <c r="K43" s="54"/>
      <c r="L43" s="56"/>
      <c r="M43" s="56"/>
      <c r="N43" s="56"/>
      <c r="O43" s="56"/>
      <c r="P43" s="56"/>
      <c r="Q43" s="56"/>
      <c r="R43" s="56"/>
      <c r="S43" s="54"/>
      <c r="T43" s="54"/>
      <c r="U43" s="56"/>
      <c r="V43" s="56"/>
      <c r="W43" s="56"/>
      <c r="X43" s="56"/>
      <c r="Y43" s="56"/>
      <c r="Z43" s="56"/>
      <c r="AA43" s="56"/>
      <c r="AB43" s="510" t="s">
        <v>156</v>
      </c>
      <c r="AC43" s="506"/>
      <c r="AD43" s="505"/>
    </row>
    <row r="44" spans="1:30" ht="17.100000000000001" customHeight="1" thickBot="1" x14ac:dyDescent="0.25">
      <c r="B44" s="222" t="s">
        <v>157</v>
      </c>
      <c r="C44" s="30"/>
      <c r="D44" s="404" t="s">
        <v>647</v>
      </c>
      <c r="E44" s="935" t="s">
        <v>688</v>
      </c>
      <c r="F44" s="935"/>
      <c r="G44" s="713">
        <v>14308</v>
      </c>
      <c r="H44" s="470">
        <v>14414</v>
      </c>
      <c r="I44" s="713"/>
      <c r="J44" s="713"/>
      <c r="K44" s="60">
        <f>G44-H44</f>
        <v>-106</v>
      </c>
      <c r="L44" s="60"/>
      <c r="M44" s="60"/>
      <c r="N44" s="60"/>
      <c r="O44" s="60"/>
      <c r="P44" s="60"/>
      <c r="Q44" s="60"/>
      <c r="R44" s="60"/>
      <c r="S44" s="470"/>
      <c r="T44" s="470"/>
      <c r="U44" s="60">
        <f>K44*0.02</f>
        <v>-2.12</v>
      </c>
      <c r="V44" s="60">
        <f>K44*0.02</f>
        <v>-2.12</v>
      </c>
      <c r="W44" s="60"/>
      <c r="X44" s="60"/>
      <c r="Y44" s="60"/>
      <c r="Z44" s="60"/>
      <c r="AA44" s="60">
        <f>K44-U44</f>
        <v>-103.88</v>
      </c>
      <c r="AB44" s="510" t="s">
        <v>157</v>
      </c>
      <c r="AC44" s="506"/>
      <c r="AD44" s="505"/>
    </row>
    <row r="45" spans="1:30" ht="17.100000000000001" customHeight="1" x14ac:dyDescent="0.2">
      <c r="B45" s="222" t="s">
        <v>97</v>
      </c>
      <c r="C45" s="30"/>
      <c r="D45" s="210"/>
      <c r="E45" s="210"/>
      <c r="F45" s="210"/>
      <c r="G45" s="507"/>
      <c r="H45" s="57"/>
      <c r="I45" s="507"/>
      <c r="J45" s="507"/>
      <c r="K45" s="57"/>
      <c r="L45" s="55"/>
      <c r="M45" s="55"/>
      <c r="N45" s="55"/>
      <c r="O45" s="55"/>
      <c r="P45" s="55"/>
      <c r="Q45" s="55"/>
      <c r="R45" s="55"/>
      <c r="S45" s="57"/>
      <c r="T45" s="57"/>
      <c r="U45" s="55"/>
      <c r="V45" s="55"/>
      <c r="W45" s="55"/>
      <c r="X45" s="55"/>
      <c r="Y45" s="55"/>
      <c r="Z45" s="55"/>
      <c r="AA45" s="55"/>
      <c r="AB45" s="510" t="s">
        <v>97</v>
      </c>
      <c r="AC45" s="506"/>
      <c r="AD45" s="505"/>
    </row>
    <row r="46" spans="1:30" ht="17.100000000000001" customHeight="1" x14ac:dyDescent="0.2">
      <c r="B46" s="222" t="s">
        <v>99</v>
      </c>
      <c r="C46" s="30"/>
      <c r="D46" s="210"/>
      <c r="E46" s="210"/>
      <c r="F46" s="210"/>
      <c r="G46" s="618"/>
      <c r="H46" s="54"/>
      <c r="I46" s="618"/>
      <c r="J46" s="618"/>
      <c r="K46" s="54"/>
      <c r="L46" s="56"/>
      <c r="M46" s="56"/>
      <c r="N46" s="56"/>
      <c r="O46" s="56"/>
      <c r="P46" s="54"/>
      <c r="Q46" s="56"/>
      <c r="R46" s="56"/>
      <c r="S46" s="54"/>
      <c r="T46" s="54"/>
      <c r="U46" s="56"/>
      <c r="V46" s="56"/>
      <c r="W46" s="56"/>
      <c r="X46" s="56"/>
      <c r="Y46" s="56"/>
      <c r="Z46" s="56"/>
      <c r="AA46" s="56"/>
      <c r="AB46" s="510" t="s">
        <v>99</v>
      </c>
      <c r="AC46" s="506"/>
      <c r="AD46" s="505"/>
    </row>
    <row r="47" spans="1:30" ht="17.100000000000001" customHeight="1" x14ac:dyDescent="0.2">
      <c r="B47" s="222" t="s">
        <v>46</v>
      </c>
      <c r="C47" s="194" t="s">
        <v>694</v>
      </c>
      <c r="D47" s="210"/>
      <c r="E47" s="32"/>
      <c r="F47" s="32"/>
      <c r="G47" s="56"/>
      <c r="H47" s="56"/>
      <c r="I47" s="56"/>
      <c r="J47" s="56"/>
      <c r="K47" s="56"/>
      <c r="L47" s="56"/>
      <c r="M47" s="56"/>
      <c r="N47" s="56"/>
      <c r="O47" s="56"/>
      <c r="P47" s="56"/>
      <c r="Q47" s="56"/>
      <c r="R47" s="56"/>
      <c r="S47" s="56"/>
      <c r="T47" s="56"/>
      <c r="U47" s="56"/>
      <c r="V47" s="56"/>
      <c r="W47" s="56"/>
      <c r="X47" s="56"/>
      <c r="Y47" s="56"/>
      <c r="Z47" s="56"/>
      <c r="AA47" s="56"/>
      <c r="AB47" s="510" t="s">
        <v>46</v>
      </c>
      <c r="AC47" s="506"/>
      <c r="AD47" s="505"/>
    </row>
    <row r="48" spans="1:30" ht="17.100000000000001" customHeight="1" thickBot="1" x14ac:dyDescent="0.25">
      <c r="B48" s="222" t="s">
        <v>47</v>
      </c>
      <c r="C48" s="30"/>
      <c r="D48" s="210" t="s">
        <v>83</v>
      </c>
      <c r="E48" s="935" t="s">
        <v>688</v>
      </c>
      <c r="F48" s="935"/>
      <c r="G48" s="60">
        <v>13675</v>
      </c>
      <c r="H48" s="36">
        <v>13777</v>
      </c>
      <c r="I48" s="60"/>
      <c r="J48" s="60"/>
      <c r="K48" s="60">
        <f>G48-H48</f>
        <v>-102</v>
      </c>
      <c r="L48" s="60"/>
      <c r="M48" s="60"/>
      <c r="N48" s="60"/>
      <c r="O48" s="60"/>
      <c r="P48" s="60"/>
      <c r="Q48" s="60"/>
      <c r="R48" s="60"/>
      <c r="S48" s="60"/>
      <c r="T48" s="60"/>
      <c r="U48" s="60">
        <f>K48*0.02</f>
        <v>-2.04</v>
      </c>
      <c r="V48" s="60">
        <f>K48*0.02</f>
        <v>-2.04</v>
      </c>
      <c r="W48" s="60"/>
      <c r="X48" s="60"/>
      <c r="Y48" s="60"/>
      <c r="Z48" s="60"/>
      <c r="AA48" s="60">
        <f>K48-U48</f>
        <v>-99.96</v>
      </c>
      <c r="AB48" s="510" t="s">
        <v>47</v>
      </c>
      <c r="AC48" s="513"/>
      <c r="AD48" s="505"/>
    </row>
    <row r="49" spans="2:30" ht="17.100000000000001" customHeight="1" x14ac:dyDescent="0.2">
      <c r="B49" s="222" t="s">
        <v>100</v>
      </c>
      <c r="C49" s="30"/>
      <c r="D49" s="684"/>
      <c r="E49" s="935"/>
      <c r="F49" s="935"/>
      <c r="G49" s="507"/>
      <c r="H49" s="25"/>
      <c r="I49" s="507"/>
      <c r="J49" s="507"/>
      <c r="K49" s="57"/>
      <c r="L49" s="55"/>
      <c r="M49" s="55"/>
      <c r="N49" s="55"/>
      <c r="O49" s="55"/>
      <c r="P49" s="55"/>
      <c r="Q49" s="55"/>
      <c r="R49" s="55"/>
      <c r="S49" s="55"/>
      <c r="T49" s="55"/>
      <c r="U49" s="55"/>
      <c r="V49" s="55"/>
      <c r="W49" s="55"/>
      <c r="X49" s="55"/>
      <c r="Y49" s="55"/>
      <c r="Z49" s="55"/>
      <c r="AA49" s="55"/>
      <c r="AB49" s="510" t="s">
        <v>100</v>
      </c>
      <c r="AC49" s="513"/>
      <c r="AD49" s="505"/>
    </row>
    <row r="50" spans="2:30" ht="17.100000000000001" customHeight="1" x14ac:dyDescent="0.2">
      <c r="B50" s="222" t="s">
        <v>179</v>
      </c>
      <c r="C50" s="30"/>
      <c r="D50" s="209"/>
      <c r="E50" s="210"/>
      <c r="F50" s="210"/>
      <c r="G50" s="618"/>
      <c r="H50" s="56"/>
      <c r="I50" s="618"/>
      <c r="J50" s="618"/>
      <c r="K50" s="54"/>
      <c r="L50" s="56"/>
      <c r="M50" s="56"/>
      <c r="N50" s="56"/>
      <c r="O50" s="56"/>
      <c r="P50" s="56"/>
      <c r="Q50" s="56"/>
      <c r="R50" s="56"/>
      <c r="S50" s="54"/>
      <c r="T50" s="54"/>
      <c r="U50" s="56"/>
      <c r="V50" s="56"/>
      <c r="W50" s="56"/>
      <c r="X50" s="56"/>
      <c r="Y50" s="56"/>
      <c r="Z50" s="56"/>
      <c r="AA50" s="55"/>
      <c r="AB50" s="510" t="s">
        <v>179</v>
      </c>
      <c r="AC50" s="508"/>
      <c r="AD50" s="505"/>
    </row>
    <row r="51" spans="2:30" ht="17.100000000000001" customHeight="1" thickBot="1" x14ac:dyDescent="0.25">
      <c r="B51" s="222" t="s">
        <v>180</v>
      </c>
      <c r="C51" s="44"/>
      <c r="D51" s="209"/>
      <c r="E51" s="210"/>
      <c r="F51" s="210"/>
      <c r="G51" s="713"/>
      <c r="H51" s="60"/>
      <c r="I51" s="713"/>
      <c r="J51" s="713"/>
      <c r="K51" s="60"/>
      <c r="L51" s="60"/>
      <c r="M51" s="60"/>
      <c r="N51" s="60"/>
      <c r="O51" s="60"/>
      <c r="P51" s="60"/>
      <c r="Q51" s="60"/>
      <c r="R51" s="60"/>
      <c r="S51" s="470"/>
      <c r="T51" s="470"/>
      <c r="U51" s="60"/>
      <c r="V51" s="60"/>
      <c r="W51" s="60"/>
      <c r="X51" s="60"/>
      <c r="Y51" s="60"/>
      <c r="Z51" s="60"/>
      <c r="AA51" s="60"/>
      <c r="AB51" s="510" t="s">
        <v>180</v>
      </c>
      <c r="AC51" s="508"/>
      <c r="AD51" s="505"/>
    </row>
    <row r="52" spans="2:30" ht="17.100000000000001" customHeight="1" thickBot="1" x14ac:dyDescent="0.25">
      <c r="B52" s="222" t="s">
        <v>181</v>
      </c>
      <c r="C52" s="30"/>
      <c r="D52" s="210"/>
      <c r="E52" s="210"/>
      <c r="F52" s="210"/>
      <c r="G52" s="64">
        <f t="shared" ref="G52" si="4">SUM(G49:G51)</f>
        <v>0</v>
      </c>
      <c r="H52" s="64">
        <f t="shared" ref="H52:AA52" si="5">SUM(H49:H51)</f>
        <v>0</v>
      </c>
      <c r="I52" s="64">
        <f t="shared" si="5"/>
        <v>0</v>
      </c>
      <c r="J52" s="64">
        <f t="shared" si="5"/>
        <v>0</v>
      </c>
      <c r="K52" s="64">
        <f t="shared" si="5"/>
        <v>0</v>
      </c>
      <c r="L52" s="64">
        <f t="shared" si="5"/>
        <v>0</v>
      </c>
      <c r="M52" s="64">
        <f t="shared" si="5"/>
        <v>0</v>
      </c>
      <c r="N52" s="64">
        <f t="shared" si="5"/>
        <v>0</v>
      </c>
      <c r="O52" s="64">
        <f t="shared" si="5"/>
        <v>0</v>
      </c>
      <c r="P52" s="64">
        <f t="shared" si="5"/>
        <v>0</v>
      </c>
      <c r="Q52" s="64">
        <f t="shared" si="5"/>
        <v>0</v>
      </c>
      <c r="R52" s="64">
        <f t="shared" si="5"/>
        <v>0</v>
      </c>
      <c r="S52" s="64">
        <f t="shared" si="5"/>
        <v>0</v>
      </c>
      <c r="T52" s="64">
        <f t="shared" si="5"/>
        <v>0</v>
      </c>
      <c r="U52" s="64">
        <f t="shared" si="5"/>
        <v>0</v>
      </c>
      <c r="V52" s="64">
        <f t="shared" ref="V52" si="6">SUM(V49:V51)</f>
        <v>0</v>
      </c>
      <c r="W52" s="64">
        <f t="shared" si="5"/>
        <v>0</v>
      </c>
      <c r="X52" s="64">
        <f t="shared" si="5"/>
        <v>0</v>
      </c>
      <c r="Y52" s="64">
        <f t="shared" si="5"/>
        <v>0</v>
      </c>
      <c r="Z52" s="64">
        <f t="shared" si="5"/>
        <v>0</v>
      </c>
      <c r="AA52" s="64">
        <f t="shared" si="5"/>
        <v>0</v>
      </c>
      <c r="AB52" s="510" t="s">
        <v>181</v>
      </c>
      <c r="AC52" s="204"/>
      <c r="AD52" s="505"/>
    </row>
    <row r="53" spans="2:30" ht="17.100000000000001" customHeight="1" thickTop="1" thickBot="1" x14ac:dyDescent="0.25">
      <c r="B53" s="48" t="s">
        <v>186</v>
      </c>
      <c r="C53" s="31" t="s">
        <v>541</v>
      </c>
      <c r="D53" s="34"/>
      <c r="E53" s="211"/>
      <c r="F53" s="211"/>
      <c r="G53" s="478">
        <f t="shared" ref="G53" si="7">SUM(G12:G49)</f>
        <v>287597</v>
      </c>
      <c r="H53" s="478">
        <f t="shared" ref="H53:AA53" si="8">SUM(H12:H49)</f>
        <v>290671</v>
      </c>
      <c r="I53" s="478">
        <f t="shared" si="8"/>
        <v>0</v>
      </c>
      <c r="J53" s="478">
        <f t="shared" si="8"/>
        <v>0</v>
      </c>
      <c r="K53" s="478">
        <f t="shared" si="8"/>
        <v>-3074</v>
      </c>
      <c r="L53" s="478">
        <f t="shared" si="8"/>
        <v>0</v>
      </c>
      <c r="M53" s="478">
        <f t="shared" si="8"/>
        <v>0</v>
      </c>
      <c r="N53" s="478">
        <f t="shared" si="8"/>
        <v>0</v>
      </c>
      <c r="O53" s="478">
        <f t="shared" si="8"/>
        <v>0</v>
      </c>
      <c r="P53" s="478">
        <f t="shared" si="8"/>
        <v>0</v>
      </c>
      <c r="Q53" s="478">
        <f t="shared" si="8"/>
        <v>0</v>
      </c>
      <c r="R53" s="478">
        <f t="shared" si="8"/>
        <v>0</v>
      </c>
      <c r="S53" s="478">
        <f t="shared" si="8"/>
        <v>0</v>
      </c>
      <c r="T53" s="478">
        <f t="shared" si="8"/>
        <v>0</v>
      </c>
      <c r="U53" s="478">
        <f t="shared" si="8"/>
        <v>-61.47999999999999</v>
      </c>
      <c r="V53" s="478">
        <f t="shared" ref="V53" si="9">SUM(V12:V49)</f>
        <v>-61.47999999999999</v>
      </c>
      <c r="W53" s="478">
        <f t="shared" si="8"/>
        <v>0</v>
      </c>
      <c r="X53" s="478">
        <f t="shared" si="8"/>
        <v>0</v>
      </c>
      <c r="Y53" s="478">
        <f t="shared" si="8"/>
        <v>0</v>
      </c>
      <c r="Z53" s="478">
        <f t="shared" si="8"/>
        <v>0</v>
      </c>
      <c r="AA53" s="478">
        <f t="shared" si="8"/>
        <v>-3012.5200000000004</v>
      </c>
      <c r="AB53" s="514" t="s">
        <v>186</v>
      </c>
      <c r="AC53" s="515"/>
      <c r="AD53" s="516"/>
    </row>
    <row r="54" spans="2:30" ht="9.75" customHeight="1" thickTop="1" x14ac:dyDescent="0.2">
      <c r="B54" s="517"/>
      <c r="C54" s="518"/>
      <c r="D54" s="162"/>
      <c r="E54" s="519"/>
      <c r="F54" s="519"/>
      <c r="G54" s="487"/>
      <c r="H54" s="487"/>
      <c r="I54" s="487"/>
      <c r="J54" s="487"/>
      <c r="K54" s="487"/>
      <c r="L54" s="487"/>
      <c r="M54" s="487"/>
      <c r="N54" s="487"/>
      <c r="O54" s="487"/>
      <c r="P54" s="487"/>
      <c r="Q54" s="487"/>
      <c r="R54" s="487"/>
      <c r="S54" s="487"/>
      <c r="T54" s="487"/>
      <c r="U54" s="487"/>
      <c r="V54" s="487"/>
      <c r="W54" s="487"/>
      <c r="X54" s="487"/>
      <c r="Y54" s="487"/>
      <c r="Z54" s="487"/>
      <c r="AA54" s="487"/>
      <c r="AB54" s="517"/>
      <c r="AC54" s="520"/>
      <c r="AD54" s="201"/>
    </row>
    <row r="55" spans="2:30" ht="11.25" customHeight="1" x14ac:dyDescent="0.2">
      <c r="B55" s="889" t="s">
        <v>49</v>
      </c>
      <c r="C55" s="889"/>
      <c r="D55" s="889"/>
      <c r="E55" s="889"/>
      <c r="F55" s="889"/>
      <c r="G55" s="889"/>
      <c r="H55" s="889"/>
      <c r="I55" s="35"/>
      <c r="J55" s="35"/>
      <c r="K55" s="35"/>
      <c r="AA55" s="907" t="s">
        <v>48</v>
      </c>
      <c r="AB55" s="907"/>
      <c r="AC55" s="907"/>
      <c r="AD55" s="907"/>
    </row>
    <row r="56" spans="2:30" x14ac:dyDescent="0.2">
      <c r="B56" s="889"/>
      <c r="C56" s="889"/>
      <c r="D56" s="889"/>
      <c r="E56" s="889"/>
      <c r="F56" s="889"/>
      <c r="G56" s="889"/>
      <c r="H56" s="889"/>
      <c r="AA56" s="907"/>
      <c r="AB56" s="907"/>
      <c r="AC56" s="907"/>
      <c r="AD56" s="907"/>
    </row>
    <row r="57" spans="2:30" ht="15" customHeight="1" x14ac:dyDescent="0.2">
      <c r="B57" s="889"/>
      <c r="C57" s="889"/>
      <c r="D57" s="889"/>
      <c r="E57" s="889"/>
      <c r="F57" s="889"/>
      <c r="G57" s="889"/>
      <c r="H57" s="889"/>
      <c r="M57" s="488"/>
      <c r="U57" s="1" t="s">
        <v>50</v>
      </c>
      <c r="Y57" s="921"/>
      <c r="Z57" s="921"/>
      <c r="AA57" s="907"/>
      <c r="AB57" s="907"/>
      <c r="AC57" s="907"/>
      <c r="AD57" s="907"/>
    </row>
    <row r="58" spans="2:30" ht="15" customHeight="1" x14ac:dyDescent="0.25">
      <c r="H58" s="615"/>
      <c r="M58" s="201"/>
      <c r="U58" s="921"/>
      <c r="V58" s="921"/>
      <c r="Y58" s="824"/>
      <c r="Z58" s="824"/>
      <c r="AA58" s="907"/>
      <c r="AB58" s="907"/>
      <c r="AC58" s="907"/>
      <c r="AD58" s="907"/>
    </row>
    <row r="59" spans="2:30" ht="12.75" customHeight="1" x14ac:dyDescent="0.25">
      <c r="F59" s="615" t="s">
        <v>673</v>
      </c>
      <c r="G59" s="522"/>
      <c r="H59" s="201"/>
      <c r="I59" s="522"/>
      <c r="J59" s="522"/>
      <c r="K59" s="522"/>
      <c r="M59" s="201"/>
      <c r="R59" s="488"/>
      <c r="U59" s="824"/>
      <c r="V59" s="824"/>
      <c r="Y59" s="488"/>
      <c r="Z59" s="488"/>
      <c r="AA59" s="907"/>
      <c r="AB59" s="907"/>
      <c r="AC59" s="907"/>
      <c r="AD59" s="907"/>
    </row>
    <row r="60" spans="2:30" ht="12.75" x14ac:dyDescent="0.2">
      <c r="E60" s="824" t="s">
        <v>79</v>
      </c>
      <c r="F60" s="824"/>
      <c r="G60" s="824"/>
      <c r="H60" s="824"/>
      <c r="R60" s="201"/>
      <c r="U60" s="921" t="s">
        <v>673</v>
      </c>
      <c r="V60" s="921"/>
      <c r="W60" s="921"/>
      <c r="Y60" s="201"/>
      <c r="Z60" s="201"/>
      <c r="AA60" s="907"/>
      <c r="AB60" s="907"/>
      <c r="AC60" s="907"/>
      <c r="AD60" s="907"/>
    </row>
    <row r="61" spans="2:30" ht="11.25" hidden="1" customHeight="1" x14ac:dyDescent="0.2">
      <c r="U61" s="201" t="s">
        <v>79</v>
      </c>
      <c r="V61" s="201"/>
      <c r="AA61" s="907"/>
      <c r="AB61" s="907"/>
      <c r="AC61" s="907"/>
      <c r="AD61" s="907"/>
    </row>
    <row r="62" spans="2:30" ht="12.75" x14ac:dyDescent="0.2">
      <c r="B62" s="17" t="s">
        <v>52</v>
      </c>
      <c r="U62" s="824" t="s">
        <v>79</v>
      </c>
      <c r="V62" s="824"/>
      <c r="W62" s="824"/>
      <c r="AA62" s="907"/>
      <c r="AB62" s="907"/>
      <c r="AC62" s="907"/>
      <c r="AD62" s="907"/>
    </row>
    <row r="63" spans="2:30" ht="12.75" x14ac:dyDescent="0.2">
      <c r="U63" s="824" t="s">
        <v>51</v>
      </c>
      <c r="V63" s="824"/>
      <c r="W63" s="824"/>
      <c r="AA63" s="523"/>
      <c r="AB63" s="523"/>
      <c r="AC63" s="523" t="s">
        <v>111</v>
      </c>
    </row>
    <row r="64" spans="2:30" ht="12.75" x14ac:dyDescent="0.2">
      <c r="F64" s="1" t="s">
        <v>53</v>
      </c>
      <c r="U64" s="201"/>
      <c r="AA64" s="524"/>
      <c r="AB64" s="524"/>
      <c r="AC64" s="524" t="s">
        <v>105</v>
      </c>
    </row>
    <row r="65" spans="2:30" x14ac:dyDescent="0.2">
      <c r="AA65" s="524"/>
      <c r="AB65" s="524"/>
      <c r="AC65" s="524"/>
    </row>
    <row r="66" spans="2:30" x14ac:dyDescent="0.2">
      <c r="B66" s="17" t="s">
        <v>54</v>
      </c>
      <c r="AA66" s="907" t="s">
        <v>55</v>
      </c>
      <c r="AB66" s="907"/>
      <c r="AC66" s="907"/>
      <c r="AD66" s="907"/>
    </row>
    <row r="67" spans="2:30" x14ac:dyDescent="0.2">
      <c r="AA67" s="907"/>
      <c r="AB67" s="907"/>
      <c r="AC67" s="907"/>
      <c r="AD67" s="907"/>
    </row>
    <row r="68" spans="2:30" x14ac:dyDescent="0.2">
      <c r="D68" s="1" t="s">
        <v>56</v>
      </c>
      <c r="F68" s="1" t="s">
        <v>57</v>
      </c>
      <c r="AA68" s="907"/>
      <c r="AB68" s="907"/>
      <c r="AC68" s="907"/>
      <c r="AD68" s="907"/>
    </row>
    <row r="69" spans="2:30" x14ac:dyDescent="0.2">
      <c r="AA69" s="907"/>
      <c r="AB69" s="907"/>
      <c r="AC69" s="907"/>
      <c r="AD69" s="907"/>
    </row>
    <row r="70" spans="2:30" x14ac:dyDescent="0.2">
      <c r="AA70" s="907"/>
      <c r="AB70" s="907"/>
      <c r="AC70" s="907"/>
      <c r="AD70" s="907"/>
    </row>
    <row r="71" spans="2:30" x14ac:dyDescent="0.2">
      <c r="AA71" s="907"/>
      <c r="AB71" s="907"/>
      <c r="AC71" s="907"/>
      <c r="AD71" s="907"/>
    </row>
    <row r="72" spans="2:30" x14ac:dyDescent="0.2">
      <c r="D72" s="1000" t="s">
        <v>58</v>
      </c>
      <c r="E72" s="1000"/>
      <c r="F72" s="1000"/>
      <c r="AA72" s="525"/>
      <c r="AB72" s="525" t="s">
        <v>184</v>
      </c>
      <c r="AC72" s="525"/>
    </row>
    <row r="73" spans="2:30" x14ac:dyDescent="0.2">
      <c r="AC73" s="1" t="s">
        <v>185</v>
      </c>
    </row>
    <row r="84" spans="26:26" x14ac:dyDescent="0.2">
      <c r="Z84" s="35"/>
    </row>
  </sheetData>
  <mergeCells count="61">
    <mergeCell ref="B1:AD1"/>
    <mergeCell ref="B2:AD3"/>
    <mergeCell ref="C4:C9"/>
    <mergeCell ref="D4:D9"/>
    <mergeCell ref="E4:F4"/>
    <mergeCell ref="H4:H5"/>
    <mergeCell ref="I4:I8"/>
    <mergeCell ref="J4:J8"/>
    <mergeCell ref="L4:Z4"/>
    <mergeCell ref="L6:L9"/>
    <mergeCell ref="M6:M9"/>
    <mergeCell ref="E5:E7"/>
    <mergeCell ref="F5:F7"/>
    <mergeCell ref="R5:S5"/>
    <mergeCell ref="G4:G7"/>
    <mergeCell ref="AC6:AC8"/>
    <mergeCell ref="AD6:AD8"/>
    <mergeCell ref="U7:U9"/>
    <mergeCell ref="V7:V9"/>
    <mergeCell ref="W7:W9"/>
    <mergeCell ref="X7:X9"/>
    <mergeCell ref="Y5:Y9"/>
    <mergeCell ref="Z5:Z9"/>
    <mergeCell ref="AA5:AA9"/>
    <mergeCell ref="AB5:AB9"/>
    <mergeCell ref="U5:V6"/>
    <mergeCell ref="AA66:AD71"/>
    <mergeCell ref="D72:F72"/>
    <mergeCell ref="E15:F15"/>
    <mergeCell ref="E19:F19"/>
    <mergeCell ref="E27:F27"/>
    <mergeCell ref="E34:F34"/>
    <mergeCell ref="E40:F40"/>
    <mergeCell ref="E44:F44"/>
    <mergeCell ref="E49:F49"/>
    <mergeCell ref="B55:H57"/>
    <mergeCell ref="AA55:AD62"/>
    <mergeCell ref="Y57:Z57"/>
    <mergeCell ref="U58:V58"/>
    <mergeCell ref="Y58:Z58"/>
    <mergeCell ref="U59:V59"/>
    <mergeCell ref="E60:H60"/>
    <mergeCell ref="H6:H7"/>
    <mergeCell ref="T5:T10"/>
    <mergeCell ref="N6:N9"/>
    <mergeCell ref="O6:O9"/>
    <mergeCell ref="P6:P9"/>
    <mergeCell ref="K4:K9"/>
    <mergeCell ref="Q6:Q9"/>
    <mergeCell ref="R6:S7"/>
    <mergeCell ref="R8:R9"/>
    <mergeCell ref="S8:S9"/>
    <mergeCell ref="U62:W62"/>
    <mergeCell ref="U63:W63"/>
    <mergeCell ref="U60:W60"/>
    <mergeCell ref="E12:F12"/>
    <mergeCell ref="E20:F20"/>
    <mergeCell ref="E23:F23"/>
    <mergeCell ref="E26:F26"/>
    <mergeCell ref="E31:F31"/>
    <mergeCell ref="E48:F48"/>
  </mergeCells>
  <phoneticPr fontId="4" type="noConversion"/>
  <pageMargins left="0.80118110200000003" right="0.15748031496063" top="0.35433070866141703" bottom="0.15748031496063" header="0.15748031496063" footer="0.118110236220472"/>
  <pageSetup paperSize="8" scale="65" orientation="landscape" r:id="rId1"/>
  <headerFooter alignWithMargins="0"/>
  <colBreaks count="1" manualBreakCount="1">
    <brk id="30" max="1048575" man="1"/>
  </colBreaks>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9CBBF-266F-4268-A7A0-BB22FBFBDD5E}">
  <sheetPr>
    <tabColor rgb="FFFF33CC"/>
  </sheetPr>
  <dimension ref="A1:AF69"/>
  <sheetViews>
    <sheetView zoomScale="98" zoomScaleNormal="98" workbookViewId="0">
      <pane xSplit="6" ySplit="11" topLeftCell="Q30" activePane="bottomRight" state="frozen"/>
      <selection pane="topRight" activeCell="G1" sqref="G1"/>
      <selection pane="bottomLeft" activeCell="A12" sqref="A12"/>
      <selection pane="bottomRight" activeCell="Z34" sqref="Z34"/>
    </sheetView>
  </sheetViews>
  <sheetFormatPr defaultColWidth="9.140625" defaultRowHeight="11.25" x14ac:dyDescent="0.2"/>
  <cols>
    <col min="1" max="1" width="4.140625" style="1" customWidth="1"/>
    <col min="2" max="2" width="3" style="105" customWidth="1"/>
    <col min="3" max="3" width="28.28515625" style="17" customWidth="1"/>
    <col min="4" max="4" width="17.5703125" style="1" customWidth="1"/>
    <col min="5" max="5" width="9.7109375" style="1" customWidth="1"/>
    <col min="6" max="6" width="8.85546875" style="1" customWidth="1"/>
    <col min="7" max="7" width="12.7109375" style="1" customWidth="1"/>
    <col min="8" max="8" width="13.7109375" style="176" customWidth="1"/>
    <col min="9" max="10" width="12.7109375" style="1" hidden="1" customWidth="1"/>
    <col min="11" max="11" width="12.7109375" style="1" customWidth="1"/>
    <col min="12" max="12" width="11.5703125" style="1" customWidth="1"/>
    <col min="13" max="13" width="10.5703125" style="1" hidden="1" customWidth="1"/>
    <col min="14" max="14" width="8.28515625" style="1" hidden="1" customWidth="1"/>
    <col min="15" max="15" width="10.42578125" style="1" hidden="1" customWidth="1"/>
    <col min="16" max="16" width="11.85546875" style="1" customWidth="1"/>
    <col min="17" max="17" width="11.5703125" style="1" customWidth="1"/>
    <col min="18" max="18" width="10.42578125" style="1" hidden="1" customWidth="1"/>
    <col min="19" max="19" width="11.5703125" style="1" hidden="1" customWidth="1"/>
    <col min="20" max="20" width="11.5703125" style="1" customWidth="1"/>
    <col min="21" max="21" width="11.7109375" style="1" customWidth="1"/>
    <col min="22" max="22" width="12.28515625" style="1" customWidth="1"/>
    <col min="23" max="23" width="13.140625" style="1" customWidth="1"/>
    <col min="24" max="24" width="10.28515625" style="1" hidden="1" customWidth="1"/>
    <col min="25" max="25" width="10.7109375" style="1" hidden="1" customWidth="1"/>
    <col min="26" max="26" width="11.42578125" style="1" customWidth="1"/>
    <col min="27" max="27" width="12.42578125" style="1" customWidth="1"/>
    <col min="28" max="28" width="3" style="1" customWidth="1"/>
    <col min="29" max="29" width="15.7109375" style="1" customWidth="1"/>
    <col min="30" max="30" width="9" style="1" customWidth="1"/>
    <col min="31" max="16384" width="9.140625" style="1"/>
  </cols>
  <sheetData>
    <row r="1" spans="2:30" ht="26.25" x14ac:dyDescent="0.4">
      <c r="B1" s="944" t="s">
        <v>59</v>
      </c>
      <c r="C1" s="863"/>
      <c r="D1" s="863"/>
      <c r="E1" s="863"/>
      <c r="F1" s="863"/>
      <c r="G1" s="863"/>
      <c r="H1" s="863"/>
      <c r="I1" s="863"/>
      <c r="J1" s="863"/>
      <c r="K1" s="863"/>
      <c r="L1" s="863"/>
      <c r="M1" s="863"/>
      <c r="N1" s="863"/>
      <c r="O1" s="863"/>
      <c r="P1" s="863"/>
      <c r="Q1" s="863"/>
      <c r="R1" s="863"/>
      <c r="S1" s="863"/>
      <c r="T1" s="863"/>
      <c r="U1" s="863"/>
      <c r="V1" s="863"/>
      <c r="W1" s="863"/>
      <c r="X1" s="863"/>
      <c r="Y1" s="863"/>
      <c r="Z1" s="863"/>
      <c r="AA1" s="863"/>
      <c r="AB1" s="863"/>
      <c r="AC1" s="863"/>
      <c r="AD1" s="863"/>
    </row>
    <row r="2" spans="2:30" x14ac:dyDescent="0.2">
      <c r="B2" s="945" t="s">
        <v>164</v>
      </c>
      <c r="C2" s="945"/>
      <c r="D2" s="945"/>
      <c r="E2" s="945"/>
      <c r="F2" s="945"/>
      <c r="G2" s="945"/>
      <c r="H2" s="945"/>
      <c r="I2" s="945"/>
      <c r="J2" s="945"/>
      <c r="K2" s="945"/>
      <c r="L2" s="945"/>
      <c r="M2" s="945"/>
      <c r="N2" s="945"/>
      <c r="O2" s="945"/>
      <c r="P2" s="945"/>
      <c r="Q2" s="945"/>
      <c r="R2" s="945"/>
      <c r="S2" s="945"/>
      <c r="T2" s="945"/>
      <c r="U2" s="945"/>
      <c r="V2" s="945"/>
      <c r="W2" s="945"/>
      <c r="X2" s="945"/>
      <c r="Y2" s="945"/>
      <c r="Z2" s="945"/>
      <c r="AA2" s="945"/>
      <c r="AB2" s="945"/>
      <c r="AC2" s="945"/>
      <c r="AD2" s="945"/>
    </row>
    <row r="3" spans="2:30" ht="15.75" customHeight="1" thickBot="1" x14ac:dyDescent="0.25">
      <c r="B3" s="946"/>
      <c r="C3" s="946"/>
      <c r="D3" s="946"/>
      <c r="E3" s="946"/>
      <c r="F3" s="946"/>
      <c r="G3" s="946"/>
      <c r="H3" s="946"/>
      <c r="I3" s="946"/>
      <c r="J3" s="946"/>
      <c r="K3" s="946"/>
      <c r="L3" s="946"/>
      <c r="M3" s="946"/>
      <c r="N3" s="946"/>
      <c r="O3" s="946"/>
      <c r="P3" s="946"/>
      <c r="Q3" s="946"/>
      <c r="R3" s="946"/>
      <c r="S3" s="946"/>
      <c r="T3" s="946"/>
      <c r="U3" s="946"/>
      <c r="V3" s="946"/>
      <c r="W3" s="946"/>
      <c r="X3" s="946"/>
      <c r="Y3" s="946"/>
      <c r="Z3" s="946"/>
      <c r="AA3" s="946"/>
      <c r="AB3" s="946"/>
      <c r="AC3" s="946"/>
      <c r="AD3" s="946"/>
    </row>
    <row r="4" spans="2:30" s="4" customFormat="1" ht="24" customHeight="1" thickTop="1" x14ac:dyDescent="0.3">
      <c r="B4" s="494" t="s">
        <v>1</v>
      </c>
      <c r="C4" s="980" t="s">
        <v>2</v>
      </c>
      <c r="D4" s="948" t="s">
        <v>3</v>
      </c>
      <c r="E4" s="871" t="s">
        <v>4</v>
      </c>
      <c r="F4" s="871"/>
      <c r="G4" s="866" t="s">
        <v>610</v>
      </c>
      <c r="H4" s="872"/>
      <c r="I4" s="1069" t="s">
        <v>674</v>
      </c>
      <c r="J4" s="1069" t="s">
        <v>675</v>
      </c>
      <c r="K4" s="985" t="s">
        <v>695</v>
      </c>
      <c r="L4" s="887" t="s">
        <v>6</v>
      </c>
      <c r="M4" s="887"/>
      <c r="N4" s="887"/>
      <c r="O4" s="887"/>
      <c r="P4" s="887"/>
      <c r="Q4" s="887"/>
      <c r="R4" s="887"/>
      <c r="S4" s="887"/>
      <c r="T4" s="887"/>
      <c r="U4" s="887"/>
      <c r="V4" s="887"/>
      <c r="W4" s="887"/>
      <c r="X4" s="887"/>
      <c r="Y4" s="887"/>
      <c r="Z4" s="887"/>
      <c r="AA4" s="3"/>
      <c r="AB4" s="3"/>
      <c r="AC4" s="3"/>
      <c r="AD4" s="3"/>
    </row>
    <row r="5" spans="2:30" s="8" customFormat="1" ht="13.5" customHeight="1" x14ac:dyDescent="0.15">
      <c r="B5" s="10"/>
      <c r="C5" s="981"/>
      <c r="D5" s="949"/>
      <c r="E5" s="851" t="s">
        <v>7</v>
      </c>
      <c r="F5" s="852" t="s">
        <v>8</v>
      </c>
      <c r="G5" s="874"/>
      <c r="H5" s="873"/>
      <c r="I5" s="1070"/>
      <c r="J5" s="1070"/>
      <c r="K5" s="900"/>
      <c r="L5" s="740"/>
      <c r="M5" s="741"/>
      <c r="N5" s="741"/>
      <c r="O5" s="741"/>
      <c r="P5" s="741"/>
      <c r="Q5" s="741"/>
      <c r="R5" s="956" t="s">
        <v>238</v>
      </c>
      <c r="S5" s="956"/>
      <c r="T5" s="1062" t="s">
        <v>525</v>
      </c>
      <c r="U5" s="1047" t="s">
        <v>524</v>
      </c>
      <c r="V5" s="1048"/>
      <c r="W5" s="742"/>
      <c r="X5" s="743"/>
      <c r="Y5" s="972" t="s">
        <v>12</v>
      </c>
      <c r="Z5" s="972" t="s">
        <v>183</v>
      </c>
      <c r="AA5" s="1068" t="s">
        <v>14</v>
      </c>
      <c r="AB5" s="1064" t="s">
        <v>15</v>
      </c>
      <c r="AC5" s="7"/>
      <c r="AD5" s="7"/>
    </row>
    <row r="6" spans="2:30" s="8" customFormat="1" ht="13.5" customHeight="1" x14ac:dyDescent="0.15">
      <c r="B6" s="10"/>
      <c r="C6" s="981"/>
      <c r="D6" s="949"/>
      <c r="E6" s="867"/>
      <c r="F6" s="867"/>
      <c r="G6" s="839"/>
      <c r="H6" s="973"/>
      <c r="I6" s="1070"/>
      <c r="J6" s="1070"/>
      <c r="K6" s="900"/>
      <c r="L6" s="1071"/>
      <c r="M6" s="957"/>
      <c r="N6" s="856"/>
      <c r="O6" s="856"/>
      <c r="P6" s="856"/>
      <c r="Q6" s="856" t="s">
        <v>514</v>
      </c>
      <c r="R6" s="931" t="s">
        <v>232</v>
      </c>
      <c r="S6" s="937"/>
      <c r="T6" s="1011"/>
      <c r="U6" s="1049"/>
      <c r="V6" s="1050"/>
      <c r="W6" s="744"/>
      <c r="X6" s="745"/>
      <c r="Y6" s="867"/>
      <c r="Z6" s="1067"/>
      <c r="AA6" s="1068"/>
      <c r="AB6" s="1064"/>
      <c r="AC6" s="838" t="s">
        <v>25</v>
      </c>
      <c r="AD6" s="838" t="s">
        <v>26</v>
      </c>
    </row>
    <row r="7" spans="2:30" s="8" customFormat="1" ht="13.5" customHeight="1" x14ac:dyDescent="0.15">
      <c r="B7" s="10"/>
      <c r="C7" s="981"/>
      <c r="D7" s="949"/>
      <c r="E7" s="867"/>
      <c r="F7" s="867"/>
      <c r="G7" s="839"/>
      <c r="H7" s="974"/>
      <c r="I7" s="1070"/>
      <c r="J7" s="1070"/>
      <c r="K7" s="900"/>
      <c r="L7" s="908"/>
      <c r="M7" s="949"/>
      <c r="N7" s="859"/>
      <c r="O7" s="859"/>
      <c r="P7" s="859"/>
      <c r="Q7" s="859"/>
      <c r="R7" s="939"/>
      <c r="S7" s="1060"/>
      <c r="T7" s="1011"/>
      <c r="U7" s="957" t="s">
        <v>27</v>
      </c>
      <c r="V7" s="957" t="s">
        <v>28</v>
      </c>
      <c r="W7" s="957"/>
      <c r="X7" s="957" t="s">
        <v>30</v>
      </c>
      <c r="Y7" s="867"/>
      <c r="Z7" s="1067"/>
      <c r="AA7" s="1068"/>
      <c r="AB7" s="1064"/>
      <c r="AC7" s="970"/>
      <c r="AD7" s="838"/>
    </row>
    <row r="8" spans="2:30" s="8" customFormat="1" ht="13.5" customHeight="1" x14ac:dyDescent="0.2">
      <c r="B8" s="10"/>
      <c r="C8" s="981"/>
      <c r="D8" s="950"/>
      <c r="E8" s="11"/>
      <c r="F8" s="107"/>
      <c r="G8" s="495"/>
      <c r="H8" s="4"/>
      <c r="I8" s="1070"/>
      <c r="J8" s="1070"/>
      <c r="K8" s="900"/>
      <c r="L8" s="908"/>
      <c r="M8" s="949"/>
      <c r="N8" s="859"/>
      <c r="O8" s="859"/>
      <c r="P8" s="859"/>
      <c r="Q8" s="859"/>
      <c r="R8" s="851" t="s">
        <v>27</v>
      </c>
      <c r="S8" s="852" t="s">
        <v>33</v>
      </c>
      <c r="T8" s="1011"/>
      <c r="U8" s="949"/>
      <c r="V8" s="949"/>
      <c r="W8" s="949"/>
      <c r="X8" s="949"/>
      <c r="Y8" s="867"/>
      <c r="Z8" s="1067"/>
      <c r="AA8" s="1068"/>
      <c r="AB8" s="1065"/>
      <c r="AC8" s="970"/>
      <c r="AD8" s="838"/>
    </row>
    <row r="9" spans="2:30" s="8" customFormat="1" ht="13.5" customHeight="1" x14ac:dyDescent="0.2">
      <c r="B9" s="10"/>
      <c r="C9" s="981"/>
      <c r="D9" s="950"/>
      <c r="E9" s="11"/>
      <c r="F9" s="107"/>
      <c r="G9" s="495"/>
      <c r="H9" s="4"/>
      <c r="I9" s="495"/>
      <c r="J9" s="495"/>
      <c r="K9" s="900"/>
      <c r="L9" s="908"/>
      <c r="M9" s="949"/>
      <c r="N9" s="859"/>
      <c r="O9" s="859"/>
      <c r="P9" s="859"/>
      <c r="Q9" s="859"/>
      <c r="R9" s="838"/>
      <c r="S9" s="853"/>
      <c r="T9" s="1011"/>
      <c r="U9" s="949"/>
      <c r="V9" s="949"/>
      <c r="W9" s="949"/>
      <c r="X9" s="949"/>
      <c r="Y9" s="867"/>
      <c r="Z9" s="1067"/>
      <c r="AA9" s="1068"/>
      <c r="AB9" s="1065"/>
      <c r="AC9" s="7"/>
      <c r="AD9" s="7"/>
    </row>
    <row r="10" spans="2:30" s="15" customFormat="1" ht="12" thickBot="1" x14ac:dyDescent="0.25">
      <c r="B10" s="13">
        <v>1</v>
      </c>
      <c r="C10" s="13">
        <v>2</v>
      </c>
      <c r="D10" s="13">
        <v>3</v>
      </c>
      <c r="E10" s="13">
        <v>4</v>
      </c>
      <c r="F10" s="13">
        <v>5</v>
      </c>
      <c r="G10" s="13">
        <v>7</v>
      </c>
      <c r="H10" s="13">
        <v>6</v>
      </c>
      <c r="I10" s="13"/>
      <c r="J10" s="13"/>
      <c r="K10" s="691"/>
      <c r="L10" s="13">
        <v>8</v>
      </c>
      <c r="M10" s="13">
        <v>12</v>
      </c>
      <c r="N10" s="13">
        <v>19</v>
      </c>
      <c r="O10" s="13"/>
      <c r="P10" s="13"/>
      <c r="Q10" s="13">
        <v>19</v>
      </c>
      <c r="R10" s="14">
        <v>16</v>
      </c>
      <c r="S10" s="496">
        <v>17</v>
      </c>
      <c r="T10" s="1063"/>
      <c r="U10" s="13">
        <v>14</v>
      </c>
      <c r="V10" s="13">
        <v>15</v>
      </c>
      <c r="W10" s="13">
        <v>22</v>
      </c>
      <c r="X10" s="13">
        <v>23</v>
      </c>
      <c r="Y10" s="13">
        <v>21</v>
      </c>
      <c r="Z10" s="13">
        <v>20</v>
      </c>
      <c r="AA10" s="13">
        <v>25</v>
      </c>
      <c r="AB10" s="13">
        <v>26</v>
      </c>
      <c r="AC10" s="13">
        <v>27</v>
      </c>
      <c r="AD10" s="13">
        <v>28</v>
      </c>
    </row>
    <row r="11" spans="2:30" s="15" customFormat="1" ht="18.75" customHeight="1" thickTop="1" x14ac:dyDescent="0.2">
      <c r="B11" s="497"/>
      <c r="C11" s="498" t="s">
        <v>696</v>
      </c>
      <c r="D11" s="208"/>
      <c r="E11" s="208"/>
      <c r="F11" s="208"/>
      <c r="G11" s="208"/>
      <c r="H11" s="208"/>
      <c r="I11" s="208"/>
      <c r="J11" s="208"/>
      <c r="K11" s="208"/>
      <c r="L11" s="208"/>
      <c r="M11" s="208"/>
      <c r="N11" s="208"/>
      <c r="O11" s="208"/>
      <c r="P11" s="208"/>
      <c r="Q11" s="208"/>
      <c r="R11" s="493"/>
      <c r="S11" s="493"/>
      <c r="T11" s="493"/>
      <c r="U11" s="208"/>
      <c r="V11" s="208"/>
      <c r="W11" s="208"/>
      <c r="X11" s="208"/>
      <c r="Y11" s="208"/>
      <c r="Z11" s="208"/>
      <c r="AA11" s="208"/>
      <c r="AB11" s="502"/>
      <c r="AC11" s="499"/>
      <c r="AD11" s="500"/>
    </row>
    <row r="12" spans="2:30" s="15" customFormat="1" ht="18.75" customHeight="1" thickBot="1" x14ac:dyDescent="0.25">
      <c r="B12" s="222" t="s">
        <v>38</v>
      </c>
      <c r="C12" s="30" t="s">
        <v>597</v>
      </c>
      <c r="D12" s="210" t="s">
        <v>546</v>
      </c>
      <c r="E12" s="935" t="s">
        <v>688</v>
      </c>
      <c r="F12" s="935"/>
      <c r="G12" s="713">
        <v>12039</v>
      </c>
      <c r="H12" s="60">
        <v>12136</v>
      </c>
      <c r="I12" s="746"/>
      <c r="J12" s="746"/>
      <c r="K12" s="60">
        <f>G12-H12</f>
        <v>-97</v>
      </c>
      <c r="L12" s="746"/>
      <c r="M12" s="746"/>
      <c r="N12" s="746"/>
      <c r="O12" s="746"/>
      <c r="P12" s="746"/>
      <c r="Q12" s="746"/>
      <c r="R12" s="747"/>
      <c r="S12" s="747"/>
      <c r="T12" s="60"/>
      <c r="U12" s="60">
        <f>K12*0.02</f>
        <v>-1.94</v>
      </c>
      <c r="V12" s="60">
        <f>K12*0.02</f>
        <v>-1.94</v>
      </c>
      <c r="W12" s="746"/>
      <c r="X12" s="746"/>
      <c r="Y12" s="746"/>
      <c r="Z12" s="746"/>
      <c r="AA12" s="60">
        <f>K12-U12</f>
        <v>-95.06</v>
      </c>
      <c r="AB12" s="510" t="s">
        <v>38</v>
      </c>
      <c r="AC12" s="207"/>
      <c r="AD12" s="22"/>
    </row>
    <row r="13" spans="2:30" s="15" customFormat="1" ht="18.75" customHeight="1" x14ac:dyDescent="0.2">
      <c r="B13" s="222" t="s">
        <v>127</v>
      </c>
      <c r="C13" s="44"/>
      <c r="D13" s="404"/>
      <c r="E13" s="576"/>
      <c r="F13" s="43"/>
      <c r="G13" s="507"/>
      <c r="H13" s="55"/>
      <c r="I13" s="208"/>
      <c r="J13" s="208"/>
      <c r="K13" s="208"/>
      <c r="L13" s="208"/>
      <c r="M13" s="208"/>
      <c r="N13" s="208"/>
      <c r="O13" s="208"/>
      <c r="P13" s="208"/>
      <c r="Q13" s="208"/>
      <c r="R13" s="493"/>
      <c r="S13" s="493"/>
      <c r="T13" s="55"/>
      <c r="U13" s="55"/>
      <c r="V13" s="55"/>
      <c r="W13" s="208"/>
      <c r="X13" s="208"/>
      <c r="Y13" s="208"/>
      <c r="Z13" s="208"/>
      <c r="AA13" s="55"/>
      <c r="AB13" s="510" t="s">
        <v>127</v>
      </c>
      <c r="AC13" s="208"/>
      <c r="AD13" s="22"/>
    </row>
    <row r="14" spans="2:30" ht="17.100000000000001" customHeight="1" x14ac:dyDescent="0.2">
      <c r="B14" s="222"/>
      <c r="C14" s="194"/>
      <c r="D14" s="209"/>
      <c r="E14" s="576"/>
      <c r="F14" s="43"/>
      <c r="G14" s="618"/>
      <c r="H14" s="56"/>
      <c r="I14" s="618"/>
      <c r="J14" s="618"/>
      <c r="K14" s="617"/>
      <c r="L14" s="618"/>
      <c r="M14" s="56"/>
      <c r="N14" s="56"/>
      <c r="O14" s="56"/>
      <c r="P14" s="56"/>
      <c r="Q14" s="56"/>
      <c r="R14" s="56"/>
      <c r="S14" s="54"/>
      <c r="T14" s="54"/>
      <c r="U14" s="56"/>
      <c r="V14" s="56"/>
      <c r="W14" s="56"/>
      <c r="X14" s="56"/>
      <c r="Y14" s="56"/>
      <c r="Z14" s="56"/>
      <c r="AA14" s="56"/>
      <c r="AB14" s="510"/>
      <c r="AC14" s="503"/>
      <c r="AD14" s="504"/>
    </row>
    <row r="15" spans="2:30" ht="17.100000000000001" customHeight="1" x14ac:dyDescent="0.2">
      <c r="B15" s="222"/>
      <c r="C15" s="30"/>
      <c r="D15" s="750"/>
      <c r="E15" s="918"/>
      <c r="F15" s="1082"/>
      <c r="G15" s="618"/>
      <c r="H15" s="56"/>
      <c r="I15" s="618"/>
      <c r="J15" s="618"/>
      <c r="K15" s="56"/>
      <c r="L15" s="618"/>
      <c r="M15" s="56"/>
      <c r="N15" s="56"/>
      <c r="O15" s="56"/>
      <c r="P15" s="56"/>
      <c r="Q15" s="56"/>
      <c r="R15" s="56"/>
      <c r="S15" s="54"/>
      <c r="T15" s="54"/>
      <c r="U15" s="56"/>
      <c r="V15" s="56"/>
      <c r="W15" s="56"/>
      <c r="X15" s="56"/>
      <c r="Y15" s="56"/>
      <c r="Z15" s="56"/>
      <c r="AA15" s="56"/>
      <c r="AB15" s="510"/>
      <c r="AC15" s="503"/>
      <c r="AD15" s="504"/>
    </row>
    <row r="16" spans="2:30" ht="17.100000000000001" customHeight="1" x14ac:dyDescent="0.2">
      <c r="B16" s="222"/>
      <c r="C16" s="30"/>
      <c r="D16" s="210"/>
      <c r="E16" s="918"/>
      <c r="F16" s="1082"/>
      <c r="G16" s="618"/>
      <c r="H16" s="54"/>
      <c r="I16" s="56"/>
      <c r="J16" s="56"/>
      <c r="K16" s="56"/>
      <c r="L16" s="56"/>
      <c r="M16" s="56"/>
      <c r="N16" s="56"/>
      <c r="O16" s="56"/>
      <c r="P16" s="56"/>
      <c r="Q16" s="56"/>
      <c r="R16" s="56"/>
      <c r="S16" s="56"/>
      <c r="T16" s="56"/>
      <c r="U16" s="56"/>
      <c r="V16" s="56"/>
      <c r="W16" s="56"/>
      <c r="X16" s="56"/>
      <c r="Y16" s="56"/>
      <c r="Z16" s="56"/>
      <c r="AA16" s="56"/>
      <c r="AB16" s="510"/>
      <c r="AC16" s="503"/>
      <c r="AD16" s="504"/>
    </row>
    <row r="17" spans="1:32" ht="17.100000000000001" customHeight="1" x14ac:dyDescent="0.2">
      <c r="B17" s="222"/>
      <c r="C17" s="194"/>
      <c r="D17" s="750"/>
      <c r="E17" s="576"/>
      <c r="F17" s="43"/>
      <c r="G17" s="56"/>
      <c r="H17" s="56"/>
      <c r="I17" s="56"/>
      <c r="J17" s="56"/>
      <c r="K17" s="56"/>
      <c r="L17" s="56"/>
      <c r="M17" s="56"/>
      <c r="N17" s="56"/>
      <c r="O17" s="56"/>
      <c r="P17" s="56"/>
      <c r="Q17" s="56"/>
      <c r="R17" s="56"/>
      <c r="S17" s="56"/>
      <c r="T17" s="56"/>
      <c r="U17" s="56"/>
      <c r="V17" s="56"/>
      <c r="W17" s="56"/>
      <c r="X17" s="56"/>
      <c r="Y17" s="56"/>
      <c r="Z17" s="56"/>
      <c r="AA17" s="56"/>
      <c r="AB17" s="510"/>
      <c r="AC17" s="503"/>
      <c r="AD17" s="504"/>
    </row>
    <row r="18" spans="1:32" ht="17.100000000000001" customHeight="1" x14ac:dyDescent="0.2">
      <c r="B18" s="222"/>
      <c r="C18" s="194"/>
      <c r="D18" s="210"/>
      <c r="E18" s="576"/>
      <c r="F18" s="43"/>
      <c r="G18" s="56"/>
      <c r="H18" s="56"/>
      <c r="I18" s="56"/>
      <c r="J18" s="56"/>
      <c r="K18" s="56"/>
      <c r="L18" s="56"/>
      <c r="M18" s="56"/>
      <c r="N18" s="56"/>
      <c r="O18" s="56"/>
      <c r="P18" s="56"/>
      <c r="Q18" s="56"/>
      <c r="R18" s="56"/>
      <c r="S18" s="56"/>
      <c r="T18" s="56"/>
      <c r="U18" s="56"/>
      <c r="V18" s="56"/>
      <c r="W18" s="56"/>
      <c r="X18" s="56"/>
      <c r="Y18" s="56"/>
      <c r="Z18" s="56"/>
      <c r="AA18" s="56"/>
      <c r="AB18" s="510"/>
      <c r="AC18" s="506"/>
      <c r="AD18" s="505"/>
    </row>
    <row r="19" spans="1:32" ht="17.100000000000001" customHeight="1" x14ac:dyDescent="0.2">
      <c r="B19" s="222"/>
      <c r="C19" s="194"/>
      <c r="D19" s="151"/>
      <c r="E19" s="918"/>
      <c r="F19" s="1082"/>
      <c r="G19" s="618"/>
      <c r="H19" s="54"/>
      <c r="I19" s="618"/>
      <c r="J19" s="618"/>
      <c r="K19" s="54"/>
      <c r="L19" s="56"/>
      <c r="M19" s="56"/>
      <c r="N19" s="56"/>
      <c r="O19" s="56"/>
      <c r="P19" s="56"/>
      <c r="Q19" s="56"/>
      <c r="R19" s="56"/>
      <c r="S19" s="54"/>
      <c r="T19" s="54"/>
      <c r="U19" s="56"/>
      <c r="V19" s="56"/>
      <c r="W19" s="56"/>
      <c r="X19" s="56"/>
      <c r="Y19" s="56"/>
      <c r="Z19" s="56"/>
      <c r="AA19" s="56"/>
      <c r="AB19" s="510"/>
      <c r="AC19" s="506"/>
      <c r="AD19" s="505"/>
    </row>
    <row r="20" spans="1:32" ht="17.100000000000001" customHeight="1" x14ac:dyDescent="0.2">
      <c r="B20" s="222"/>
      <c r="C20" s="30"/>
      <c r="D20" s="32"/>
      <c r="E20" s="918"/>
      <c r="F20" s="1082"/>
      <c r="G20" s="618"/>
      <c r="H20" s="56"/>
      <c r="I20" s="618"/>
      <c r="J20" s="618"/>
      <c r="K20" s="56"/>
      <c r="L20" s="56"/>
      <c r="M20" s="56"/>
      <c r="N20" s="56"/>
      <c r="O20" s="56"/>
      <c r="P20" s="56"/>
      <c r="Q20" s="56"/>
      <c r="R20" s="56"/>
      <c r="S20" s="54"/>
      <c r="T20" s="54"/>
      <c r="U20" s="56"/>
      <c r="V20" s="56"/>
      <c r="W20" s="56"/>
      <c r="X20" s="56"/>
      <c r="Y20" s="56"/>
      <c r="Z20" s="56"/>
      <c r="AA20" s="56"/>
      <c r="AB20" s="510"/>
      <c r="AC20" s="506"/>
      <c r="AD20" s="505"/>
    </row>
    <row r="21" spans="1:32" ht="17.100000000000001" customHeight="1" x14ac:dyDescent="0.2">
      <c r="B21" s="222"/>
      <c r="C21" s="44"/>
      <c r="D21" s="210"/>
      <c r="E21" s="576"/>
      <c r="F21" s="43"/>
      <c r="G21" s="618"/>
      <c r="H21" s="56"/>
      <c r="I21" s="618"/>
      <c r="J21" s="618"/>
      <c r="K21" s="56"/>
      <c r="L21" s="56"/>
      <c r="M21" s="56"/>
      <c r="N21" s="56"/>
      <c r="O21" s="56"/>
      <c r="P21" s="56"/>
      <c r="Q21" s="56"/>
      <c r="R21" s="56"/>
      <c r="S21" s="54"/>
      <c r="T21" s="54"/>
      <c r="U21" s="56"/>
      <c r="V21" s="56"/>
      <c r="W21" s="56"/>
      <c r="X21" s="56"/>
      <c r="Y21" s="56"/>
      <c r="Z21" s="56"/>
      <c r="AA21" s="56"/>
      <c r="AB21" s="510"/>
      <c r="AC21" s="506"/>
      <c r="AD21" s="505"/>
      <c r="AF21" s="35"/>
    </row>
    <row r="22" spans="1:32" ht="17.100000000000001" customHeight="1" x14ac:dyDescent="0.2">
      <c r="B22" s="222"/>
      <c r="C22" s="44"/>
      <c r="D22" s="210"/>
      <c r="E22" s="576"/>
      <c r="F22" s="43"/>
      <c r="G22" s="56"/>
      <c r="H22" s="56"/>
      <c r="I22" s="56"/>
      <c r="J22" s="56"/>
      <c r="K22" s="56"/>
      <c r="L22" s="56"/>
      <c r="M22" s="56"/>
      <c r="N22" s="56"/>
      <c r="O22" s="56"/>
      <c r="P22" s="56"/>
      <c r="Q22" s="56"/>
      <c r="R22" s="56"/>
      <c r="S22" s="56"/>
      <c r="T22" s="56"/>
      <c r="U22" s="56"/>
      <c r="V22" s="56"/>
      <c r="W22" s="56"/>
      <c r="X22" s="56"/>
      <c r="Y22" s="56"/>
      <c r="Z22" s="56"/>
      <c r="AA22" s="56"/>
      <c r="AB22" s="510"/>
      <c r="AC22" s="204"/>
      <c r="AD22" s="505"/>
    </row>
    <row r="23" spans="1:32" ht="17.100000000000001" customHeight="1" x14ac:dyDescent="0.2">
      <c r="B23" s="222"/>
      <c r="C23" s="44"/>
      <c r="D23" s="210"/>
      <c r="E23" s="576"/>
      <c r="F23" s="43"/>
      <c r="G23" s="56"/>
      <c r="H23" s="56"/>
      <c r="I23" s="56"/>
      <c r="J23" s="56"/>
      <c r="K23" s="56"/>
      <c r="L23" s="56"/>
      <c r="M23" s="56"/>
      <c r="N23" s="56"/>
      <c r="O23" s="56"/>
      <c r="P23" s="56"/>
      <c r="Q23" s="56"/>
      <c r="R23" s="56"/>
      <c r="S23" s="56"/>
      <c r="T23" s="56"/>
      <c r="U23" s="56"/>
      <c r="V23" s="56"/>
      <c r="W23" s="56"/>
      <c r="X23" s="56"/>
      <c r="Y23" s="56"/>
      <c r="Z23" s="56"/>
      <c r="AA23" s="56"/>
      <c r="AB23" s="510"/>
      <c r="AC23" s="506"/>
      <c r="AD23" s="505"/>
    </row>
    <row r="24" spans="1:32" ht="17.100000000000001" customHeight="1" x14ac:dyDescent="0.2">
      <c r="B24" s="222"/>
      <c r="C24" s="30"/>
      <c r="D24" s="30"/>
      <c r="E24" s="918"/>
      <c r="F24" s="1082"/>
      <c r="G24" s="618"/>
      <c r="H24" s="54"/>
      <c r="I24" s="618"/>
      <c r="J24" s="618"/>
      <c r="K24" s="54"/>
      <c r="L24" s="56"/>
      <c r="M24" s="56"/>
      <c r="N24" s="56"/>
      <c r="O24" s="56"/>
      <c r="P24" s="56"/>
      <c r="Q24" s="56"/>
      <c r="R24" s="56"/>
      <c r="S24" s="54"/>
      <c r="T24" s="54"/>
      <c r="U24" s="56"/>
      <c r="V24" s="56"/>
      <c r="W24" s="56"/>
      <c r="X24" s="56"/>
      <c r="Y24" s="56"/>
      <c r="Z24" s="56"/>
      <c r="AA24" s="56"/>
      <c r="AB24" s="510"/>
      <c r="AC24" s="506"/>
      <c r="AD24" s="505"/>
    </row>
    <row r="25" spans="1:32" ht="17.100000000000001" customHeight="1" x14ac:dyDescent="0.2">
      <c r="B25" s="222"/>
      <c r="C25" s="30"/>
      <c r="D25" s="30"/>
      <c r="E25" s="576"/>
      <c r="F25" s="43"/>
      <c r="G25" s="618"/>
      <c r="H25" s="54"/>
      <c r="I25" s="618"/>
      <c r="J25" s="618"/>
      <c r="K25" s="54"/>
      <c r="L25" s="56"/>
      <c r="M25" s="56"/>
      <c r="N25" s="56"/>
      <c r="O25" s="56"/>
      <c r="P25" s="56"/>
      <c r="Q25" s="56"/>
      <c r="R25" s="56"/>
      <c r="S25" s="54"/>
      <c r="T25" s="54"/>
      <c r="U25" s="56"/>
      <c r="V25" s="56"/>
      <c r="W25" s="56"/>
      <c r="X25" s="56"/>
      <c r="Y25" s="56"/>
      <c r="Z25" s="56"/>
      <c r="AA25" s="56"/>
      <c r="AB25" s="510"/>
      <c r="AC25" s="506"/>
      <c r="AD25" s="505"/>
    </row>
    <row r="26" spans="1:32" ht="17.100000000000001" customHeight="1" x14ac:dyDescent="0.2">
      <c r="B26" s="222"/>
      <c r="C26" s="194"/>
      <c r="D26" s="750"/>
      <c r="E26" s="576"/>
      <c r="F26" s="43"/>
      <c r="G26" s="618"/>
      <c r="H26" s="54"/>
      <c r="I26" s="618"/>
      <c r="J26" s="618"/>
      <c r="K26" s="54"/>
      <c r="L26" s="56"/>
      <c r="M26" s="56"/>
      <c r="N26" s="56"/>
      <c r="O26" s="56"/>
      <c r="P26" s="56"/>
      <c r="Q26" s="56"/>
      <c r="R26" s="56"/>
      <c r="S26" s="54"/>
      <c r="T26" s="54"/>
      <c r="U26" s="56"/>
      <c r="V26" s="56"/>
      <c r="W26" s="56"/>
      <c r="X26" s="56"/>
      <c r="Y26" s="56"/>
      <c r="Z26" s="56"/>
      <c r="AA26" s="56"/>
      <c r="AB26" s="510"/>
      <c r="AC26" s="506"/>
      <c r="AD26" s="505"/>
    </row>
    <row r="27" spans="1:32" ht="17.100000000000001" customHeight="1" x14ac:dyDescent="0.2">
      <c r="B27" s="222"/>
      <c r="C27" s="44"/>
      <c r="D27" s="210"/>
      <c r="E27" s="918"/>
      <c r="F27" s="1082"/>
      <c r="G27" s="618"/>
      <c r="H27" s="54"/>
      <c r="I27" s="618"/>
      <c r="J27" s="618"/>
      <c r="K27" s="56"/>
      <c r="L27" s="56"/>
      <c r="M27" s="56"/>
      <c r="N27" s="56"/>
      <c r="O27" s="56"/>
      <c r="P27" s="56"/>
      <c r="Q27" s="56"/>
      <c r="R27" s="56"/>
      <c r="S27" s="54"/>
      <c r="T27" s="54"/>
      <c r="U27" s="56"/>
      <c r="V27" s="56"/>
      <c r="W27" s="56"/>
      <c r="X27" s="56"/>
      <c r="Y27" s="56"/>
      <c r="Z27" s="56"/>
      <c r="AA27" s="56"/>
      <c r="AB27" s="510"/>
      <c r="AC27" s="508"/>
      <c r="AD27" s="505"/>
    </row>
    <row r="28" spans="1:32" ht="17.100000000000001" customHeight="1" x14ac:dyDescent="0.2">
      <c r="B28" s="222"/>
      <c r="C28" s="44"/>
      <c r="D28" s="210"/>
      <c r="E28" s="576"/>
      <c r="F28" s="43"/>
      <c r="G28" s="56"/>
      <c r="H28" s="56"/>
      <c r="I28" s="56"/>
      <c r="J28" s="56"/>
      <c r="K28" s="56"/>
      <c r="L28" s="56"/>
      <c r="M28" s="56"/>
      <c r="N28" s="56"/>
      <c r="O28" s="56"/>
      <c r="P28" s="56"/>
      <c r="Q28" s="56"/>
      <c r="R28" s="56"/>
      <c r="S28" s="56"/>
      <c r="T28" s="56"/>
      <c r="U28" s="56"/>
      <c r="V28" s="56"/>
      <c r="W28" s="56"/>
      <c r="X28" s="56"/>
      <c r="Y28" s="56"/>
      <c r="Z28" s="56"/>
      <c r="AA28" s="56"/>
      <c r="AB28" s="510"/>
      <c r="AC28" s="204"/>
      <c r="AD28" s="505"/>
    </row>
    <row r="29" spans="1:32" ht="17.100000000000001" customHeight="1" x14ac:dyDescent="0.2">
      <c r="A29"/>
      <c r="B29" s="222"/>
      <c r="C29" s="44"/>
      <c r="D29" s="210"/>
      <c r="E29" s="576"/>
      <c r="F29" s="43"/>
      <c r="G29" s="618"/>
      <c r="H29" s="56"/>
      <c r="I29" s="32"/>
      <c r="J29" s="32"/>
      <c r="K29" s="56"/>
      <c r="L29" s="56"/>
      <c r="M29" s="56"/>
      <c r="N29" s="56"/>
      <c r="O29" s="56"/>
      <c r="P29" s="56"/>
      <c r="Q29" s="56"/>
      <c r="R29" s="56"/>
      <c r="S29" s="56"/>
      <c r="T29" s="56"/>
      <c r="U29" s="56"/>
      <c r="V29" s="56"/>
      <c r="W29" s="56"/>
      <c r="X29" s="56"/>
      <c r="Y29" s="56"/>
      <c r="Z29" s="56"/>
      <c r="AA29" s="56"/>
      <c r="AB29" s="510"/>
      <c r="AC29" s="25"/>
      <c r="AD29" s="505"/>
    </row>
    <row r="30" spans="1:32" ht="17.100000000000001" customHeight="1" x14ac:dyDescent="0.2">
      <c r="B30" s="222"/>
      <c r="C30" s="44"/>
      <c r="D30" s="210"/>
      <c r="E30" s="576"/>
      <c r="F30" s="43"/>
      <c r="G30" s="618"/>
      <c r="H30" s="54"/>
      <c r="I30" s="618"/>
      <c r="J30" s="618"/>
      <c r="K30" s="56"/>
      <c r="L30" s="613"/>
      <c r="M30" s="56"/>
      <c r="N30" s="56"/>
      <c r="O30" s="56"/>
      <c r="P30" s="56"/>
      <c r="Q30" s="56"/>
      <c r="R30" s="56"/>
      <c r="S30" s="54"/>
      <c r="T30" s="54"/>
      <c r="U30" s="56"/>
      <c r="V30" s="56"/>
      <c r="W30" s="56"/>
      <c r="X30" s="56"/>
      <c r="Y30" s="56"/>
      <c r="Z30" s="56"/>
      <c r="AA30" s="56"/>
      <c r="AB30" s="510"/>
      <c r="AC30" s="508"/>
      <c r="AD30" s="505"/>
    </row>
    <row r="31" spans="1:32" ht="17.100000000000001" customHeight="1" x14ac:dyDescent="0.2">
      <c r="B31" s="222"/>
      <c r="C31" s="30"/>
      <c r="D31" s="210"/>
      <c r="E31" s="576"/>
      <c r="F31" s="43"/>
      <c r="G31" s="618"/>
      <c r="H31" s="54"/>
      <c r="I31" s="618"/>
      <c r="J31" s="618"/>
      <c r="K31" s="54"/>
      <c r="L31" s="56"/>
      <c r="M31" s="56"/>
      <c r="N31" s="56"/>
      <c r="O31" s="56"/>
      <c r="P31" s="54"/>
      <c r="Q31" s="56"/>
      <c r="R31" s="56"/>
      <c r="S31" s="54"/>
      <c r="T31" s="54"/>
      <c r="U31" s="56"/>
      <c r="V31" s="56"/>
      <c r="W31" s="56"/>
      <c r="X31" s="56"/>
      <c r="Y31" s="56"/>
      <c r="Z31" s="56"/>
      <c r="AA31" s="56"/>
      <c r="AB31" s="510"/>
      <c r="AC31" s="506"/>
      <c r="AD31" s="505"/>
    </row>
    <row r="32" spans="1:32" ht="17.100000000000001" customHeight="1" x14ac:dyDescent="0.2">
      <c r="B32" s="222"/>
      <c r="C32" s="194"/>
      <c r="D32" s="210"/>
      <c r="E32" s="445"/>
      <c r="F32" s="422"/>
      <c r="G32" s="56"/>
      <c r="H32" s="56"/>
      <c r="I32" s="56"/>
      <c r="J32" s="56"/>
      <c r="K32" s="56"/>
      <c r="L32" s="56"/>
      <c r="M32" s="56"/>
      <c r="N32" s="56"/>
      <c r="O32" s="56"/>
      <c r="P32" s="56"/>
      <c r="Q32" s="56"/>
      <c r="R32" s="56"/>
      <c r="S32" s="56"/>
      <c r="T32" s="56"/>
      <c r="U32" s="56"/>
      <c r="V32" s="56"/>
      <c r="W32" s="56"/>
      <c r="X32" s="56"/>
      <c r="Y32" s="56"/>
      <c r="Z32" s="56"/>
      <c r="AA32" s="56"/>
      <c r="AB32" s="510"/>
      <c r="AC32" s="506"/>
      <c r="AD32" s="505"/>
    </row>
    <row r="33" spans="2:30" ht="17.100000000000001" customHeight="1" x14ac:dyDescent="0.2">
      <c r="B33" s="222"/>
      <c r="C33" s="30"/>
      <c r="D33" s="210"/>
      <c r="E33" s="918"/>
      <c r="F33" s="1082"/>
      <c r="G33" s="56"/>
      <c r="H33" s="26"/>
      <c r="I33" s="56"/>
      <c r="J33" s="56"/>
      <c r="K33" s="56"/>
      <c r="L33" s="56"/>
      <c r="M33" s="56"/>
      <c r="N33" s="56"/>
      <c r="O33" s="56"/>
      <c r="P33" s="56"/>
      <c r="Q33" s="56"/>
      <c r="R33" s="56"/>
      <c r="S33" s="56"/>
      <c r="T33" s="56"/>
      <c r="U33" s="56"/>
      <c r="V33" s="56"/>
      <c r="W33" s="56"/>
      <c r="X33" s="56"/>
      <c r="Y33" s="56"/>
      <c r="Z33" s="56"/>
      <c r="AA33" s="56"/>
      <c r="AB33" s="510"/>
      <c r="AC33" s="513"/>
      <c r="AD33" s="505"/>
    </row>
    <row r="34" spans="2:30" ht="17.100000000000001" customHeight="1" x14ac:dyDescent="0.2">
      <c r="B34" s="222"/>
      <c r="C34" s="30"/>
      <c r="D34" s="684"/>
      <c r="E34" s="918"/>
      <c r="F34" s="1082"/>
      <c r="G34" s="618"/>
      <c r="H34" s="26"/>
      <c r="I34" s="618"/>
      <c r="J34" s="618"/>
      <c r="K34" s="54"/>
      <c r="L34" s="56"/>
      <c r="M34" s="56"/>
      <c r="N34" s="56"/>
      <c r="O34" s="56"/>
      <c r="P34" s="56"/>
      <c r="Q34" s="56"/>
      <c r="R34" s="56"/>
      <c r="S34" s="56"/>
      <c r="T34" s="56"/>
      <c r="U34" s="56"/>
      <c r="V34" s="56"/>
      <c r="W34" s="56"/>
      <c r="X34" s="56"/>
      <c r="Y34" s="56"/>
      <c r="Z34" s="56"/>
      <c r="AA34" s="56"/>
      <c r="AB34" s="510"/>
      <c r="AC34" s="513"/>
      <c r="AD34" s="505"/>
    </row>
    <row r="35" spans="2:30" ht="17.100000000000001" customHeight="1" x14ac:dyDescent="0.2">
      <c r="B35" s="222"/>
      <c r="C35" s="30"/>
      <c r="D35" s="209"/>
      <c r="E35" s="576"/>
      <c r="F35" s="43"/>
      <c r="G35" s="618"/>
      <c r="H35" s="56"/>
      <c r="I35" s="618"/>
      <c r="J35" s="618"/>
      <c r="K35" s="54"/>
      <c r="L35" s="56"/>
      <c r="M35" s="56"/>
      <c r="N35" s="56"/>
      <c r="O35" s="56"/>
      <c r="P35" s="56"/>
      <c r="Q35" s="56"/>
      <c r="R35" s="56"/>
      <c r="S35" s="54"/>
      <c r="T35" s="54"/>
      <c r="U35" s="56"/>
      <c r="V35" s="56"/>
      <c r="W35" s="56"/>
      <c r="X35" s="56"/>
      <c r="Y35" s="56"/>
      <c r="Z35" s="56"/>
      <c r="AA35" s="55"/>
      <c r="AB35" s="510"/>
      <c r="AC35" s="508"/>
      <c r="AD35" s="505"/>
    </row>
    <row r="36" spans="2:30" ht="17.100000000000001" customHeight="1" thickBot="1" x14ac:dyDescent="0.25">
      <c r="B36" s="222"/>
      <c r="C36" s="44"/>
      <c r="D36" s="209"/>
      <c r="E36" s="576"/>
      <c r="F36" s="43"/>
      <c r="G36" s="713"/>
      <c r="H36" s="60"/>
      <c r="I36" s="713"/>
      <c r="J36" s="713"/>
      <c r="K36" s="60"/>
      <c r="L36" s="60"/>
      <c r="M36" s="60"/>
      <c r="N36" s="60"/>
      <c r="O36" s="60"/>
      <c r="P36" s="60"/>
      <c r="Q36" s="60"/>
      <c r="R36" s="60"/>
      <c r="S36" s="470"/>
      <c r="T36" s="470"/>
      <c r="U36" s="60"/>
      <c r="V36" s="60"/>
      <c r="W36" s="60"/>
      <c r="X36" s="60"/>
      <c r="Y36" s="60"/>
      <c r="Z36" s="60"/>
      <c r="AA36" s="60"/>
      <c r="AB36" s="510"/>
      <c r="AC36" s="508"/>
      <c r="AD36" s="505"/>
    </row>
    <row r="37" spans="2:30" ht="17.100000000000001" customHeight="1" thickBot="1" x14ac:dyDescent="0.25">
      <c r="B37" s="222" t="s">
        <v>128</v>
      </c>
      <c r="C37" s="30"/>
      <c r="D37" s="210"/>
      <c r="E37" s="576"/>
      <c r="F37" s="43"/>
      <c r="G37" s="64">
        <f t="shared" ref="G37" si="0">SUM(G34:G36)</f>
        <v>0</v>
      </c>
      <c r="H37" s="64">
        <f t="shared" ref="H37:AA37" si="1">SUM(H34:H36)</f>
        <v>0</v>
      </c>
      <c r="I37" s="64">
        <f t="shared" si="1"/>
        <v>0</v>
      </c>
      <c r="J37" s="64">
        <f t="shared" si="1"/>
        <v>0</v>
      </c>
      <c r="K37" s="64">
        <f t="shared" si="1"/>
        <v>0</v>
      </c>
      <c r="L37" s="64">
        <f t="shared" si="1"/>
        <v>0</v>
      </c>
      <c r="M37" s="64">
        <f t="shared" si="1"/>
        <v>0</v>
      </c>
      <c r="N37" s="64">
        <f t="shared" si="1"/>
        <v>0</v>
      </c>
      <c r="O37" s="64">
        <f t="shared" si="1"/>
        <v>0</v>
      </c>
      <c r="P37" s="64">
        <f t="shared" si="1"/>
        <v>0</v>
      </c>
      <c r="Q37" s="64">
        <f t="shared" si="1"/>
        <v>0</v>
      </c>
      <c r="R37" s="64">
        <f t="shared" si="1"/>
        <v>0</v>
      </c>
      <c r="S37" s="64">
        <f t="shared" si="1"/>
        <v>0</v>
      </c>
      <c r="T37" s="64">
        <f t="shared" si="1"/>
        <v>0</v>
      </c>
      <c r="U37" s="64">
        <f t="shared" si="1"/>
        <v>0</v>
      </c>
      <c r="V37" s="64">
        <f t="shared" si="1"/>
        <v>0</v>
      </c>
      <c r="W37" s="64">
        <f t="shared" si="1"/>
        <v>0</v>
      </c>
      <c r="X37" s="64">
        <f t="shared" si="1"/>
        <v>0</v>
      </c>
      <c r="Y37" s="64">
        <f t="shared" si="1"/>
        <v>0</v>
      </c>
      <c r="Z37" s="64">
        <f t="shared" si="1"/>
        <v>0</v>
      </c>
      <c r="AA37" s="64">
        <f t="shared" si="1"/>
        <v>0</v>
      </c>
      <c r="AB37" s="510" t="s">
        <v>128</v>
      </c>
      <c r="AC37" s="204"/>
      <c r="AD37" s="505"/>
    </row>
    <row r="38" spans="2:30" ht="17.100000000000001" customHeight="1" thickTop="1" thickBot="1" x14ac:dyDescent="0.25">
      <c r="B38" s="48" t="s">
        <v>129</v>
      </c>
      <c r="C38" s="31" t="s">
        <v>541</v>
      </c>
      <c r="D38" s="34"/>
      <c r="E38" s="211"/>
      <c r="F38" s="211"/>
      <c r="G38" s="478">
        <f t="shared" ref="G38:AA38" si="2">SUM(G12:G34)</f>
        <v>12039</v>
      </c>
      <c r="H38" s="478">
        <f t="shared" si="2"/>
        <v>12136</v>
      </c>
      <c r="I38" s="478">
        <f t="shared" si="2"/>
        <v>0</v>
      </c>
      <c r="J38" s="478">
        <f t="shared" si="2"/>
        <v>0</v>
      </c>
      <c r="K38" s="478">
        <f t="shared" si="2"/>
        <v>-97</v>
      </c>
      <c r="L38" s="478">
        <f t="shared" si="2"/>
        <v>0</v>
      </c>
      <c r="M38" s="478">
        <f t="shared" si="2"/>
        <v>0</v>
      </c>
      <c r="N38" s="478">
        <f t="shared" si="2"/>
        <v>0</v>
      </c>
      <c r="O38" s="478">
        <f t="shared" si="2"/>
        <v>0</v>
      </c>
      <c r="P38" s="478">
        <f t="shared" si="2"/>
        <v>0</v>
      </c>
      <c r="Q38" s="478">
        <f t="shared" si="2"/>
        <v>0</v>
      </c>
      <c r="R38" s="478">
        <f t="shared" si="2"/>
        <v>0</v>
      </c>
      <c r="S38" s="478">
        <f t="shared" si="2"/>
        <v>0</v>
      </c>
      <c r="T38" s="478">
        <f t="shared" si="2"/>
        <v>0</v>
      </c>
      <c r="U38" s="478">
        <f t="shared" si="2"/>
        <v>-1.94</v>
      </c>
      <c r="V38" s="478">
        <f t="shared" si="2"/>
        <v>-1.94</v>
      </c>
      <c r="W38" s="478">
        <f t="shared" si="2"/>
        <v>0</v>
      </c>
      <c r="X38" s="478">
        <f t="shared" si="2"/>
        <v>0</v>
      </c>
      <c r="Y38" s="478">
        <f t="shared" si="2"/>
        <v>0</v>
      </c>
      <c r="Z38" s="478">
        <f t="shared" si="2"/>
        <v>0</v>
      </c>
      <c r="AA38" s="478">
        <f t="shared" si="2"/>
        <v>-95.06</v>
      </c>
      <c r="AB38" s="514" t="s">
        <v>129</v>
      </c>
      <c r="AC38" s="515"/>
      <c r="AD38" s="516"/>
    </row>
    <row r="39" spans="2:30" ht="9.75" customHeight="1" thickTop="1" x14ac:dyDescent="0.2">
      <c r="B39" s="517"/>
      <c r="C39" s="518"/>
      <c r="D39" s="162"/>
      <c r="E39" s="519"/>
      <c r="F39" s="519"/>
      <c r="G39" s="487"/>
      <c r="H39" s="487"/>
      <c r="I39" s="487"/>
      <c r="J39" s="487"/>
      <c r="K39" s="487"/>
      <c r="L39" s="487"/>
      <c r="M39" s="487"/>
      <c r="N39" s="487"/>
      <c r="O39" s="487"/>
      <c r="P39" s="487"/>
      <c r="Q39" s="487"/>
      <c r="R39" s="487"/>
      <c r="S39" s="487"/>
      <c r="T39" s="487"/>
      <c r="U39" s="487"/>
      <c r="V39" s="487"/>
      <c r="W39" s="487"/>
      <c r="X39" s="487"/>
      <c r="Y39" s="487"/>
      <c r="Z39" s="487"/>
      <c r="AA39" s="487"/>
      <c r="AB39" s="517"/>
      <c r="AC39" s="520"/>
      <c r="AD39" s="201"/>
    </row>
    <row r="40" spans="2:30" ht="11.25" customHeight="1" x14ac:dyDescent="0.2">
      <c r="B40" s="889" t="s">
        <v>49</v>
      </c>
      <c r="C40" s="889"/>
      <c r="D40" s="889"/>
      <c r="E40" s="889"/>
      <c r="F40" s="889"/>
      <c r="G40" s="889"/>
      <c r="H40" s="889"/>
      <c r="I40" s="35"/>
      <c r="J40" s="35"/>
      <c r="K40" s="35"/>
      <c r="AA40" s="907" t="s">
        <v>48</v>
      </c>
      <c r="AB40" s="907"/>
      <c r="AC40" s="907"/>
      <c r="AD40" s="907"/>
    </row>
    <row r="41" spans="2:30" x14ac:dyDescent="0.2">
      <c r="B41" s="889"/>
      <c r="C41" s="889"/>
      <c r="D41" s="889"/>
      <c r="E41" s="889"/>
      <c r="F41" s="889"/>
      <c r="G41" s="889"/>
      <c r="H41" s="889"/>
      <c r="AA41" s="907"/>
      <c r="AB41" s="907"/>
      <c r="AC41" s="907"/>
      <c r="AD41" s="907"/>
    </row>
    <row r="42" spans="2:30" ht="15" customHeight="1" x14ac:dyDescent="0.2">
      <c r="B42" s="889"/>
      <c r="C42" s="889"/>
      <c r="D42" s="889"/>
      <c r="E42" s="889"/>
      <c r="F42" s="889"/>
      <c r="G42" s="889"/>
      <c r="H42" s="889"/>
      <c r="M42" s="488"/>
      <c r="U42" s="1" t="s">
        <v>50</v>
      </c>
      <c r="Y42" s="921"/>
      <c r="Z42" s="921"/>
      <c r="AA42" s="907"/>
      <c r="AB42" s="907"/>
      <c r="AC42" s="907"/>
      <c r="AD42" s="907"/>
    </row>
    <row r="43" spans="2:30" ht="15" customHeight="1" x14ac:dyDescent="0.25">
      <c r="H43" s="615"/>
      <c r="M43" s="201"/>
      <c r="U43" s="921"/>
      <c r="V43" s="921"/>
      <c r="Y43" s="824"/>
      <c r="Z43" s="824"/>
      <c r="AA43" s="907"/>
      <c r="AB43" s="907"/>
      <c r="AC43" s="907"/>
      <c r="AD43" s="907"/>
    </row>
    <row r="44" spans="2:30" ht="12.75" customHeight="1" x14ac:dyDescent="0.25">
      <c r="F44" s="615" t="s">
        <v>678</v>
      </c>
      <c r="G44" s="522"/>
      <c r="H44" s="201"/>
      <c r="I44" s="522"/>
      <c r="J44" s="522"/>
      <c r="K44" s="522"/>
      <c r="M44" s="201"/>
      <c r="R44" s="488"/>
      <c r="U44" s="824"/>
      <c r="V44" s="824"/>
      <c r="Y44" s="488"/>
      <c r="Z44" s="488"/>
      <c r="AA44" s="907"/>
      <c r="AB44" s="907"/>
      <c r="AC44" s="907"/>
      <c r="AD44" s="907"/>
    </row>
    <row r="45" spans="2:30" ht="12.75" x14ac:dyDescent="0.2">
      <c r="E45" s="824" t="s">
        <v>383</v>
      </c>
      <c r="F45" s="824"/>
      <c r="G45" s="824"/>
      <c r="H45" s="824"/>
      <c r="R45" s="201"/>
      <c r="U45" s="921" t="s">
        <v>678</v>
      </c>
      <c r="V45" s="921"/>
      <c r="W45" s="921"/>
      <c r="Y45" s="201"/>
      <c r="Z45" s="201"/>
      <c r="AA45" s="907"/>
      <c r="AB45" s="907"/>
      <c r="AC45" s="907"/>
      <c r="AD45" s="907"/>
    </row>
    <row r="46" spans="2:30" ht="11.25" hidden="1" customHeight="1" x14ac:dyDescent="0.2">
      <c r="U46" s="201" t="s">
        <v>79</v>
      </c>
      <c r="V46" s="201"/>
      <c r="AA46" s="907"/>
      <c r="AB46" s="907"/>
      <c r="AC46" s="907"/>
      <c r="AD46" s="907"/>
    </row>
    <row r="47" spans="2:30" ht="12.75" x14ac:dyDescent="0.2">
      <c r="B47" s="17" t="s">
        <v>52</v>
      </c>
      <c r="U47" s="824" t="s">
        <v>383</v>
      </c>
      <c r="V47" s="824"/>
      <c r="W47" s="824"/>
      <c r="AA47" s="907"/>
      <c r="AB47" s="907"/>
      <c r="AC47" s="907"/>
      <c r="AD47" s="907"/>
    </row>
    <row r="48" spans="2:30" ht="12.75" x14ac:dyDescent="0.2">
      <c r="U48" s="824" t="s">
        <v>51</v>
      </c>
      <c r="V48" s="824"/>
      <c r="W48" s="824"/>
      <c r="AA48" s="523"/>
      <c r="AB48" s="523"/>
      <c r="AC48" s="523" t="s">
        <v>111</v>
      </c>
    </row>
    <row r="49" spans="2:30" ht="12.75" x14ac:dyDescent="0.2">
      <c r="F49" s="1" t="s">
        <v>53</v>
      </c>
      <c r="U49" s="201"/>
      <c r="AA49" s="524"/>
      <c r="AB49" s="524"/>
      <c r="AC49" s="524" t="s">
        <v>105</v>
      </c>
    </row>
    <row r="50" spans="2:30" x14ac:dyDescent="0.2">
      <c r="AA50" s="524"/>
      <c r="AB50" s="524"/>
      <c r="AC50" s="524"/>
    </row>
    <row r="51" spans="2:30" x14ac:dyDescent="0.2">
      <c r="B51" s="17" t="s">
        <v>54</v>
      </c>
      <c r="AA51" s="907" t="s">
        <v>55</v>
      </c>
      <c r="AB51" s="907"/>
      <c r="AC51" s="907"/>
      <c r="AD51" s="907"/>
    </row>
    <row r="52" spans="2:30" x14ac:dyDescent="0.2">
      <c r="AA52" s="907"/>
      <c r="AB52" s="907"/>
      <c r="AC52" s="907"/>
      <c r="AD52" s="907"/>
    </row>
    <row r="53" spans="2:30" x14ac:dyDescent="0.2">
      <c r="D53" s="1" t="s">
        <v>56</v>
      </c>
      <c r="F53" s="1" t="s">
        <v>57</v>
      </c>
      <c r="AA53" s="907"/>
      <c r="AB53" s="907"/>
      <c r="AC53" s="907"/>
      <c r="AD53" s="907"/>
    </row>
    <row r="54" spans="2:30" x14ac:dyDescent="0.2">
      <c r="AA54" s="907"/>
      <c r="AB54" s="907"/>
      <c r="AC54" s="907"/>
      <c r="AD54" s="907"/>
    </row>
    <row r="55" spans="2:30" x14ac:dyDescent="0.2">
      <c r="AA55" s="907"/>
      <c r="AB55" s="907"/>
      <c r="AC55" s="907"/>
      <c r="AD55" s="907"/>
    </row>
    <row r="56" spans="2:30" x14ac:dyDescent="0.2">
      <c r="AA56" s="907"/>
      <c r="AB56" s="907"/>
      <c r="AC56" s="907"/>
      <c r="AD56" s="907"/>
    </row>
    <row r="57" spans="2:30" x14ac:dyDescent="0.2">
      <c r="D57" s="1000" t="s">
        <v>58</v>
      </c>
      <c r="E57" s="1000"/>
      <c r="F57" s="1000"/>
      <c r="AA57" s="525"/>
      <c r="AB57" s="525" t="s">
        <v>184</v>
      </c>
      <c r="AC57" s="525"/>
    </row>
    <row r="58" spans="2:30" x14ac:dyDescent="0.2">
      <c r="AC58" s="1" t="s">
        <v>185</v>
      </c>
    </row>
    <row r="69" spans="26:26" x14ac:dyDescent="0.2">
      <c r="Z69" s="35"/>
    </row>
  </sheetData>
  <mergeCells count="57">
    <mergeCell ref="U48:W48"/>
    <mergeCell ref="AA51:AD56"/>
    <mergeCell ref="D57:F57"/>
    <mergeCell ref="E34:F34"/>
    <mergeCell ref="B40:H42"/>
    <mergeCell ref="AA40:AD47"/>
    <mergeCell ref="Y42:Z42"/>
    <mergeCell ref="U43:V43"/>
    <mergeCell ref="Y43:Z43"/>
    <mergeCell ref="U44:V44"/>
    <mergeCell ref="E45:H45"/>
    <mergeCell ref="U45:W45"/>
    <mergeCell ref="U47:W47"/>
    <mergeCell ref="E20:F20"/>
    <mergeCell ref="E24:F24"/>
    <mergeCell ref="E27:F27"/>
    <mergeCell ref="E33:F33"/>
    <mergeCell ref="E12:F12"/>
    <mergeCell ref="E15:F15"/>
    <mergeCell ref="E16:F16"/>
    <mergeCell ref="E19:F19"/>
    <mergeCell ref="AC6:AC8"/>
    <mergeCell ref="AD6:AD8"/>
    <mergeCell ref="U7:U9"/>
    <mergeCell ref="V7:V9"/>
    <mergeCell ref="W7:W9"/>
    <mergeCell ref="X7:X9"/>
    <mergeCell ref="AA5:AA9"/>
    <mergeCell ref="AB5:AB9"/>
    <mergeCell ref="H6:H7"/>
    <mergeCell ref="L6:L9"/>
    <mergeCell ref="M6:M9"/>
    <mergeCell ref="N6:N9"/>
    <mergeCell ref="O6:O9"/>
    <mergeCell ref="R5:S5"/>
    <mergeCell ref="T5:T10"/>
    <mergeCell ref="U5:V6"/>
    <mergeCell ref="Y5:Y9"/>
    <mergeCell ref="Z5:Z9"/>
    <mergeCell ref="R8:R9"/>
    <mergeCell ref="S8:S9"/>
    <mergeCell ref="B1:AD1"/>
    <mergeCell ref="B2:AD3"/>
    <mergeCell ref="C4:C9"/>
    <mergeCell ref="D4:D9"/>
    <mergeCell ref="E4:F4"/>
    <mergeCell ref="G4:G7"/>
    <mergeCell ref="H4:H5"/>
    <mergeCell ref="I4:I8"/>
    <mergeCell ref="J4:J8"/>
    <mergeCell ref="K4:K9"/>
    <mergeCell ref="P6:P9"/>
    <mergeCell ref="Q6:Q9"/>
    <mergeCell ref="R6:S7"/>
    <mergeCell ref="L4:Z4"/>
    <mergeCell ref="E5:E7"/>
    <mergeCell ref="F5:F7"/>
  </mergeCells>
  <pageMargins left="0.80118110200000003" right="0.15748031496063" top="0.35433070866141703" bottom="0.15748031496063" header="0.15748031496063" footer="0.118110236220472"/>
  <pageSetup paperSize="10000" scale="60" orientation="landscape" r:id="rId1"/>
  <headerFooter alignWithMargins="0"/>
  <colBreaks count="1" manualBreakCount="1">
    <brk id="30" max="1048575" man="1"/>
  </colBreaks>
  <drawing r:id="rId2"/>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5:G15"/>
  <sheetViews>
    <sheetView tabSelected="1" workbookViewId="0">
      <selection activeCell="C25" sqref="C25"/>
    </sheetView>
  </sheetViews>
  <sheetFormatPr defaultRowHeight="12.75" x14ac:dyDescent="0.2"/>
  <cols>
    <col min="1" max="1" width="21.5703125" customWidth="1"/>
    <col min="2" max="2" width="19.85546875" style="629" customWidth="1"/>
    <col min="3" max="3" width="21.140625" style="626" customWidth="1"/>
    <col min="4" max="4" width="22" style="626" customWidth="1"/>
    <col min="5" max="5" width="12.140625" style="719" customWidth="1"/>
    <col min="6" max="6" width="9.140625" style="719"/>
  </cols>
  <sheetData>
    <row r="5" spans="1:7" x14ac:dyDescent="0.2">
      <c r="A5" s="627" t="s">
        <v>628</v>
      </c>
      <c r="B5" s="628" t="s">
        <v>624</v>
      </c>
      <c r="C5" s="625" t="s">
        <v>220</v>
      </c>
    </row>
    <row r="6" spans="1:7" x14ac:dyDescent="0.2">
      <c r="A6" t="s">
        <v>623</v>
      </c>
      <c r="B6" s="629">
        <v>10000</v>
      </c>
    </row>
    <row r="7" spans="1:7" x14ac:dyDescent="0.2">
      <c r="A7" t="s">
        <v>625</v>
      </c>
      <c r="C7" s="626">
        <v>216.67</v>
      </c>
    </row>
    <row r="8" spans="1:7" x14ac:dyDescent="0.2">
      <c r="A8" t="s">
        <v>626</v>
      </c>
      <c r="C8" s="626">
        <v>216.67</v>
      </c>
      <c r="G8" s="566"/>
    </row>
    <row r="11" spans="1:7" x14ac:dyDescent="0.2">
      <c r="A11" s="627" t="s">
        <v>627</v>
      </c>
      <c r="B11" s="628" t="s">
        <v>630</v>
      </c>
      <c r="C11" s="625" t="s">
        <v>23</v>
      </c>
      <c r="D11" s="625" t="s">
        <v>514</v>
      </c>
    </row>
    <row r="12" spans="1:7" x14ac:dyDescent="0.2">
      <c r="A12" t="s">
        <v>629</v>
      </c>
      <c r="B12" s="629">
        <v>983.33</v>
      </c>
    </row>
    <row r="13" spans="1:7" x14ac:dyDescent="0.2">
      <c r="A13" t="s">
        <v>631</v>
      </c>
      <c r="C13" s="626">
        <v>850.01</v>
      </c>
      <c r="D13" s="626">
        <v>2887.91</v>
      </c>
    </row>
    <row r="14" spans="1:7" x14ac:dyDescent="0.2">
      <c r="A14" t="s">
        <v>632</v>
      </c>
      <c r="C14" s="626">
        <v>3682.23</v>
      </c>
    </row>
    <row r="15" spans="1:7" x14ac:dyDescent="0.2">
      <c r="A15" t="s">
        <v>633</v>
      </c>
      <c r="C15" s="626">
        <v>1571.48</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M204"/>
  <sheetViews>
    <sheetView zoomScale="95" zoomScaleNormal="95" workbookViewId="0">
      <pane xSplit="4" ySplit="3" topLeftCell="E4" activePane="bottomRight" state="frozen"/>
      <selection pane="topRight" activeCell="E1" sqref="E1"/>
      <selection pane="bottomLeft" activeCell="A4" sqref="A4"/>
      <selection pane="bottomRight" activeCell="C4" sqref="C4"/>
    </sheetView>
  </sheetViews>
  <sheetFormatPr defaultRowHeight="12.75" x14ac:dyDescent="0.2"/>
  <cols>
    <col min="1" max="1" width="31.28515625" customWidth="1"/>
    <col min="2" max="2" width="24.7109375" customWidth="1"/>
    <col min="3" max="3" width="12.42578125" customWidth="1"/>
    <col min="4" max="4" width="15.28515625" customWidth="1"/>
    <col min="5" max="6" width="13.7109375" customWidth="1"/>
    <col min="7" max="7" width="15.28515625" customWidth="1"/>
    <col min="8" max="9" width="15.140625" customWidth="1"/>
    <col min="10" max="10" width="13.7109375" customWidth="1"/>
    <col min="11" max="11" width="12.28515625" customWidth="1"/>
    <col min="12" max="27" width="13.7109375" customWidth="1"/>
    <col min="28" max="28" width="14.85546875" customWidth="1"/>
    <col min="29" max="29" width="16.85546875" customWidth="1"/>
    <col min="30" max="30" width="4" customWidth="1"/>
    <col min="31" max="36" width="13.7109375" customWidth="1"/>
    <col min="38" max="38" width="12" customWidth="1"/>
  </cols>
  <sheetData>
    <row r="1" spans="1:36" x14ac:dyDescent="0.2">
      <c r="A1" s="1106" t="s">
        <v>558</v>
      </c>
      <c r="B1" s="976" t="s">
        <v>559</v>
      </c>
      <c r="C1" s="976" t="s">
        <v>560</v>
      </c>
      <c r="D1" s="976" t="s">
        <v>561</v>
      </c>
      <c r="E1" s="1110" t="s">
        <v>562</v>
      </c>
      <c r="F1" s="1111"/>
      <c r="G1" s="1111"/>
      <c r="H1" s="1111"/>
      <c r="I1" s="1111"/>
      <c r="J1" s="1111"/>
      <c r="K1" s="1111"/>
      <c r="L1" s="1111"/>
      <c r="M1" s="1111"/>
      <c r="N1" s="1111"/>
      <c r="O1" s="1111"/>
      <c r="P1" s="1111"/>
      <c r="Q1" s="1111"/>
      <c r="R1" s="1119" t="s">
        <v>230</v>
      </c>
      <c r="S1" s="1120"/>
      <c r="T1" s="1121"/>
      <c r="U1" s="1122"/>
      <c r="V1" s="1122"/>
      <c r="W1" s="1122"/>
      <c r="X1" s="1122"/>
      <c r="Y1" s="1119" t="s">
        <v>569</v>
      </c>
      <c r="Z1" s="1120"/>
      <c r="AA1" s="1121"/>
      <c r="AB1" s="1113" t="s">
        <v>577</v>
      </c>
      <c r="AC1" s="1113" t="s">
        <v>373</v>
      </c>
      <c r="AE1" s="1115" t="s">
        <v>574</v>
      </c>
      <c r="AF1" s="992"/>
      <c r="AG1" s="1021"/>
      <c r="AH1" s="1116" t="s">
        <v>574</v>
      </c>
      <c r="AI1" s="1066"/>
      <c r="AJ1" s="1117"/>
    </row>
    <row r="2" spans="1:36" ht="12.75" customHeight="1" x14ac:dyDescent="0.2">
      <c r="A2" s="1106"/>
      <c r="B2" s="976"/>
      <c r="C2" s="976"/>
      <c r="D2" s="976"/>
      <c r="E2" s="1110" t="s">
        <v>565</v>
      </c>
      <c r="F2" s="1111" t="s">
        <v>235</v>
      </c>
      <c r="G2" s="976" t="s">
        <v>221</v>
      </c>
      <c r="H2" s="976" t="s">
        <v>563</v>
      </c>
      <c r="I2" s="976" t="s">
        <v>576</v>
      </c>
      <c r="J2" s="1108" t="s">
        <v>31</v>
      </c>
      <c r="K2" s="1110" t="s">
        <v>564</v>
      </c>
      <c r="L2" s="976" t="s">
        <v>566</v>
      </c>
      <c r="M2" s="1108" t="s">
        <v>514</v>
      </c>
      <c r="N2" s="1113" t="s">
        <v>583</v>
      </c>
      <c r="O2" s="1110" t="s">
        <v>567</v>
      </c>
      <c r="P2" s="1111"/>
      <c r="Q2" s="976" t="s">
        <v>568</v>
      </c>
      <c r="R2" s="1113" t="s">
        <v>378</v>
      </c>
      <c r="S2" s="1113" t="s">
        <v>379</v>
      </c>
      <c r="T2" s="1113" t="s">
        <v>373</v>
      </c>
      <c r="U2" s="1110" t="s">
        <v>23</v>
      </c>
      <c r="V2" s="1110" t="s">
        <v>378</v>
      </c>
      <c r="W2" s="1110" t="s">
        <v>379</v>
      </c>
      <c r="X2" s="1110" t="s">
        <v>373</v>
      </c>
      <c r="Y2" s="1113" t="s">
        <v>183</v>
      </c>
      <c r="Z2" s="1113" t="s">
        <v>12</v>
      </c>
      <c r="AA2" s="1113" t="s">
        <v>373</v>
      </c>
      <c r="AB2" s="1124"/>
      <c r="AC2" s="1124"/>
      <c r="AE2" s="1115" t="s">
        <v>572</v>
      </c>
      <c r="AF2" s="992"/>
      <c r="AG2" s="1021"/>
      <c r="AH2" s="1115" t="s">
        <v>573</v>
      </c>
      <c r="AI2" s="992"/>
      <c r="AJ2" s="1021"/>
    </row>
    <row r="3" spans="1:36" ht="13.5" thickBot="1" x14ac:dyDescent="0.25">
      <c r="A3" s="1107"/>
      <c r="B3" s="1108"/>
      <c r="C3" s="1109"/>
      <c r="D3" s="1109"/>
      <c r="E3" s="1112"/>
      <c r="F3" s="1112"/>
      <c r="G3" s="1109"/>
      <c r="H3" s="1109"/>
      <c r="I3" s="1109"/>
      <c r="J3" s="1109"/>
      <c r="K3" s="1112"/>
      <c r="L3" s="1109"/>
      <c r="M3" s="1109"/>
      <c r="N3" s="1114"/>
      <c r="O3" s="585" t="s">
        <v>378</v>
      </c>
      <c r="P3" s="585" t="s">
        <v>379</v>
      </c>
      <c r="Q3" s="1109"/>
      <c r="R3" s="1118"/>
      <c r="S3" s="1118"/>
      <c r="T3" s="1118"/>
      <c r="U3" s="1123"/>
      <c r="V3" s="1123"/>
      <c r="W3" s="1123"/>
      <c r="X3" s="1123"/>
      <c r="Y3" s="1118"/>
      <c r="Z3" s="1118"/>
      <c r="AA3" s="1118"/>
      <c r="AB3" s="1114"/>
      <c r="AC3" s="1114"/>
      <c r="AE3" s="587" t="s">
        <v>571</v>
      </c>
      <c r="AF3" s="587" t="s">
        <v>378</v>
      </c>
      <c r="AG3" s="587" t="s">
        <v>570</v>
      </c>
      <c r="AH3" s="587" t="s">
        <v>571</v>
      </c>
      <c r="AI3" s="587" t="s">
        <v>379</v>
      </c>
      <c r="AJ3" s="587" t="s">
        <v>568</v>
      </c>
    </row>
    <row r="4" spans="1:36" ht="13.5" thickTop="1" x14ac:dyDescent="0.2">
      <c r="A4" s="498" t="s">
        <v>432</v>
      </c>
      <c r="B4" s="547"/>
      <c r="C4" s="586"/>
      <c r="D4" s="586"/>
      <c r="E4" s="586"/>
      <c r="F4" s="586"/>
      <c r="G4" s="586"/>
      <c r="H4" s="586"/>
      <c r="I4" s="586"/>
      <c r="J4" s="586"/>
      <c r="K4" s="586"/>
      <c r="L4" s="586"/>
      <c r="M4" s="586"/>
      <c r="N4" s="586"/>
      <c r="O4" s="586"/>
      <c r="P4" s="586"/>
      <c r="Q4" s="586"/>
      <c r="R4" s="586"/>
      <c r="S4" s="586"/>
      <c r="T4" s="586"/>
      <c r="U4" s="586"/>
      <c r="V4" s="586"/>
      <c r="W4" s="586"/>
      <c r="X4" s="586"/>
      <c r="Y4" s="586"/>
      <c r="Z4" s="586"/>
      <c r="AA4" s="586"/>
      <c r="AB4" s="586"/>
      <c r="AC4" s="586"/>
      <c r="AE4" s="586"/>
      <c r="AF4" s="586"/>
      <c r="AG4" s="586"/>
      <c r="AH4" s="586"/>
      <c r="AI4" s="586"/>
      <c r="AJ4" s="586"/>
    </row>
    <row r="5" spans="1:36" x14ac:dyDescent="0.2">
      <c r="A5" s="501" t="s">
        <v>302</v>
      </c>
      <c r="B5" s="574" t="s">
        <v>62</v>
      </c>
      <c r="C5" s="588" t="s">
        <v>575</v>
      </c>
      <c r="D5" s="57">
        <v>97129</v>
      </c>
      <c r="E5" s="586" t="e">
        <f>#REF!+'Reg1(16-31)'!#REF!</f>
        <v>#REF!</v>
      </c>
      <c r="F5" s="586" t="e">
        <f>#REF!+'Reg1(16-31)'!#REF!</f>
        <v>#REF!</v>
      </c>
      <c r="G5" s="586" t="e">
        <f>#REF!+'Reg1(16-31)'!#REF!</f>
        <v>#REF!</v>
      </c>
      <c r="H5" s="586" t="e">
        <f>#REF!+'Reg1(16-31)'!#REF!</f>
        <v>#REF!</v>
      </c>
      <c r="I5" s="586"/>
      <c r="J5" s="586" t="e">
        <f>#REF!+'Reg1(16-31)'!#REF!</f>
        <v>#REF!</v>
      </c>
      <c r="K5" s="586" t="e">
        <f>#REF!+'Reg1(16-31)'!#REF!</f>
        <v>#REF!</v>
      </c>
      <c r="L5" s="586" t="e">
        <f>#REF!+'Reg1(16-31)'!#REF!</f>
        <v>#REF!</v>
      </c>
      <c r="M5" s="586" t="e">
        <f>#REF!+'Reg1(16-31)'!#REF!</f>
        <v>#REF!</v>
      </c>
      <c r="N5" s="586">
        <v>100</v>
      </c>
      <c r="O5" s="586" t="e">
        <f>#REF!</f>
        <v>#REF!</v>
      </c>
      <c r="P5" s="586" t="e">
        <f>#REF!</f>
        <v>#REF!</v>
      </c>
      <c r="Q5" s="586" t="e">
        <f>SUM(E5:P5)</f>
        <v>#REF!</v>
      </c>
      <c r="R5" s="586" t="e">
        <f>#REF!</f>
        <v>#REF!</v>
      </c>
      <c r="S5" s="586" t="e">
        <f>#REF!</f>
        <v>#REF!</v>
      </c>
      <c r="T5" s="586" t="e">
        <f>R5+S5</f>
        <v>#REF!</v>
      </c>
      <c r="U5" s="586" t="e">
        <f>#REF!</f>
        <v>#REF!</v>
      </c>
      <c r="V5" s="586" t="e">
        <f>'Reg1(16-31)'!#REF!</f>
        <v>#REF!</v>
      </c>
      <c r="W5" s="586" t="e">
        <f>'Reg1(16-31)'!#REF!</f>
        <v>#REF!</v>
      </c>
      <c r="X5" s="586" t="e">
        <f t="shared" ref="X5:X8" si="0">SUM(U5:W5)</f>
        <v>#REF!</v>
      </c>
      <c r="Y5" s="586" t="e">
        <f>#REF!+'Reg1(16-31)'!#REF!</f>
        <v>#REF!</v>
      </c>
      <c r="Z5" s="586" t="e">
        <f>#REF!+'Reg1(16-31)'!#REF!</f>
        <v>#REF!</v>
      </c>
      <c r="AA5" s="586" t="e">
        <f>SUM(Y5:Z5)</f>
        <v>#REF!</v>
      </c>
      <c r="AB5" s="586" t="e">
        <f>'Reg1(16-31)'!#REF!</f>
        <v>#REF!</v>
      </c>
      <c r="AC5" s="586" t="e">
        <f>Q5+T5+X5+AA5+AB5</f>
        <v>#REF!</v>
      </c>
      <c r="AE5" s="586">
        <f>D5</f>
        <v>97129</v>
      </c>
      <c r="AF5" s="586" t="e">
        <f>SUM(E5:M5)+O5+R5+U5+V5+AA5+AB5</f>
        <v>#REF!</v>
      </c>
      <c r="AG5" s="586" t="e">
        <f>AE5-AF5</f>
        <v>#REF!</v>
      </c>
      <c r="AH5" s="586">
        <f>AE5</f>
        <v>97129</v>
      </c>
      <c r="AI5" s="586" t="e">
        <f>P5+S5+W5</f>
        <v>#REF!</v>
      </c>
      <c r="AJ5" s="586" t="e">
        <f>AH5+AI5</f>
        <v>#REF!</v>
      </c>
    </row>
    <row r="6" spans="1:36" x14ac:dyDescent="0.2">
      <c r="A6" s="501" t="s">
        <v>489</v>
      </c>
      <c r="B6" s="574" t="s">
        <v>496</v>
      </c>
      <c r="C6" s="589" t="s">
        <v>253</v>
      </c>
      <c r="D6" s="57">
        <v>29554</v>
      </c>
      <c r="E6" s="586" t="e">
        <f>#REF!+'Reg1(16-31)'!#REF!</f>
        <v>#REF!</v>
      </c>
      <c r="F6" s="586" t="e">
        <f>#REF!+'Reg1(16-31)'!#REF!</f>
        <v>#REF!</v>
      </c>
      <c r="G6" s="586" t="e">
        <f>#REF!+'Reg1(16-31)'!#REF!</f>
        <v>#REF!</v>
      </c>
      <c r="H6" s="586" t="e">
        <f>#REF!+'Reg1(16-31)'!#REF!</f>
        <v>#REF!</v>
      </c>
      <c r="I6" s="586"/>
      <c r="J6" s="586" t="e">
        <f>#REF!+'Reg1(16-31)'!#REF!</f>
        <v>#REF!</v>
      </c>
      <c r="K6" s="586" t="e">
        <f>#REF!+'Reg1(16-31)'!#REF!</f>
        <v>#REF!</v>
      </c>
      <c r="L6" s="586" t="e">
        <f>#REF!+'Reg1(16-31)'!#REF!</f>
        <v>#REF!</v>
      </c>
      <c r="M6" s="586" t="e">
        <f>#REF!+'Reg1(16-31)'!#REF!</f>
        <v>#REF!</v>
      </c>
      <c r="N6" s="586">
        <v>100</v>
      </c>
      <c r="O6" s="586" t="e">
        <f>#REF!</f>
        <v>#REF!</v>
      </c>
      <c r="P6" s="586" t="e">
        <f>#REF!</f>
        <v>#REF!</v>
      </c>
      <c r="Q6" s="586" t="e">
        <f t="shared" ref="Q6:Q8" si="1">SUM(E6:P6)</f>
        <v>#REF!</v>
      </c>
      <c r="R6" s="586" t="e">
        <f>#REF!</f>
        <v>#REF!</v>
      </c>
      <c r="S6" s="586" t="e">
        <f>#REF!</f>
        <v>#REF!</v>
      </c>
      <c r="T6" s="586" t="e">
        <f t="shared" ref="T6:T8" si="2">R6+S6</f>
        <v>#REF!</v>
      </c>
      <c r="U6" s="586" t="e">
        <f>#REF!</f>
        <v>#REF!</v>
      </c>
      <c r="V6" s="586" t="e">
        <f>'Reg1(16-31)'!#REF!</f>
        <v>#REF!</v>
      </c>
      <c r="W6" s="586" t="e">
        <f>'Reg1(16-31)'!#REF!</f>
        <v>#REF!</v>
      </c>
      <c r="X6" s="586" t="e">
        <f t="shared" si="0"/>
        <v>#REF!</v>
      </c>
      <c r="Y6" s="586" t="e">
        <f>#REF!+'Reg1(16-31)'!#REF!</f>
        <v>#REF!</v>
      </c>
      <c r="Z6" s="586" t="e">
        <f>#REF!+'Reg1(16-31)'!#REF!</f>
        <v>#REF!</v>
      </c>
      <c r="AA6" s="586" t="e">
        <f t="shared" ref="AA6:AA8" si="3">SUM(Y6:Z6)</f>
        <v>#REF!</v>
      </c>
      <c r="AB6" s="586" t="e">
        <f>'Reg1(16-31)'!#REF!</f>
        <v>#REF!</v>
      </c>
      <c r="AC6" s="586" t="e">
        <f t="shared" ref="AC6:AC8" si="4">Q6+T6+X6+AA6+AB6</f>
        <v>#REF!</v>
      </c>
      <c r="AE6" s="586">
        <f t="shared" ref="AE6:AE8" si="5">D6</f>
        <v>29554</v>
      </c>
      <c r="AF6" s="586" t="e">
        <f t="shared" ref="AF6:AF8" si="6">SUM(E6:M6)+O6+R6+U6+V6+AA6+AB6</f>
        <v>#REF!</v>
      </c>
      <c r="AG6" s="586" t="e">
        <f t="shared" ref="AG6:AG8" si="7">AE6-AF6</f>
        <v>#REF!</v>
      </c>
      <c r="AH6" s="586">
        <f t="shared" ref="AH6:AH8" si="8">AE6</f>
        <v>29554</v>
      </c>
      <c r="AI6" s="586" t="e">
        <f t="shared" ref="AI6:AI8" si="9">P6+S6+W6</f>
        <v>#REF!</v>
      </c>
      <c r="AJ6" s="586" t="e">
        <f t="shared" ref="AJ6:AJ8" si="10">AH6+AI6</f>
        <v>#REF!</v>
      </c>
    </row>
    <row r="7" spans="1:36" x14ac:dyDescent="0.2">
      <c r="A7" s="501" t="s">
        <v>495</v>
      </c>
      <c r="B7" s="574" t="s">
        <v>490</v>
      </c>
      <c r="C7" s="589" t="s">
        <v>253</v>
      </c>
      <c r="D7" s="57">
        <v>24425</v>
      </c>
      <c r="E7" s="586" t="e">
        <f>#REF!+'Reg1(16-31)'!#REF!</f>
        <v>#REF!</v>
      </c>
      <c r="F7" s="586" t="e">
        <f>#REF!+'Reg1(16-31)'!#REF!</f>
        <v>#REF!</v>
      </c>
      <c r="G7" s="586" t="e">
        <f>#REF!+'Reg1(16-31)'!#REF!</f>
        <v>#REF!</v>
      </c>
      <c r="H7" s="586" t="e">
        <f>#REF!+'Reg1(16-31)'!#REF!</f>
        <v>#REF!</v>
      </c>
      <c r="I7" s="586"/>
      <c r="J7" s="586" t="e">
        <f>#REF!+'Reg1(16-31)'!#REF!</f>
        <v>#REF!</v>
      </c>
      <c r="K7" s="586" t="e">
        <f>#REF!+'Reg1(16-31)'!#REF!</f>
        <v>#REF!</v>
      </c>
      <c r="L7" s="586" t="e">
        <f>#REF!+'Reg1(16-31)'!#REF!</f>
        <v>#REF!</v>
      </c>
      <c r="M7" s="586" t="e">
        <f>#REF!+'Reg1(16-31)'!#REF!</f>
        <v>#REF!</v>
      </c>
      <c r="N7" s="586">
        <v>100</v>
      </c>
      <c r="O7" s="586" t="e">
        <f>#REF!</f>
        <v>#REF!</v>
      </c>
      <c r="P7" s="586" t="e">
        <f>#REF!</f>
        <v>#REF!</v>
      </c>
      <c r="Q7" s="586" t="e">
        <f t="shared" si="1"/>
        <v>#REF!</v>
      </c>
      <c r="R7" s="586" t="e">
        <f>#REF!</f>
        <v>#REF!</v>
      </c>
      <c r="S7" s="586" t="e">
        <f>#REF!</f>
        <v>#REF!</v>
      </c>
      <c r="T7" s="586" t="e">
        <f t="shared" si="2"/>
        <v>#REF!</v>
      </c>
      <c r="U7" s="586" t="e">
        <f>#REF!</f>
        <v>#REF!</v>
      </c>
      <c r="V7" s="586" t="e">
        <f>'Reg1(16-31)'!#REF!</f>
        <v>#REF!</v>
      </c>
      <c r="W7" s="586" t="e">
        <f>'Reg1(16-31)'!#REF!</f>
        <v>#REF!</v>
      </c>
      <c r="X7" s="586" t="e">
        <f t="shared" si="0"/>
        <v>#REF!</v>
      </c>
      <c r="Y7" s="586" t="e">
        <f>#REF!+'Reg1(16-31)'!#REF!</f>
        <v>#REF!</v>
      </c>
      <c r="Z7" s="586" t="e">
        <f>#REF!+'Reg1(16-31)'!#REF!</f>
        <v>#REF!</v>
      </c>
      <c r="AA7" s="586" t="e">
        <f t="shared" si="3"/>
        <v>#REF!</v>
      </c>
      <c r="AB7" s="586" t="e">
        <f>'Reg1(16-31)'!#REF!</f>
        <v>#REF!</v>
      </c>
      <c r="AC7" s="586" t="e">
        <f t="shared" si="4"/>
        <v>#REF!</v>
      </c>
      <c r="AE7" s="586">
        <f t="shared" si="5"/>
        <v>24425</v>
      </c>
      <c r="AF7" s="586" t="e">
        <f t="shared" si="6"/>
        <v>#REF!</v>
      </c>
      <c r="AG7" s="586" t="e">
        <f t="shared" si="7"/>
        <v>#REF!</v>
      </c>
      <c r="AH7" s="586">
        <f t="shared" si="8"/>
        <v>24425</v>
      </c>
      <c r="AI7" s="586" t="e">
        <f t="shared" si="9"/>
        <v>#REF!</v>
      </c>
      <c r="AJ7" s="586" t="e">
        <f t="shared" si="10"/>
        <v>#REF!</v>
      </c>
    </row>
    <row r="8" spans="1:36" x14ac:dyDescent="0.2">
      <c r="A8" s="44" t="s">
        <v>537</v>
      </c>
      <c r="B8" s="575" t="s">
        <v>499</v>
      </c>
      <c r="C8" s="589" t="s">
        <v>253</v>
      </c>
      <c r="D8" s="45">
        <v>10571</v>
      </c>
      <c r="E8" s="586" t="e">
        <f>#REF!+'Reg1(16-31)'!#REF!</f>
        <v>#REF!</v>
      </c>
      <c r="F8" s="586" t="e">
        <f>#REF!+'Reg1(16-31)'!#REF!</f>
        <v>#REF!</v>
      </c>
      <c r="G8" s="586" t="e">
        <f>#REF!+'Reg1(16-31)'!#REF!</f>
        <v>#REF!</v>
      </c>
      <c r="H8" s="586" t="e">
        <f>#REF!+'Reg1(16-31)'!#REF!</f>
        <v>#REF!</v>
      </c>
      <c r="I8" s="586"/>
      <c r="J8" s="586" t="e">
        <f>#REF!+'Reg1(16-31)'!#REF!</f>
        <v>#REF!</v>
      </c>
      <c r="K8" s="586" t="e">
        <f>#REF!+'Reg1(16-31)'!#REF!</f>
        <v>#REF!</v>
      </c>
      <c r="L8" s="586" t="e">
        <f>#REF!+'Reg1(16-31)'!#REF!</f>
        <v>#REF!</v>
      </c>
      <c r="M8" s="586" t="e">
        <f>#REF!+'Reg1(16-31)'!#REF!</f>
        <v>#REF!</v>
      </c>
      <c r="N8" s="586">
        <v>100</v>
      </c>
      <c r="O8" s="586" t="e">
        <f>#REF!</f>
        <v>#REF!</v>
      </c>
      <c r="P8" s="586" t="e">
        <f>#REF!</f>
        <v>#REF!</v>
      </c>
      <c r="Q8" s="586" t="e">
        <f t="shared" si="1"/>
        <v>#REF!</v>
      </c>
      <c r="R8" s="586" t="e">
        <f>#REF!</f>
        <v>#REF!</v>
      </c>
      <c r="S8" s="586" t="e">
        <f>#REF!</f>
        <v>#REF!</v>
      </c>
      <c r="T8" s="586" t="e">
        <f t="shared" si="2"/>
        <v>#REF!</v>
      </c>
      <c r="U8" s="586" t="e">
        <f>#REF!</f>
        <v>#REF!</v>
      </c>
      <c r="V8" s="586" t="e">
        <f>'Reg1(16-31)'!#REF!</f>
        <v>#REF!</v>
      </c>
      <c r="W8" s="586" t="e">
        <f>'Reg1(16-31)'!#REF!</f>
        <v>#REF!</v>
      </c>
      <c r="X8" s="586" t="e">
        <f t="shared" si="0"/>
        <v>#REF!</v>
      </c>
      <c r="Y8" s="602" t="e">
        <f>#REF!+'Reg1(16-31)'!#REF!</f>
        <v>#REF!</v>
      </c>
      <c r="Z8" s="586" t="e">
        <f>#REF!+'Reg1(16-31)'!#REF!</f>
        <v>#REF!</v>
      </c>
      <c r="AA8" s="586" t="e">
        <f t="shared" si="3"/>
        <v>#REF!</v>
      </c>
      <c r="AB8" s="586" t="e">
        <f>'Reg1(16-31)'!#REF!</f>
        <v>#REF!</v>
      </c>
      <c r="AC8" s="586" t="e">
        <f t="shared" si="4"/>
        <v>#REF!</v>
      </c>
      <c r="AE8" s="586">
        <f t="shared" si="5"/>
        <v>10571</v>
      </c>
      <c r="AF8" s="586" t="e">
        <f t="shared" si="6"/>
        <v>#REF!</v>
      </c>
      <c r="AG8" s="586" t="e">
        <f t="shared" si="7"/>
        <v>#REF!</v>
      </c>
      <c r="AH8" s="586">
        <f t="shared" si="8"/>
        <v>10571</v>
      </c>
      <c r="AI8" s="586" t="e">
        <f t="shared" si="9"/>
        <v>#REF!</v>
      </c>
      <c r="AJ8" s="586" t="e">
        <f t="shared" si="10"/>
        <v>#REF!</v>
      </c>
    </row>
    <row r="9" spans="1:36" ht="13.5" thickBot="1" x14ac:dyDescent="0.25">
      <c r="A9" s="30"/>
      <c r="B9" s="576"/>
      <c r="C9" s="586"/>
      <c r="D9" s="366">
        <f>SUM(D5:D8)</f>
        <v>161679</v>
      </c>
      <c r="E9" s="366" t="e">
        <f t="shared" ref="E9:AC9" si="11">SUM(E5:E8)</f>
        <v>#REF!</v>
      </c>
      <c r="F9" s="366" t="e">
        <f t="shared" si="11"/>
        <v>#REF!</v>
      </c>
      <c r="G9" s="366" t="e">
        <f t="shared" si="11"/>
        <v>#REF!</v>
      </c>
      <c r="H9" s="366" t="e">
        <f t="shared" si="11"/>
        <v>#REF!</v>
      </c>
      <c r="I9" s="366">
        <f t="shared" si="11"/>
        <v>0</v>
      </c>
      <c r="J9" s="366" t="e">
        <f t="shared" si="11"/>
        <v>#REF!</v>
      </c>
      <c r="K9" s="366" t="e">
        <f t="shared" si="11"/>
        <v>#REF!</v>
      </c>
      <c r="L9" s="366" t="e">
        <f t="shared" si="11"/>
        <v>#REF!</v>
      </c>
      <c r="M9" s="366" t="e">
        <f t="shared" si="11"/>
        <v>#REF!</v>
      </c>
      <c r="N9" s="366">
        <f t="shared" si="11"/>
        <v>400</v>
      </c>
      <c r="O9" s="366" t="e">
        <f t="shared" si="11"/>
        <v>#REF!</v>
      </c>
      <c r="P9" s="366" t="e">
        <f t="shared" si="11"/>
        <v>#REF!</v>
      </c>
      <c r="Q9" s="366" t="e">
        <f t="shared" si="11"/>
        <v>#REF!</v>
      </c>
      <c r="R9" s="366" t="e">
        <f t="shared" si="11"/>
        <v>#REF!</v>
      </c>
      <c r="S9" s="366" t="e">
        <f t="shared" si="11"/>
        <v>#REF!</v>
      </c>
      <c r="T9" s="366" t="e">
        <f t="shared" si="11"/>
        <v>#REF!</v>
      </c>
      <c r="U9" s="366" t="e">
        <f t="shared" si="11"/>
        <v>#REF!</v>
      </c>
      <c r="V9" s="366" t="e">
        <f t="shared" si="11"/>
        <v>#REF!</v>
      </c>
      <c r="W9" s="366" t="e">
        <f t="shared" si="11"/>
        <v>#REF!</v>
      </c>
      <c r="X9" s="366" t="e">
        <f t="shared" si="11"/>
        <v>#REF!</v>
      </c>
      <c r="Y9" s="366" t="e">
        <f t="shared" si="11"/>
        <v>#REF!</v>
      </c>
      <c r="Z9" s="366" t="e">
        <f t="shared" si="11"/>
        <v>#REF!</v>
      </c>
      <c r="AA9" s="366" t="e">
        <f t="shared" si="11"/>
        <v>#REF!</v>
      </c>
      <c r="AB9" s="366" t="e">
        <f t="shared" si="11"/>
        <v>#REF!</v>
      </c>
      <c r="AC9" s="366" t="e">
        <f t="shared" si="11"/>
        <v>#REF!</v>
      </c>
      <c r="AE9" s="601">
        <f>SUM(AE5:AE8)</f>
        <v>161679</v>
      </c>
      <c r="AF9" s="586"/>
      <c r="AG9" s="586"/>
      <c r="AH9" s="586"/>
      <c r="AI9" s="586"/>
      <c r="AJ9" s="586"/>
    </row>
    <row r="10" spans="1:36" ht="13.5" thickTop="1" x14ac:dyDescent="0.2">
      <c r="A10" s="194" t="s">
        <v>198</v>
      </c>
      <c r="B10" s="576"/>
      <c r="C10" s="586"/>
      <c r="D10" s="55"/>
      <c r="E10" s="586"/>
      <c r="F10" s="586"/>
      <c r="G10" s="586"/>
      <c r="H10" s="586"/>
      <c r="I10" s="586"/>
      <c r="J10" s="586"/>
      <c r="K10" s="586"/>
      <c r="L10" s="586"/>
      <c r="M10" s="586"/>
      <c r="N10" s="586"/>
      <c r="O10" s="586"/>
      <c r="P10" s="586"/>
      <c r="Q10" s="586"/>
      <c r="R10" s="586"/>
      <c r="S10" s="586"/>
      <c r="T10" s="586"/>
      <c r="U10" s="586"/>
      <c r="V10" s="586"/>
      <c r="W10" s="586"/>
      <c r="X10" s="586"/>
      <c r="Y10" s="586"/>
      <c r="Z10" s="586"/>
      <c r="AA10" s="586"/>
      <c r="AB10" s="586"/>
      <c r="AC10" s="586"/>
      <c r="AE10" s="586"/>
      <c r="AF10" s="586"/>
      <c r="AG10" s="586"/>
      <c r="AH10" s="586"/>
      <c r="AI10" s="586"/>
      <c r="AJ10" s="586"/>
    </row>
    <row r="11" spans="1:36" x14ac:dyDescent="0.2">
      <c r="A11" s="30" t="s">
        <v>63</v>
      </c>
      <c r="B11" s="574" t="s">
        <v>530</v>
      </c>
      <c r="C11" s="588" t="s">
        <v>575</v>
      </c>
      <c r="D11" s="54">
        <v>66725</v>
      </c>
      <c r="E11" s="586" t="e">
        <f>#REF!+'Reg1(16-31)'!L27</f>
        <v>#REF!</v>
      </c>
      <c r="F11" s="586" t="e">
        <f>#REF!+'Reg1(16-31)'!M27</f>
        <v>#REF!</v>
      </c>
      <c r="G11" s="586" t="e">
        <f>#REF!+'Reg1(16-31)'!N27</f>
        <v>#REF!</v>
      </c>
      <c r="H11" s="586" t="e">
        <f>#REF!+'Reg1(16-31)'!O27</f>
        <v>#REF!</v>
      </c>
      <c r="I11" s="586"/>
      <c r="J11" s="586" t="e">
        <f>#REF!+'Reg1(16-31)'!Q27</f>
        <v>#REF!</v>
      </c>
      <c r="K11" s="586" t="e">
        <f>#REF!+'Reg1(16-31)'!R27</f>
        <v>#REF!</v>
      </c>
      <c r="L11" s="586" t="e">
        <f>#REF!+'Reg1(16-31)'!S27</f>
        <v>#REF!</v>
      </c>
      <c r="M11" s="586" t="e">
        <f>#REF!+'Reg1(16-31)'!T27</f>
        <v>#REF!</v>
      </c>
      <c r="N11" s="586">
        <v>100</v>
      </c>
      <c r="O11" s="586" t="e">
        <f>#REF!</f>
        <v>#REF!</v>
      </c>
      <c r="P11" s="586" t="e">
        <f>#REF!</f>
        <v>#REF!</v>
      </c>
      <c r="Q11" s="586" t="e">
        <f t="shared" ref="Q11:Q14" si="12">SUM(E11:P11)</f>
        <v>#REF!</v>
      </c>
      <c r="R11" s="586" t="e">
        <f>#REF!</f>
        <v>#REF!</v>
      </c>
      <c r="S11" s="586" t="e">
        <f>#REF!</f>
        <v>#REF!</v>
      </c>
      <c r="T11" s="586" t="e">
        <f t="shared" ref="T11:T14" si="13">R11+S11</f>
        <v>#REF!</v>
      </c>
      <c r="U11" s="586" t="e">
        <f>#REF!</f>
        <v>#REF!</v>
      </c>
      <c r="V11" s="586">
        <f>'Reg1(16-31)'!X27</f>
        <v>1721.82</v>
      </c>
      <c r="W11" s="586">
        <f>'Reg1(16-31)'!Y27</f>
        <v>1721.82</v>
      </c>
      <c r="X11" s="586" t="e">
        <f t="shared" ref="X11:X14" si="14">SUM(U11:W11)</f>
        <v>#REF!</v>
      </c>
      <c r="Y11" s="586" t="e">
        <f>#REF!+'Reg1(16-31)'!#REF!</f>
        <v>#REF!</v>
      </c>
      <c r="Z11" s="586" t="e">
        <f>#REF!+'Reg1(16-31)'!AB27</f>
        <v>#REF!</v>
      </c>
      <c r="AA11" s="586" t="e">
        <f t="shared" ref="AA11:AA14" si="15">SUM(Y11:Z11)</f>
        <v>#REF!</v>
      </c>
      <c r="AB11" s="586">
        <f>'Reg1(16-31)'!W27</f>
        <v>10492.18</v>
      </c>
      <c r="AC11" s="586" t="e">
        <f t="shared" ref="AC11:AC14" si="16">Q11+T11+X11+AA11+AB11</f>
        <v>#REF!</v>
      </c>
      <c r="AE11" s="586">
        <f t="shared" ref="AE11:AE14" si="17">D11</f>
        <v>66725</v>
      </c>
      <c r="AF11" s="586" t="e">
        <f t="shared" ref="AF11:AF14" si="18">SUM(E11:M11)+O11+R11+U11+V11+AA11+AB11</f>
        <v>#REF!</v>
      </c>
      <c r="AG11" s="586" t="e">
        <f>AE11-AF11</f>
        <v>#REF!</v>
      </c>
      <c r="AH11" s="586">
        <f>AE11</f>
        <v>66725</v>
      </c>
      <c r="AI11" s="586" t="e">
        <f>P11+S11+W11</f>
        <v>#REF!</v>
      </c>
      <c r="AJ11" s="586" t="e">
        <f>AH11+AI11</f>
        <v>#REF!</v>
      </c>
    </row>
    <row r="12" spans="1:36" x14ac:dyDescent="0.2">
      <c r="A12" s="30" t="s">
        <v>67</v>
      </c>
      <c r="B12" s="576" t="s">
        <v>547</v>
      </c>
      <c r="C12" s="589" t="s">
        <v>253</v>
      </c>
      <c r="D12" s="54">
        <v>15386</v>
      </c>
      <c r="E12" s="586" t="e">
        <f>#REF!+'Reg1(16-31)'!#REF!</f>
        <v>#REF!</v>
      </c>
      <c r="F12" s="586" t="e">
        <f>#REF!+'Reg1(16-31)'!#REF!</f>
        <v>#REF!</v>
      </c>
      <c r="G12" s="586" t="e">
        <f>#REF!+'Reg1(16-31)'!#REF!</f>
        <v>#REF!</v>
      </c>
      <c r="H12" s="586" t="e">
        <f>#REF!+'Reg1(16-31)'!#REF!</f>
        <v>#REF!</v>
      </c>
      <c r="I12" s="586"/>
      <c r="J12" s="586" t="e">
        <f>#REF!+'Reg1(16-31)'!#REF!</f>
        <v>#REF!</v>
      </c>
      <c r="K12" s="586" t="e">
        <f>#REF!+'Reg1(16-31)'!#REF!</f>
        <v>#REF!</v>
      </c>
      <c r="L12" s="586" t="e">
        <f>#REF!+'Reg1(16-31)'!#REF!</f>
        <v>#REF!</v>
      </c>
      <c r="M12" s="586" t="e">
        <f>#REF!+'Reg1(16-31)'!#REF!</f>
        <v>#REF!</v>
      </c>
      <c r="N12" s="586">
        <v>100</v>
      </c>
      <c r="O12" s="586" t="e">
        <f>#REF!</f>
        <v>#REF!</v>
      </c>
      <c r="P12" s="586" t="e">
        <f>#REF!</f>
        <v>#REF!</v>
      </c>
      <c r="Q12" s="586" t="e">
        <f t="shared" si="12"/>
        <v>#REF!</v>
      </c>
      <c r="R12" s="586" t="e">
        <f>#REF!</f>
        <v>#REF!</v>
      </c>
      <c r="S12" s="586" t="e">
        <f>#REF!</f>
        <v>#REF!</v>
      </c>
      <c r="T12" s="586" t="e">
        <f t="shared" si="13"/>
        <v>#REF!</v>
      </c>
      <c r="U12" s="586" t="e">
        <f>#REF!</f>
        <v>#REF!</v>
      </c>
      <c r="V12" s="586" t="e">
        <f>'Reg1(16-31)'!#REF!</f>
        <v>#REF!</v>
      </c>
      <c r="W12" s="586" t="e">
        <f>'Reg1(16-31)'!#REF!</f>
        <v>#REF!</v>
      </c>
      <c r="X12" s="586" t="e">
        <f t="shared" si="14"/>
        <v>#REF!</v>
      </c>
      <c r="Y12" s="586" t="e">
        <f>#REF!+'Reg1(16-31)'!#REF!</f>
        <v>#REF!</v>
      </c>
      <c r="Z12" s="586" t="e">
        <f>#REF!+'Reg1(16-31)'!#REF!</f>
        <v>#REF!</v>
      </c>
      <c r="AA12" s="586" t="e">
        <f t="shared" si="15"/>
        <v>#REF!</v>
      </c>
      <c r="AB12" s="586"/>
      <c r="AC12" s="586" t="e">
        <f t="shared" si="16"/>
        <v>#REF!</v>
      </c>
      <c r="AE12" s="586">
        <f t="shared" si="17"/>
        <v>15386</v>
      </c>
      <c r="AF12" s="586" t="e">
        <f t="shared" si="18"/>
        <v>#REF!</v>
      </c>
      <c r="AG12" s="586" t="e">
        <f t="shared" ref="AG12:AG14" si="19">AE12-AF12</f>
        <v>#REF!</v>
      </c>
      <c r="AH12" s="586">
        <f t="shared" ref="AH12:AH14" si="20">AE12</f>
        <v>15386</v>
      </c>
      <c r="AI12" s="586" t="e">
        <f t="shared" ref="AI12:AI14" si="21">P12+S12+W12</f>
        <v>#REF!</v>
      </c>
      <c r="AJ12" s="586" t="e">
        <f t="shared" ref="AJ12:AJ14" si="22">AH12+AI12</f>
        <v>#REF!</v>
      </c>
    </row>
    <row r="13" spans="1:36" x14ac:dyDescent="0.2">
      <c r="A13" s="44" t="s">
        <v>518</v>
      </c>
      <c r="B13" s="575" t="s">
        <v>499</v>
      </c>
      <c r="C13" s="589" t="s">
        <v>253</v>
      </c>
      <c r="D13" s="45">
        <v>10571</v>
      </c>
      <c r="E13" s="586" t="e">
        <f>#REF!+'Reg1(16-31)'!L28</f>
        <v>#REF!</v>
      </c>
      <c r="F13" s="586" t="e">
        <f>#REF!+'Reg1(16-31)'!M28</f>
        <v>#REF!</v>
      </c>
      <c r="G13" s="586" t="e">
        <f>#REF!+'Reg1(16-31)'!N28</f>
        <v>#REF!</v>
      </c>
      <c r="H13" s="586" t="e">
        <f>#REF!+'Reg1(16-31)'!O28</f>
        <v>#REF!</v>
      </c>
      <c r="I13" s="586"/>
      <c r="J13" s="586" t="e">
        <f>#REF!+'Reg1(16-31)'!Q28</f>
        <v>#REF!</v>
      </c>
      <c r="K13" s="586" t="e">
        <f>#REF!+'Reg1(16-31)'!R28</f>
        <v>#REF!</v>
      </c>
      <c r="L13" s="586" t="e">
        <f>#REF!+'Reg1(16-31)'!S28</f>
        <v>#REF!</v>
      </c>
      <c r="M13" s="586" t="e">
        <f>#REF!+'Reg1(16-31)'!T28</f>
        <v>#REF!</v>
      </c>
      <c r="N13" s="586">
        <v>100</v>
      </c>
      <c r="O13" s="586" t="e">
        <f>#REF!</f>
        <v>#REF!</v>
      </c>
      <c r="P13" s="586" t="e">
        <f>#REF!</f>
        <v>#REF!</v>
      </c>
      <c r="Q13" s="586" t="e">
        <f t="shared" si="12"/>
        <v>#REF!</v>
      </c>
      <c r="R13" s="586" t="e">
        <f>#REF!</f>
        <v>#REF!</v>
      </c>
      <c r="S13" s="586" t="e">
        <f>#REF!</f>
        <v>#REF!</v>
      </c>
      <c r="T13" s="586" t="e">
        <f t="shared" si="13"/>
        <v>#REF!</v>
      </c>
      <c r="U13" s="586" t="e">
        <f>#REF!</f>
        <v>#REF!</v>
      </c>
      <c r="V13" s="586">
        <f>'Reg1(16-31)'!X28</f>
        <v>438.44</v>
      </c>
      <c r="W13" s="586">
        <f>'Reg1(16-31)'!Y28</f>
        <v>438.44</v>
      </c>
      <c r="X13" s="586" t="e">
        <f t="shared" si="14"/>
        <v>#REF!</v>
      </c>
      <c r="Y13" s="602" t="e">
        <f>#REF!+'Reg1(16-31)'!AC28</f>
        <v>#REF!</v>
      </c>
      <c r="Z13" s="586" t="e">
        <f>#REF!+'Reg1(16-31)'!AB28</f>
        <v>#REF!</v>
      </c>
      <c r="AA13" s="586" t="e">
        <f t="shared" si="15"/>
        <v>#REF!</v>
      </c>
      <c r="AB13" s="586"/>
      <c r="AC13" s="586" t="e">
        <f t="shared" si="16"/>
        <v>#REF!</v>
      </c>
      <c r="AE13" s="586">
        <f t="shared" si="17"/>
        <v>10571</v>
      </c>
      <c r="AF13" s="586" t="e">
        <f t="shared" si="18"/>
        <v>#REF!</v>
      </c>
      <c r="AG13" s="586" t="e">
        <f t="shared" si="19"/>
        <v>#REF!</v>
      </c>
      <c r="AH13" s="586">
        <f t="shared" si="20"/>
        <v>10571</v>
      </c>
      <c r="AI13" s="586" t="e">
        <f t="shared" si="21"/>
        <v>#REF!</v>
      </c>
      <c r="AJ13" s="586" t="e">
        <f t="shared" si="22"/>
        <v>#REF!</v>
      </c>
    </row>
    <row r="14" spans="1:36" x14ac:dyDescent="0.2">
      <c r="A14" s="30" t="s">
        <v>447</v>
      </c>
      <c r="B14" s="576" t="s">
        <v>446</v>
      </c>
      <c r="C14" s="589" t="s">
        <v>253</v>
      </c>
      <c r="D14" s="59">
        <v>9973</v>
      </c>
      <c r="E14" s="586" t="e">
        <f>#REF!+'Reg1(16-31)'!L29</f>
        <v>#REF!</v>
      </c>
      <c r="F14" s="586" t="e">
        <f>#REF!+'Reg1(16-31)'!M29</f>
        <v>#REF!</v>
      </c>
      <c r="G14" s="586" t="e">
        <f>#REF!+'Reg1(16-31)'!N29</f>
        <v>#REF!</v>
      </c>
      <c r="H14" s="586" t="e">
        <f>#REF!+'Reg1(16-31)'!O29</f>
        <v>#REF!</v>
      </c>
      <c r="I14" s="586"/>
      <c r="J14" s="586" t="e">
        <f>#REF!+'Reg1(16-31)'!Q29</f>
        <v>#REF!</v>
      </c>
      <c r="K14" s="586" t="e">
        <f>#REF!+'Reg1(16-31)'!R29</f>
        <v>#REF!</v>
      </c>
      <c r="L14" s="586" t="e">
        <f>#REF!+'Reg1(16-31)'!S29</f>
        <v>#REF!</v>
      </c>
      <c r="M14" s="586" t="e">
        <f>#REF!+'Reg1(16-31)'!T29</f>
        <v>#REF!</v>
      </c>
      <c r="N14" s="586">
        <v>99.73</v>
      </c>
      <c r="O14" s="586" t="e">
        <f>#REF!</f>
        <v>#REF!</v>
      </c>
      <c r="P14" s="586" t="e">
        <f>#REF!</f>
        <v>#REF!</v>
      </c>
      <c r="Q14" s="586" t="e">
        <f t="shared" si="12"/>
        <v>#REF!</v>
      </c>
      <c r="R14" s="586" t="e">
        <f>#REF!</f>
        <v>#REF!</v>
      </c>
      <c r="S14" s="586" t="e">
        <f>#REF!</f>
        <v>#REF!</v>
      </c>
      <c r="T14" s="586" t="e">
        <f t="shared" si="13"/>
        <v>#REF!</v>
      </c>
      <c r="U14" s="586" t="e">
        <f>#REF!</f>
        <v>#REF!</v>
      </c>
      <c r="V14" s="586">
        <f>'Reg1(16-31)'!X29</f>
        <v>286.16000000000003</v>
      </c>
      <c r="W14" s="586">
        <f>'Reg1(16-31)'!Y29</f>
        <v>286.16000000000003</v>
      </c>
      <c r="X14" s="586" t="e">
        <f t="shared" si="14"/>
        <v>#REF!</v>
      </c>
      <c r="Y14" s="602" t="e">
        <f>#REF!+'Reg1(16-31)'!AC29</f>
        <v>#REF!</v>
      </c>
      <c r="Z14" s="586" t="e">
        <f>#REF!+'Reg1(16-31)'!AB29</f>
        <v>#REF!</v>
      </c>
      <c r="AA14" s="586" t="e">
        <f t="shared" si="15"/>
        <v>#REF!</v>
      </c>
      <c r="AB14" s="586"/>
      <c r="AC14" s="586" t="e">
        <f t="shared" si="16"/>
        <v>#REF!</v>
      </c>
      <c r="AE14" s="586">
        <f t="shared" si="17"/>
        <v>9973</v>
      </c>
      <c r="AF14" s="586" t="e">
        <f t="shared" si="18"/>
        <v>#REF!</v>
      </c>
      <c r="AG14" s="586" t="e">
        <f t="shared" si="19"/>
        <v>#REF!</v>
      </c>
      <c r="AH14" s="586">
        <f t="shared" si="20"/>
        <v>9973</v>
      </c>
      <c r="AI14" s="586" t="e">
        <f t="shared" si="21"/>
        <v>#REF!</v>
      </c>
      <c r="AJ14" s="586" t="e">
        <f t="shared" si="22"/>
        <v>#REF!</v>
      </c>
    </row>
    <row r="15" spans="1:36" ht="13.5" thickBot="1" x14ac:dyDescent="0.25">
      <c r="A15" s="30"/>
      <c r="B15" s="576"/>
      <c r="C15" s="586"/>
      <c r="D15" s="157">
        <f>SUM(D11:D14)</f>
        <v>102655</v>
      </c>
      <c r="E15" s="157" t="e">
        <f t="shared" ref="E15:AC15" si="23">SUM(E11:E14)</f>
        <v>#REF!</v>
      </c>
      <c r="F15" s="157" t="e">
        <f t="shared" si="23"/>
        <v>#REF!</v>
      </c>
      <c r="G15" s="157" t="e">
        <f t="shared" si="23"/>
        <v>#REF!</v>
      </c>
      <c r="H15" s="157" t="e">
        <f t="shared" si="23"/>
        <v>#REF!</v>
      </c>
      <c r="I15" s="157">
        <f t="shared" si="23"/>
        <v>0</v>
      </c>
      <c r="J15" s="157" t="e">
        <f t="shared" si="23"/>
        <v>#REF!</v>
      </c>
      <c r="K15" s="157" t="e">
        <f t="shared" si="23"/>
        <v>#REF!</v>
      </c>
      <c r="L15" s="157" t="e">
        <f t="shared" si="23"/>
        <v>#REF!</v>
      </c>
      <c r="M15" s="157" t="e">
        <f t="shared" si="23"/>
        <v>#REF!</v>
      </c>
      <c r="N15" s="157">
        <f>SUM(N11:N14)</f>
        <v>399.73</v>
      </c>
      <c r="O15" s="157" t="e">
        <f t="shared" si="23"/>
        <v>#REF!</v>
      </c>
      <c r="P15" s="157" t="e">
        <f t="shared" si="23"/>
        <v>#REF!</v>
      </c>
      <c r="Q15" s="157" t="e">
        <f t="shared" si="23"/>
        <v>#REF!</v>
      </c>
      <c r="R15" s="157" t="e">
        <f t="shared" si="23"/>
        <v>#REF!</v>
      </c>
      <c r="S15" s="157" t="e">
        <f t="shared" si="23"/>
        <v>#REF!</v>
      </c>
      <c r="T15" s="157" t="e">
        <f t="shared" si="23"/>
        <v>#REF!</v>
      </c>
      <c r="U15" s="157" t="e">
        <f t="shared" si="23"/>
        <v>#REF!</v>
      </c>
      <c r="V15" s="157" t="e">
        <f t="shared" si="23"/>
        <v>#REF!</v>
      </c>
      <c r="W15" s="157" t="e">
        <f t="shared" si="23"/>
        <v>#REF!</v>
      </c>
      <c r="X15" s="157" t="e">
        <f t="shared" si="23"/>
        <v>#REF!</v>
      </c>
      <c r="Y15" s="157" t="e">
        <f t="shared" si="23"/>
        <v>#REF!</v>
      </c>
      <c r="Z15" s="157" t="e">
        <f t="shared" si="23"/>
        <v>#REF!</v>
      </c>
      <c r="AA15" s="157" t="e">
        <f t="shared" si="23"/>
        <v>#REF!</v>
      </c>
      <c r="AB15" s="157">
        <f t="shared" si="23"/>
        <v>10492.18</v>
      </c>
      <c r="AC15" s="157" t="e">
        <f t="shared" si="23"/>
        <v>#REF!</v>
      </c>
      <c r="AE15" s="601">
        <f>SUM(AE11:AE14)</f>
        <v>102655</v>
      </c>
      <c r="AF15" s="586"/>
      <c r="AG15" s="586"/>
      <c r="AH15" s="586"/>
      <c r="AI15" s="586"/>
      <c r="AJ15" s="586"/>
    </row>
    <row r="16" spans="1:36" ht="13.5" thickTop="1" x14ac:dyDescent="0.2">
      <c r="A16" s="194" t="s">
        <v>478</v>
      </c>
      <c r="B16" s="576"/>
      <c r="C16" s="586"/>
      <c r="D16" s="55" t="s">
        <v>37</v>
      </c>
      <c r="E16" s="586"/>
      <c r="F16" s="586"/>
      <c r="G16" s="586"/>
      <c r="H16" s="586"/>
      <c r="I16" s="586"/>
      <c r="J16" s="586"/>
      <c r="K16" s="586"/>
      <c r="L16" s="586"/>
      <c r="M16" s="586"/>
      <c r="N16" s="586"/>
      <c r="O16" s="586"/>
      <c r="P16" s="586"/>
      <c r="Q16" s="586"/>
      <c r="R16" s="586"/>
      <c r="S16" s="586"/>
      <c r="T16" s="586"/>
      <c r="U16" s="586"/>
      <c r="V16" s="586"/>
      <c r="W16" s="586"/>
      <c r="X16" s="586"/>
      <c r="Y16" s="586"/>
      <c r="Z16" s="586"/>
      <c r="AA16" s="586"/>
      <c r="AB16" s="586"/>
      <c r="AC16" s="586"/>
      <c r="AE16" s="586"/>
      <c r="AF16" s="586"/>
      <c r="AG16" s="586"/>
      <c r="AH16" s="586"/>
      <c r="AI16" s="586"/>
      <c r="AJ16" s="586"/>
    </row>
    <row r="17" spans="1:36" x14ac:dyDescent="0.2">
      <c r="A17" s="30" t="s">
        <v>294</v>
      </c>
      <c r="B17" s="576" t="s">
        <v>293</v>
      </c>
      <c r="C17" s="588" t="s">
        <v>575</v>
      </c>
      <c r="D17" s="54">
        <v>16830</v>
      </c>
      <c r="E17" s="586" t="e">
        <f>#REF!+'Reg1(16-31)'!L33</f>
        <v>#REF!</v>
      </c>
      <c r="F17" s="586" t="e">
        <f>#REF!+'Reg1(16-31)'!M33</f>
        <v>#REF!</v>
      </c>
      <c r="G17" s="586" t="e">
        <f>#REF!+'Reg1(16-31)'!N33</f>
        <v>#REF!</v>
      </c>
      <c r="H17" s="586" t="e">
        <f>#REF!+'Reg1(16-31)'!O33</f>
        <v>#REF!</v>
      </c>
      <c r="I17" s="586"/>
      <c r="J17" s="586" t="e">
        <f>#REF!+'Reg1(16-31)'!Q33</f>
        <v>#REF!</v>
      </c>
      <c r="K17" s="586" t="e">
        <f>#REF!+'Reg1(16-31)'!R33</f>
        <v>#REF!</v>
      </c>
      <c r="L17" s="586" t="e">
        <f>#REF!+'Reg1(16-31)'!S33</f>
        <v>#REF!</v>
      </c>
      <c r="M17" s="586" t="e">
        <f>#REF!+'Reg1(16-31)'!T33</f>
        <v>#REF!</v>
      </c>
      <c r="N17" s="586">
        <v>100</v>
      </c>
      <c r="O17" s="586" t="e">
        <f>#REF!</f>
        <v>#REF!</v>
      </c>
      <c r="P17" s="586" t="e">
        <f>#REF!</f>
        <v>#REF!</v>
      </c>
      <c r="Q17" s="586" t="e">
        <f t="shared" ref="Q17:Q18" si="24">SUM(E17:P17)</f>
        <v>#REF!</v>
      </c>
      <c r="R17" s="586" t="e">
        <f>#REF!</f>
        <v>#REF!</v>
      </c>
      <c r="S17" s="586" t="e">
        <f>#REF!</f>
        <v>#REF!</v>
      </c>
      <c r="T17" s="586" t="e">
        <f t="shared" ref="T17:T18" si="25">R17+S17</f>
        <v>#REF!</v>
      </c>
      <c r="U17" s="586" t="e">
        <f>#REF!</f>
        <v>#REF!</v>
      </c>
      <c r="V17" s="586">
        <f>'Reg1(16-31)'!X33</f>
        <v>872.16</v>
      </c>
      <c r="W17" s="586">
        <f>'Reg1(16-31)'!Y33</f>
        <v>872.16</v>
      </c>
      <c r="X17" s="586" t="e">
        <f t="shared" ref="X17:X18" si="26">SUM(U17:W17)</f>
        <v>#REF!</v>
      </c>
      <c r="Y17" s="602" t="e">
        <f>#REF!+'Reg1(16-31)'!AC33</f>
        <v>#REF!</v>
      </c>
      <c r="Z17" s="586" t="e">
        <f>#REF!+'Reg1(16-31)'!AB33</f>
        <v>#REF!</v>
      </c>
      <c r="AA17" s="586" t="e">
        <f t="shared" ref="AA17:AA18" si="27">SUM(Y17:Z17)</f>
        <v>#REF!</v>
      </c>
      <c r="AB17" s="586">
        <f>'Reg1(16-31)'!W33</f>
        <v>2752.52</v>
      </c>
      <c r="AC17" s="586" t="e">
        <f t="shared" ref="AC17:AC18" si="28">Q17+T17+X17+AA17+AB17</f>
        <v>#REF!</v>
      </c>
      <c r="AE17" s="586">
        <f t="shared" ref="AE17:AE18" si="29">D17</f>
        <v>16830</v>
      </c>
      <c r="AF17" s="586" t="e">
        <f t="shared" ref="AF17:AF18" si="30">SUM(E17:M17)+O17+R17+U17+V17+AA17+AB17</f>
        <v>#REF!</v>
      </c>
      <c r="AG17" s="586" t="e">
        <f t="shared" ref="AG17:AG18" si="31">AE17-AF17</f>
        <v>#REF!</v>
      </c>
      <c r="AH17" s="586">
        <f t="shared" ref="AH17:AH18" si="32">AE17</f>
        <v>16830</v>
      </c>
      <c r="AI17" s="586" t="e">
        <f t="shared" ref="AI17:AI18" si="33">P17+S17+W17</f>
        <v>#REF!</v>
      </c>
      <c r="AJ17" s="586" t="e">
        <f t="shared" ref="AJ17:AJ18" si="34">AH17+AI17</f>
        <v>#REF!</v>
      </c>
    </row>
    <row r="18" spans="1:36" x14ac:dyDescent="0.2">
      <c r="A18" s="44" t="s">
        <v>538</v>
      </c>
      <c r="B18" s="575" t="s">
        <v>499</v>
      </c>
      <c r="C18" s="589" t="s">
        <v>253</v>
      </c>
      <c r="D18" s="59">
        <v>10571</v>
      </c>
      <c r="E18" s="586" t="e">
        <f>#REF!+'Reg1(16-31)'!L36</f>
        <v>#REF!</v>
      </c>
      <c r="F18" s="586" t="e">
        <f>#REF!+'Reg1(16-31)'!M36</f>
        <v>#REF!</v>
      </c>
      <c r="G18" s="586" t="e">
        <f>#REF!+'Reg1(16-31)'!N36</f>
        <v>#REF!</v>
      </c>
      <c r="H18" s="586" t="e">
        <f>#REF!+'Reg1(16-31)'!O36</f>
        <v>#REF!</v>
      </c>
      <c r="I18" s="586"/>
      <c r="J18" s="586" t="e">
        <f>#REF!+'Reg1(16-31)'!Q36</f>
        <v>#REF!</v>
      </c>
      <c r="K18" s="586" t="e">
        <f>#REF!+'Reg1(16-31)'!R36</f>
        <v>#REF!</v>
      </c>
      <c r="L18" s="586" t="e">
        <f>#REF!+'Reg1(16-31)'!S36</f>
        <v>#REF!</v>
      </c>
      <c r="M18" s="586" t="e">
        <f>#REF!+'Reg1(16-31)'!T36</f>
        <v>#REF!</v>
      </c>
      <c r="N18" s="586">
        <v>100</v>
      </c>
      <c r="O18" s="586" t="e">
        <f>#REF!</f>
        <v>#REF!</v>
      </c>
      <c r="P18" s="586" t="e">
        <f>#REF!</f>
        <v>#REF!</v>
      </c>
      <c r="Q18" s="586" t="e">
        <f t="shared" si="24"/>
        <v>#REF!</v>
      </c>
      <c r="R18" s="586" t="e">
        <f>#REF!</f>
        <v>#REF!</v>
      </c>
      <c r="S18" s="586" t="e">
        <f>#REF!</f>
        <v>#REF!</v>
      </c>
      <c r="T18" s="586" t="e">
        <f t="shared" si="25"/>
        <v>#REF!</v>
      </c>
      <c r="U18" s="586" t="e">
        <f>#REF!</f>
        <v>#REF!</v>
      </c>
      <c r="V18" s="586">
        <f>'Reg1(16-31)'!X36</f>
        <v>286.16000000000003</v>
      </c>
      <c r="W18" s="586">
        <f>'Reg1(16-31)'!Y36</f>
        <v>286.16000000000003</v>
      </c>
      <c r="X18" s="586" t="e">
        <f t="shared" si="26"/>
        <v>#REF!</v>
      </c>
      <c r="Y18" s="602" t="e">
        <f>#REF!+'Reg1(16-31)'!AC36</f>
        <v>#REF!</v>
      </c>
      <c r="Z18" s="586" t="e">
        <f>#REF!+'Reg1(16-31)'!AB36</f>
        <v>#REF!</v>
      </c>
      <c r="AA18" s="586" t="e">
        <f t="shared" si="27"/>
        <v>#REF!</v>
      </c>
      <c r="AB18" s="586">
        <f>'Reg1(16-31)'!W36</f>
        <v>0</v>
      </c>
      <c r="AC18" s="586" t="e">
        <f t="shared" si="28"/>
        <v>#REF!</v>
      </c>
      <c r="AE18" s="586">
        <f t="shared" si="29"/>
        <v>10571</v>
      </c>
      <c r="AF18" s="586" t="e">
        <f t="shared" si="30"/>
        <v>#REF!</v>
      </c>
      <c r="AG18" s="586" t="e">
        <f t="shared" si="31"/>
        <v>#REF!</v>
      </c>
      <c r="AH18" s="586">
        <f t="shared" si="32"/>
        <v>10571</v>
      </c>
      <c r="AI18" s="586" t="e">
        <f t="shared" si="33"/>
        <v>#REF!</v>
      </c>
      <c r="AJ18" s="586" t="e">
        <f t="shared" si="34"/>
        <v>#REF!</v>
      </c>
    </row>
    <row r="19" spans="1:36" ht="13.5" thickBot="1" x14ac:dyDescent="0.25">
      <c r="A19" s="30"/>
      <c r="B19" s="577"/>
      <c r="C19" s="586"/>
      <c r="D19" s="157">
        <f>SUM(D17:D18)</f>
        <v>27401</v>
      </c>
      <c r="E19" s="157" t="e">
        <f>SUM(E17:E18)</f>
        <v>#REF!</v>
      </c>
      <c r="F19" s="157" t="e">
        <f t="shared" ref="F19:AC19" si="35">SUM(F17:F18)</f>
        <v>#REF!</v>
      </c>
      <c r="G19" s="157" t="e">
        <f t="shared" si="35"/>
        <v>#REF!</v>
      </c>
      <c r="H19" s="157" t="e">
        <f t="shared" si="35"/>
        <v>#REF!</v>
      </c>
      <c r="I19" s="157">
        <f t="shared" si="35"/>
        <v>0</v>
      </c>
      <c r="J19" s="157" t="e">
        <f t="shared" si="35"/>
        <v>#REF!</v>
      </c>
      <c r="K19" s="157" t="e">
        <f t="shared" si="35"/>
        <v>#REF!</v>
      </c>
      <c r="L19" s="157" t="e">
        <f t="shared" si="35"/>
        <v>#REF!</v>
      </c>
      <c r="M19" s="157" t="e">
        <f t="shared" si="35"/>
        <v>#REF!</v>
      </c>
      <c r="N19" s="157">
        <f>SUM(N17:N18)</f>
        <v>200</v>
      </c>
      <c r="O19" s="157" t="e">
        <f t="shared" si="35"/>
        <v>#REF!</v>
      </c>
      <c r="P19" s="157" t="e">
        <f t="shared" si="35"/>
        <v>#REF!</v>
      </c>
      <c r="Q19" s="157" t="e">
        <f t="shared" si="35"/>
        <v>#REF!</v>
      </c>
      <c r="R19" s="157" t="e">
        <f t="shared" si="35"/>
        <v>#REF!</v>
      </c>
      <c r="S19" s="157" t="e">
        <f t="shared" si="35"/>
        <v>#REF!</v>
      </c>
      <c r="T19" s="157" t="e">
        <f t="shared" si="35"/>
        <v>#REF!</v>
      </c>
      <c r="U19" s="157" t="e">
        <f t="shared" si="35"/>
        <v>#REF!</v>
      </c>
      <c r="V19" s="157">
        <f t="shared" si="35"/>
        <v>1158.32</v>
      </c>
      <c r="W19" s="157">
        <f t="shared" si="35"/>
        <v>1158.32</v>
      </c>
      <c r="X19" s="157" t="e">
        <f t="shared" si="35"/>
        <v>#REF!</v>
      </c>
      <c r="Y19" s="157" t="e">
        <f t="shared" si="35"/>
        <v>#REF!</v>
      </c>
      <c r="Z19" s="157" t="e">
        <f t="shared" si="35"/>
        <v>#REF!</v>
      </c>
      <c r="AA19" s="157" t="e">
        <f t="shared" si="35"/>
        <v>#REF!</v>
      </c>
      <c r="AB19" s="157">
        <f t="shared" si="35"/>
        <v>2752.52</v>
      </c>
      <c r="AC19" s="157" t="e">
        <f t="shared" si="35"/>
        <v>#REF!</v>
      </c>
      <c r="AE19" s="601">
        <f>SUM(AE17:AE18)</f>
        <v>27401</v>
      </c>
      <c r="AF19" s="586"/>
      <c r="AG19" s="586"/>
      <c r="AH19" s="586"/>
      <c r="AI19" s="586"/>
      <c r="AJ19" s="586"/>
    </row>
    <row r="20" spans="1:36" ht="13.5" thickTop="1" x14ac:dyDescent="0.2">
      <c r="A20" s="509" t="s">
        <v>66</v>
      </c>
      <c r="B20" s="578"/>
      <c r="C20" s="586"/>
      <c r="D20" s="443"/>
      <c r="E20" s="586"/>
      <c r="F20" s="586"/>
      <c r="G20" s="586"/>
      <c r="H20" s="586"/>
      <c r="I20" s="586"/>
      <c r="J20" s="586"/>
      <c r="K20" s="586"/>
      <c r="L20" s="586"/>
      <c r="M20" s="586"/>
      <c r="N20" s="586"/>
      <c r="O20" s="586"/>
      <c r="P20" s="586"/>
      <c r="Q20" s="586"/>
      <c r="R20" s="586"/>
      <c r="S20" s="586"/>
      <c r="T20" s="586"/>
      <c r="U20" s="586"/>
      <c r="V20" s="586"/>
      <c r="W20" s="586"/>
      <c r="X20" s="586"/>
      <c r="Y20" s="586"/>
      <c r="Z20" s="586"/>
      <c r="AA20" s="586"/>
      <c r="AB20" s="586"/>
      <c r="AC20" s="586"/>
      <c r="AE20" s="586"/>
      <c r="AF20" s="586"/>
      <c r="AG20" s="586"/>
      <c r="AH20" s="586"/>
      <c r="AI20" s="586"/>
      <c r="AJ20" s="586"/>
    </row>
    <row r="21" spans="1:36" x14ac:dyDescent="0.2">
      <c r="A21" s="30" t="s">
        <v>498</v>
      </c>
      <c r="B21" s="576" t="s">
        <v>506</v>
      </c>
      <c r="C21" s="588" t="s">
        <v>575</v>
      </c>
      <c r="D21" s="54">
        <v>71189</v>
      </c>
      <c r="E21" s="586" t="e">
        <f>#REF!+'Reg1(16-31)'!#REF!</f>
        <v>#REF!</v>
      </c>
      <c r="F21" s="586" t="e">
        <f>#REF!+'Reg1(16-31)'!#REF!</f>
        <v>#REF!</v>
      </c>
      <c r="G21" s="586" t="e">
        <f>#REF!+'Reg1(16-31)'!#REF!</f>
        <v>#REF!</v>
      </c>
      <c r="H21" s="586" t="e">
        <f>#REF!+'Reg1(16-31)'!#REF!</f>
        <v>#REF!</v>
      </c>
      <c r="I21" s="586"/>
      <c r="J21" s="586" t="e">
        <f>#REF!+'Reg1(16-31)'!#REF!</f>
        <v>#REF!</v>
      </c>
      <c r="K21" s="586" t="e">
        <f>#REF!+'Reg1(16-31)'!#REF!</f>
        <v>#REF!</v>
      </c>
      <c r="L21" s="586" t="e">
        <f>#REF!+'Reg1(16-31)'!#REF!</f>
        <v>#REF!</v>
      </c>
      <c r="M21" s="586" t="e">
        <f>#REF!+'Reg1(16-31)'!#REF!</f>
        <v>#REF!</v>
      </c>
      <c r="N21" s="586">
        <v>100</v>
      </c>
      <c r="O21" s="586" t="e">
        <f>#REF!</f>
        <v>#REF!</v>
      </c>
      <c r="P21" s="586" t="e">
        <f>#REF!</f>
        <v>#REF!</v>
      </c>
      <c r="Q21" s="586" t="e">
        <f t="shared" ref="Q21:Q22" si="36">SUM(E21:P21)</f>
        <v>#REF!</v>
      </c>
      <c r="R21" s="586" t="e">
        <f>#REF!</f>
        <v>#REF!</v>
      </c>
      <c r="S21" s="586" t="e">
        <f>#REF!</f>
        <v>#REF!</v>
      </c>
      <c r="T21" s="586" t="e">
        <f t="shared" ref="T21:T22" si="37">R21+S21</f>
        <v>#REF!</v>
      </c>
      <c r="U21" s="586" t="e">
        <f>#REF!</f>
        <v>#REF!</v>
      </c>
      <c r="V21" s="586" t="e">
        <f>'Reg1(16-31)'!#REF!</f>
        <v>#REF!</v>
      </c>
      <c r="W21" s="586" t="e">
        <f>'Reg1(16-31)'!#REF!</f>
        <v>#REF!</v>
      </c>
      <c r="X21" s="586" t="e">
        <f t="shared" ref="X21:X22" si="38">SUM(U21:W21)</f>
        <v>#REF!</v>
      </c>
      <c r="Y21" s="586" t="e">
        <f>#REF!+'Reg1(16-31)'!#REF!</f>
        <v>#REF!</v>
      </c>
      <c r="Z21" s="586" t="e">
        <f>#REF!+'Reg1(16-31)'!#REF!</f>
        <v>#REF!</v>
      </c>
      <c r="AA21" s="586" t="e">
        <f t="shared" ref="AA21:AA22" si="39">SUM(Y21:Z21)</f>
        <v>#REF!</v>
      </c>
      <c r="AB21" s="586" t="e">
        <f>'Reg1(16-31)'!#REF!</f>
        <v>#REF!</v>
      </c>
      <c r="AC21" s="586" t="e">
        <f t="shared" ref="AC21:AC22" si="40">Q21+T21+X21+AA21+AB21</f>
        <v>#REF!</v>
      </c>
      <c r="AE21" s="586">
        <f t="shared" ref="AE21:AE22" si="41">D21</f>
        <v>71189</v>
      </c>
      <c r="AF21" s="586" t="e">
        <f t="shared" ref="AF21:AF22" si="42">SUM(E21:M21)+O21+R21+U21+V21+AA21+AB21</f>
        <v>#REF!</v>
      </c>
      <c r="AG21" s="586" t="e">
        <f t="shared" ref="AG21:AG22" si="43">AE21-AF21</f>
        <v>#REF!</v>
      </c>
      <c r="AH21" s="586">
        <f t="shared" ref="AH21:AH22" si="44">AE21</f>
        <v>71189</v>
      </c>
      <c r="AI21" s="586" t="e">
        <f t="shared" ref="AI21:AI22" si="45">P21+S21+W21</f>
        <v>#REF!</v>
      </c>
      <c r="AJ21" s="586" t="e">
        <f t="shared" ref="AJ21:AJ22" si="46">AH21+AI21</f>
        <v>#REF!</v>
      </c>
    </row>
    <row r="22" spans="1:36" x14ac:dyDescent="0.2">
      <c r="A22" s="30" t="s">
        <v>492</v>
      </c>
      <c r="B22" s="576" t="s">
        <v>42</v>
      </c>
      <c r="C22" s="589" t="s">
        <v>253</v>
      </c>
      <c r="D22" s="62">
        <v>13406</v>
      </c>
      <c r="E22" s="586" t="e">
        <f>#REF!+'Reg1(16-31)'!L40</f>
        <v>#REF!</v>
      </c>
      <c r="F22" s="586" t="e">
        <f>#REF!+'Reg1(16-31)'!M40</f>
        <v>#REF!</v>
      </c>
      <c r="G22" s="586" t="e">
        <f>#REF!+'Reg1(16-31)'!N40</f>
        <v>#REF!</v>
      </c>
      <c r="H22" s="586" t="e">
        <f>#REF!+'Reg1(16-31)'!O40</f>
        <v>#REF!</v>
      </c>
      <c r="I22" s="586"/>
      <c r="J22" s="586" t="e">
        <f>#REF!+'Reg1(16-31)'!Q40</f>
        <v>#REF!</v>
      </c>
      <c r="K22" s="586" t="e">
        <f>#REF!+'Reg1(16-31)'!R40</f>
        <v>#REF!</v>
      </c>
      <c r="L22" s="586" t="e">
        <f>#REF!+'Reg1(16-31)'!S40</f>
        <v>#REF!</v>
      </c>
      <c r="M22" s="586" t="e">
        <f>#REF!+'Reg1(16-31)'!T40</f>
        <v>#REF!</v>
      </c>
      <c r="N22" s="586">
        <v>100</v>
      </c>
      <c r="O22" s="586" t="e">
        <f>#REF!</f>
        <v>#REF!</v>
      </c>
      <c r="P22" s="586" t="e">
        <f>#REF!</f>
        <v>#REF!</v>
      </c>
      <c r="Q22" s="586" t="e">
        <f t="shared" si="36"/>
        <v>#REF!</v>
      </c>
      <c r="R22" s="586" t="e">
        <f>#REF!</f>
        <v>#REF!</v>
      </c>
      <c r="S22" s="586" t="e">
        <f>#REF!</f>
        <v>#REF!</v>
      </c>
      <c r="T22" s="586" t="e">
        <f t="shared" si="37"/>
        <v>#REF!</v>
      </c>
      <c r="U22" s="586" t="e">
        <f>#REF!</f>
        <v>#REF!</v>
      </c>
      <c r="V22" s="586">
        <f>'Reg1(16-31)'!X40</f>
        <v>371.26</v>
      </c>
      <c r="W22" s="586">
        <f>'Reg1(16-31)'!Y40</f>
        <v>371.26</v>
      </c>
      <c r="X22" s="586" t="e">
        <f t="shared" si="38"/>
        <v>#REF!</v>
      </c>
      <c r="Y22" s="586" t="e">
        <f>#REF!+'Reg1(16-31)'!AC40</f>
        <v>#REF!</v>
      </c>
      <c r="Z22" s="586" t="e">
        <f>#REF!+'Reg1(16-31)'!AB40</f>
        <v>#REF!</v>
      </c>
      <c r="AA22" s="586" t="e">
        <f t="shared" si="39"/>
        <v>#REF!</v>
      </c>
      <c r="AB22" s="586"/>
      <c r="AC22" s="586" t="e">
        <f t="shared" si="40"/>
        <v>#REF!</v>
      </c>
      <c r="AE22" s="586">
        <f t="shared" si="41"/>
        <v>13406</v>
      </c>
      <c r="AF22" s="586" t="e">
        <f t="shared" si="42"/>
        <v>#REF!</v>
      </c>
      <c r="AG22" s="586" t="e">
        <f t="shared" si="43"/>
        <v>#REF!</v>
      </c>
      <c r="AH22" s="586">
        <f t="shared" si="44"/>
        <v>13406</v>
      </c>
      <c r="AI22" s="586" t="e">
        <f t="shared" si="45"/>
        <v>#REF!</v>
      </c>
      <c r="AJ22" s="586" t="e">
        <f t="shared" si="46"/>
        <v>#REF!</v>
      </c>
    </row>
    <row r="23" spans="1:36" ht="13.5" thickBot="1" x14ac:dyDescent="0.25">
      <c r="A23" s="30"/>
      <c r="B23" s="576"/>
      <c r="C23" s="586"/>
      <c r="D23" s="157">
        <f>SUM(D21:D22)</f>
        <v>84595</v>
      </c>
      <c r="E23" s="157" t="e">
        <f t="shared" ref="E23:AC23" si="47">SUM(E21:E22)</f>
        <v>#REF!</v>
      </c>
      <c r="F23" s="157" t="e">
        <f t="shared" si="47"/>
        <v>#REF!</v>
      </c>
      <c r="G23" s="157" t="e">
        <f t="shared" si="47"/>
        <v>#REF!</v>
      </c>
      <c r="H23" s="157" t="e">
        <f t="shared" si="47"/>
        <v>#REF!</v>
      </c>
      <c r="I23" s="157">
        <f t="shared" si="47"/>
        <v>0</v>
      </c>
      <c r="J23" s="157" t="e">
        <f t="shared" si="47"/>
        <v>#REF!</v>
      </c>
      <c r="K23" s="157" t="e">
        <f t="shared" si="47"/>
        <v>#REF!</v>
      </c>
      <c r="L23" s="157" t="e">
        <f t="shared" si="47"/>
        <v>#REF!</v>
      </c>
      <c r="M23" s="157" t="e">
        <f t="shared" si="47"/>
        <v>#REF!</v>
      </c>
      <c r="N23" s="157">
        <f>SUM(N21:N22)</f>
        <v>200</v>
      </c>
      <c r="O23" s="157" t="e">
        <f t="shared" si="47"/>
        <v>#REF!</v>
      </c>
      <c r="P23" s="157" t="e">
        <f t="shared" si="47"/>
        <v>#REF!</v>
      </c>
      <c r="Q23" s="157" t="e">
        <f t="shared" si="47"/>
        <v>#REF!</v>
      </c>
      <c r="R23" s="157" t="e">
        <f t="shared" si="47"/>
        <v>#REF!</v>
      </c>
      <c r="S23" s="157" t="e">
        <f t="shared" si="47"/>
        <v>#REF!</v>
      </c>
      <c r="T23" s="157" t="e">
        <f t="shared" si="47"/>
        <v>#REF!</v>
      </c>
      <c r="U23" s="157" t="e">
        <f t="shared" si="47"/>
        <v>#REF!</v>
      </c>
      <c r="V23" s="157" t="e">
        <f t="shared" si="47"/>
        <v>#REF!</v>
      </c>
      <c r="W23" s="157" t="e">
        <f t="shared" si="47"/>
        <v>#REF!</v>
      </c>
      <c r="X23" s="157" t="e">
        <f t="shared" si="47"/>
        <v>#REF!</v>
      </c>
      <c r="Y23" s="157" t="e">
        <f t="shared" si="47"/>
        <v>#REF!</v>
      </c>
      <c r="Z23" s="157" t="e">
        <f t="shared" si="47"/>
        <v>#REF!</v>
      </c>
      <c r="AA23" s="157" t="e">
        <f t="shared" si="47"/>
        <v>#REF!</v>
      </c>
      <c r="AB23" s="157" t="e">
        <f t="shared" si="47"/>
        <v>#REF!</v>
      </c>
      <c r="AC23" s="157" t="e">
        <f t="shared" si="47"/>
        <v>#REF!</v>
      </c>
      <c r="AE23" s="601">
        <f>SUM(AE21:AE22)</f>
        <v>84595</v>
      </c>
      <c r="AF23" s="586"/>
      <c r="AG23" s="586"/>
      <c r="AH23" s="586"/>
      <c r="AI23" s="586"/>
      <c r="AJ23" s="586"/>
    </row>
    <row r="24" spans="1:36" ht="13.5" thickTop="1" x14ac:dyDescent="0.2">
      <c r="A24" s="194" t="s">
        <v>500</v>
      </c>
      <c r="B24" s="579"/>
      <c r="C24" s="586"/>
      <c r="D24" s="61"/>
      <c r="E24" s="586"/>
      <c r="F24" s="586"/>
      <c r="G24" s="586"/>
      <c r="H24" s="586"/>
      <c r="I24" s="586"/>
      <c r="J24" s="586"/>
      <c r="K24" s="586"/>
      <c r="L24" s="586"/>
      <c r="M24" s="586"/>
      <c r="N24" s="586"/>
      <c r="O24" s="586"/>
      <c r="P24" s="586"/>
      <c r="Q24" s="586"/>
      <c r="R24" s="586"/>
      <c r="S24" s="586"/>
      <c r="T24" s="586"/>
      <c r="U24" s="586"/>
      <c r="V24" s="586"/>
      <c r="W24" s="586"/>
      <c r="X24" s="586"/>
      <c r="Y24" s="586"/>
      <c r="Z24" s="586"/>
      <c r="AA24" s="586"/>
      <c r="AB24" s="586"/>
      <c r="AC24" s="586"/>
      <c r="AE24" s="586"/>
      <c r="AF24" s="586"/>
      <c r="AG24" s="586"/>
      <c r="AH24" s="586"/>
      <c r="AI24" s="586"/>
      <c r="AJ24" s="586"/>
    </row>
    <row r="25" spans="1:36" x14ac:dyDescent="0.2">
      <c r="A25" s="246" t="s">
        <v>431</v>
      </c>
      <c r="B25" s="574" t="s">
        <v>530</v>
      </c>
      <c r="C25" s="588" t="s">
        <v>575</v>
      </c>
      <c r="D25" s="54">
        <v>66725</v>
      </c>
      <c r="E25" s="586" t="e">
        <f>#REF!+'Reg1(16-31)'!#REF!</f>
        <v>#REF!</v>
      </c>
      <c r="F25" s="586" t="e">
        <f>#REF!+'Reg1(16-31)'!#REF!</f>
        <v>#REF!</v>
      </c>
      <c r="G25" s="586" t="e">
        <f>#REF!+'Reg1(16-31)'!#REF!</f>
        <v>#REF!</v>
      </c>
      <c r="H25" s="586" t="e">
        <f>#REF!+'Reg1(16-31)'!#REF!</f>
        <v>#REF!</v>
      </c>
      <c r="I25" s="586"/>
      <c r="J25" s="586" t="e">
        <f>#REF!+'Reg1(16-31)'!#REF!</f>
        <v>#REF!</v>
      </c>
      <c r="K25" s="586" t="e">
        <f>#REF!+'Reg1(16-31)'!#REF!</f>
        <v>#REF!</v>
      </c>
      <c r="L25" s="586" t="e">
        <f>#REF!+'Reg1(16-31)'!#REF!</f>
        <v>#REF!</v>
      </c>
      <c r="M25" s="586" t="e">
        <f>#REF!+'Reg1(16-31)'!#REF!</f>
        <v>#REF!</v>
      </c>
      <c r="N25" s="586">
        <v>100</v>
      </c>
      <c r="O25" s="586" t="e">
        <f>#REF!</f>
        <v>#REF!</v>
      </c>
      <c r="P25" s="586" t="e">
        <f>#REF!</f>
        <v>#REF!</v>
      </c>
      <c r="Q25" s="586" t="e">
        <f t="shared" ref="Q25:Q31" si="48">SUM(E25:P25)</f>
        <v>#REF!</v>
      </c>
      <c r="R25" s="586" t="e">
        <f>#REF!</f>
        <v>#REF!</v>
      </c>
      <c r="S25" s="586" t="e">
        <f>#REF!</f>
        <v>#REF!</v>
      </c>
      <c r="T25" s="586" t="e">
        <f t="shared" ref="T25:T31" si="49">R25+S25</f>
        <v>#REF!</v>
      </c>
      <c r="U25" s="586" t="e">
        <f>#REF!</f>
        <v>#REF!</v>
      </c>
      <c r="V25" s="586" t="e">
        <f>'Reg1(16-31)'!#REF!</f>
        <v>#REF!</v>
      </c>
      <c r="W25" s="586" t="e">
        <f>'Reg1(16-31)'!#REF!</f>
        <v>#REF!</v>
      </c>
      <c r="X25" s="586" t="e">
        <f t="shared" ref="X25:X31" si="50">SUM(U25:W25)</f>
        <v>#REF!</v>
      </c>
      <c r="Y25" s="586" t="e">
        <f>#REF!+'Reg1(16-31)'!#REF!</f>
        <v>#REF!</v>
      </c>
      <c r="Z25" s="586" t="e">
        <f>#REF!+'Reg1(16-31)'!#REF!</f>
        <v>#REF!</v>
      </c>
      <c r="AA25" s="586" t="e">
        <f t="shared" ref="AA25:AA31" si="51">SUM(Y25:Z25)</f>
        <v>#REF!</v>
      </c>
      <c r="AB25" s="586" t="e">
        <f>'Reg1(16-31)'!#REF!</f>
        <v>#REF!</v>
      </c>
      <c r="AC25" s="586" t="e">
        <f t="shared" ref="AC25:AC31" si="52">Q25+T25+X25+AA25+AB25</f>
        <v>#REF!</v>
      </c>
      <c r="AE25" s="586">
        <f t="shared" ref="AE25:AE31" si="53">D25</f>
        <v>66725</v>
      </c>
      <c r="AF25" s="586" t="e">
        <f t="shared" ref="AF25:AF31" si="54">SUM(E25:M25)+O25+R25+U25+V25+AA25+AB25</f>
        <v>#REF!</v>
      </c>
      <c r="AG25" s="586" t="e">
        <f t="shared" ref="AG25:AG31" si="55">AE25-AF25</f>
        <v>#REF!</v>
      </c>
      <c r="AH25" s="586">
        <f t="shared" ref="AH25:AH31" si="56">AE25</f>
        <v>66725</v>
      </c>
      <c r="AI25" s="586" t="e">
        <f t="shared" ref="AI25:AI31" si="57">P25+S25+W25</f>
        <v>#REF!</v>
      </c>
      <c r="AJ25" s="586" t="e">
        <f t="shared" ref="AJ25:AJ31" si="58">AH25+AI25</f>
        <v>#REF!</v>
      </c>
    </row>
    <row r="26" spans="1:36" ht="12" customHeight="1" x14ac:dyDescent="0.2">
      <c r="A26" s="246" t="s">
        <v>80</v>
      </c>
      <c r="B26" s="575" t="s">
        <v>81</v>
      </c>
      <c r="C26" s="589" t="s">
        <v>253</v>
      </c>
      <c r="D26" s="54"/>
      <c r="E26" s="586" t="e">
        <f>#REF!+'Reg1(16-31)'!#REF!</f>
        <v>#REF!</v>
      </c>
      <c r="F26" s="586" t="e">
        <f>#REF!+'Reg1(16-31)'!#REF!</f>
        <v>#REF!</v>
      </c>
      <c r="G26" s="586" t="e">
        <f>#REF!+'Reg1(16-31)'!#REF!</f>
        <v>#REF!</v>
      </c>
      <c r="H26" s="586" t="e">
        <f>#REF!+'Reg1(16-31)'!O46</f>
        <v>#REF!</v>
      </c>
      <c r="I26" s="586"/>
      <c r="J26" s="586" t="e">
        <f>#REF!+'Reg1(16-31)'!Q46</f>
        <v>#REF!</v>
      </c>
      <c r="K26" s="586" t="e">
        <f>#REF!+'Reg1(16-31)'!R46</f>
        <v>#REF!</v>
      </c>
      <c r="L26" s="586" t="e">
        <f>#REF!+'Reg1(16-31)'!#REF!</f>
        <v>#REF!</v>
      </c>
      <c r="M26" s="586" t="e">
        <f>#REF!+'Reg1(16-31)'!T46</f>
        <v>#REF!</v>
      </c>
      <c r="N26" s="586"/>
      <c r="O26" s="586" t="e">
        <f>#REF!</f>
        <v>#REF!</v>
      </c>
      <c r="P26" s="586" t="e">
        <f>#REF!</f>
        <v>#REF!</v>
      </c>
      <c r="Q26" s="586" t="e">
        <f t="shared" si="48"/>
        <v>#REF!</v>
      </c>
      <c r="R26" s="586" t="e">
        <f>#REF!</f>
        <v>#REF!</v>
      </c>
      <c r="S26" s="586" t="e">
        <f>#REF!</f>
        <v>#REF!</v>
      </c>
      <c r="T26" s="586" t="e">
        <f t="shared" si="49"/>
        <v>#REF!</v>
      </c>
      <c r="U26" s="586" t="e">
        <f>#REF!</f>
        <v>#REF!</v>
      </c>
      <c r="V26" s="586" t="e">
        <f>'Reg1(16-31)'!#REF!</f>
        <v>#REF!</v>
      </c>
      <c r="W26" s="586" t="e">
        <f>'Reg1(16-31)'!#REF!</f>
        <v>#REF!</v>
      </c>
      <c r="X26" s="586" t="e">
        <f t="shared" si="50"/>
        <v>#REF!</v>
      </c>
      <c r="Y26" s="586" t="e">
        <f>#REF!+'Reg1(16-31)'!AC46</f>
        <v>#REF!</v>
      </c>
      <c r="Z26" s="586" t="e">
        <f>#REF!+'Reg1(16-31)'!AB46</f>
        <v>#REF!</v>
      </c>
      <c r="AA26" s="586" t="e">
        <f t="shared" si="51"/>
        <v>#REF!</v>
      </c>
      <c r="AB26" s="586" t="e">
        <f>'Reg1(16-31)'!#REF!</f>
        <v>#REF!</v>
      </c>
      <c r="AC26" s="586" t="e">
        <f t="shared" si="52"/>
        <v>#REF!</v>
      </c>
      <c r="AE26" s="586">
        <f t="shared" si="53"/>
        <v>0</v>
      </c>
      <c r="AF26" s="586" t="e">
        <f t="shared" si="54"/>
        <v>#REF!</v>
      </c>
      <c r="AG26" s="586" t="e">
        <f t="shared" si="55"/>
        <v>#REF!</v>
      </c>
      <c r="AH26" s="586">
        <f t="shared" si="56"/>
        <v>0</v>
      </c>
      <c r="AI26" s="586" t="e">
        <f t="shared" si="57"/>
        <v>#REF!</v>
      </c>
      <c r="AJ26" s="586" t="e">
        <f t="shared" si="58"/>
        <v>#REF!</v>
      </c>
    </row>
    <row r="27" spans="1:36" x14ac:dyDescent="0.2">
      <c r="A27" s="246" t="s">
        <v>110</v>
      </c>
      <c r="B27" s="575" t="s">
        <v>182</v>
      </c>
      <c r="C27" s="589" t="s">
        <v>253</v>
      </c>
      <c r="D27" s="54">
        <v>15776</v>
      </c>
      <c r="E27" s="586" t="e">
        <f>#REF!+'Reg1(16-31)'!#REF!</f>
        <v>#REF!</v>
      </c>
      <c r="F27" s="586" t="e">
        <f>#REF!+'Reg1(16-31)'!#REF!</f>
        <v>#REF!</v>
      </c>
      <c r="G27" s="586" t="e">
        <f>#REF!+'Reg1(16-31)'!#REF!</f>
        <v>#REF!</v>
      </c>
      <c r="H27" s="586" t="e">
        <f>#REF!+'Reg1(16-31)'!#REF!</f>
        <v>#REF!</v>
      </c>
      <c r="I27" s="586"/>
      <c r="J27" s="586" t="e">
        <f>#REF!+'Reg1(16-31)'!#REF!</f>
        <v>#REF!</v>
      </c>
      <c r="K27" s="586" t="e">
        <f>#REF!+'Reg1(16-31)'!#REF!</f>
        <v>#REF!</v>
      </c>
      <c r="L27" s="586" t="e">
        <f>#REF!+'Reg1(16-31)'!#REF!</f>
        <v>#REF!</v>
      </c>
      <c r="M27" s="586" t="e">
        <f>#REF!+'Reg1(16-31)'!#REF!</f>
        <v>#REF!</v>
      </c>
      <c r="N27" s="586">
        <v>100</v>
      </c>
      <c r="O27" s="586" t="e">
        <f>#REF!</f>
        <v>#REF!</v>
      </c>
      <c r="P27" s="586" t="e">
        <f>#REF!</f>
        <v>#REF!</v>
      </c>
      <c r="Q27" s="586" t="e">
        <f t="shared" si="48"/>
        <v>#REF!</v>
      </c>
      <c r="R27" s="586" t="e">
        <f>#REF!</f>
        <v>#REF!</v>
      </c>
      <c r="S27" s="586" t="e">
        <f>#REF!</f>
        <v>#REF!</v>
      </c>
      <c r="T27" s="586" t="e">
        <f t="shared" si="49"/>
        <v>#REF!</v>
      </c>
      <c r="U27" s="586" t="e">
        <f>#REF!</f>
        <v>#REF!</v>
      </c>
      <c r="V27" s="586" t="e">
        <f>'Reg1(16-31)'!#REF!</f>
        <v>#REF!</v>
      </c>
      <c r="W27" s="586" t="e">
        <f>'Reg1(16-31)'!#REF!</f>
        <v>#REF!</v>
      </c>
      <c r="X27" s="586" t="e">
        <f t="shared" si="50"/>
        <v>#REF!</v>
      </c>
      <c r="Y27" s="586" t="e">
        <f>#REF!+'Reg1(16-31)'!#REF!</f>
        <v>#REF!</v>
      </c>
      <c r="Z27" s="586" t="e">
        <f>#REF!+'Reg1(16-31)'!#REF!</f>
        <v>#REF!</v>
      </c>
      <c r="AA27" s="586" t="e">
        <f t="shared" si="51"/>
        <v>#REF!</v>
      </c>
      <c r="AB27" s="586" t="e">
        <f>'Reg1(16-31)'!#REF!</f>
        <v>#REF!</v>
      </c>
      <c r="AC27" s="586" t="e">
        <f t="shared" si="52"/>
        <v>#REF!</v>
      </c>
      <c r="AE27" s="586">
        <f t="shared" si="53"/>
        <v>15776</v>
      </c>
      <c r="AF27" s="586" t="e">
        <f t="shared" si="54"/>
        <v>#REF!</v>
      </c>
      <c r="AG27" s="586" t="e">
        <f t="shared" si="55"/>
        <v>#REF!</v>
      </c>
      <c r="AH27" s="586">
        <f t="shared" si="56"/>
        <v>15776</v>
      </c>
      <c r="AI27" s="586" t="e">
        <f t="shared" si="57"/>
        <v>#REF!</v>
      </c>
      <c r="AJ27" s="586" t="e">
        <f t="shared" si="58"/>
        <v>#REF!</v>
      </c>
    </row>
    <row r="28" spans="1:36" x14ac:dyDescent="0.2">
      <c r="A28" s="30" t="s">
        <v>82</v>
      </c>
      <c r="B28" s="576" t="s">
        <v>83</v>
      </c>
      <c r="C28" s="589" t="s">
        <v>253</v>
      </c>
      <c r="D28" s="54">
        <v>10522</v>
      </c>
      <c r="E28" s="586" t="e">
        <f>#REF!+'Reg1(16-31)'!L45</f>
        <v>#REF!</v>
      </c>
      <c r="F28" s="586" t="e">
        <f>#REF!+'Reg1(16-31)'!M45</f>
        <v>#REF!</v>
      </c>
      <c r="G28" s="586" t="e">
        <f>#REF!+'Reg1(16-31)'!N45</f>
        <v>#REF!</v>
      </c>
      <c r="H28" s="586" t="e">
        <f>#REF!+'Reg1(16-31)'!O45</f>
        <v>#REF!</v>
      </c>
      <c r="I28" s="586"/>
      <c r="J28" s="586" t="e">
        <f>#REF!+'Reg1(16-31)'!Q45</f>
        <v>#REF!</v>
      </c>
      <c r="K28" s="586" t="e">
        <f>#REF!+'Reg1(16-31)'!R45</f>
        <v>#REF!</v>
      </c>
      <c r="L28" s="586" t="e">
        <f>#REF!+'Reg1(16-31)'!S45</f>
        <v>#REF!</v>
      </c>
      <c r="M28" s="586" t="e">
        <f>#REF!+'Reg1(16-31)'!T47</f>
        <v>#REF!</v>
      </c>
      <c r="N28" s="586">
        <v>100</v>
      </c>
      <c r="O28" s="586" t="e">
        <f>#REF!</f>
        <v>#REF!</v>
      </c>
      <c r="P28" s="586" t="e">
        <f>#REF!</f>
        <v>#REF!</v>
      </c>
      <c r="Q28" s="586" t="e">
        <f t="shared" si="48"/>
        <v>#REF!</v>
      </c>
      <c r="R28" s="586" t="e">
        <f>#REF!</f>
        <v>#REF!</v>
      </c>
      <c r="S28" s="586" t="e">
        <f>#REF!</f>
        <v>#REF!</v>
      </c>
      <c r="T28" s="586" t="e">
        <f t="shared" si="49"/>
        <v>#REF!</v>
      </c>
      <c r="U28" s="586" t="e">
        <f>#REF!</f>
        <v>#REF!</v>
      </c>
      <c r="V28" s="586">
        <f>'Reg1(16-31)'!X45</f>
        <v>283.78000000000003</v>
      </c>
      <c r="W28" s="586">
        <f>'Reg1(16-31)'!Y45</f>
        <v>283.78000000000003</v>
      </c>
      <c r="X28" s="586" t="e">
        <f t="shared" si="50"/>
        <v>#REF!</v>
      </c>
      <c r="Y28" s="586" t="e">
        <f>#REF!+'Reg1(16-31)'!AC47</f>
        <v>#REF!</v>
      </c>
      <c r="Z28" s="586" t="e">
        <f>#REF!+'Reg1(16-31)'!AB47</f>
        <v>#REF!</v>
      </c>
      <c r="AA28" s="586" t="e">
        <f t="shared" si="51"/>
        <v>#REF!</v>
      </c>
      <c r="AB28" s="586">
        <f>'Reg1(16-31)'!W45</f>
        <v>0</v>
      </c>
      <c r="AC28" s="586" t="e">
        <f t="shared" si="52"/>
        <v>#REF!</v>
      </c>
      <c r="AE28" s="586">
        <f t="shared" si="53"/>
        <v>10522</v>
      </c>
      <c r="AF28" s="586" t="e">
        <f t="shared" si="54"/>
        <v>#REF!</v>
      </c>
      <c r="AG28" s="586" t="e">
        <f t="shared" si="55"/>
        <v>#REF!</v>
      </c>
      <c r="AH28" s="586">
        <f t="shared" si="56"/>
        <v>10522</v>
      </c>
      <c r="AI28" s="586" t="e">
        <f t="shared" si="57"/>
        <v>#REF!</v>
      </c>
      <c r="AJ28" s="586" t="e">
        <f t="shared" si="58"/>
        <v>#REF!</v>
      </c>
    </row>
    <row r="29" spans="1:36" x14ac:dyDescent="0.2">
      <c r="A29" s="30" t="s">
        <v>464</v>
      </c>
      <c r="B29" s="576" t="s">
        <v>446</v>
      </c>
      <c r="C29" s="589" t="s">
        <v>253</v>
      </c>
      <c r="D29" s="54">
        <v>9973</v>
      </c>
      <c r="E29" s="586" t="e">
        <f>#REF!+'Reg1(16-31)'!L46</f>
        <v>#REF!</v>
      </c>
      <c r="F29" s="586" t="e">
        <f>#REF!+'Reg1(16-31)'!M46</f>
        <v>#REF!</v>
      </c>
      <c r="G29" s="586" t="e">
        <f>#REF!+'Reg1(16-31)'!N46</f>
        <v>#REF!</v>
      </c>
      <c r="H29" s="586" t="e">
        <f>#REF!+'Reg1(16-31)'!O46</f>
        <v>#REF!</v>
      </c>
      <c r="I29" s="586"/>
      <c r="J29" s="586" t="e">
        <f>#REF!+'Reg1(16-31)'!Q46</f>
        <v>#REF!</v>
      </c>
      <c r="K29" s="586" t="e">
        <f>#REF!+'Reg1(16-31)'!R46</f>
        <v>#REF!</v>
      </c>
      <c r="L29" s="586" t="e">
        <f>#REF!+'Reg1(16-31)'!#REF!</f>
        <v>#REF!</v>
      </c>
      <c r="M29" s="586" t="e">
        <f>#REF!+'Reg1(16-31)'!T46</f>
        <v>#REF!</v>
      </c>
      <c r="N29" s="586">
        <v>99.73</v>
      </c>
      <c r="O29" s="586" t="e">
        <f>#REF!</f>
        <v>#REF!</v>
      </c>
      <c r="P29" s="586" t="e">
        <f>#REF!</f>
        <v>#REF!</v>
      </c>
      <c r="Q29" s="586" t="e">
        <f t="shared" si="48"/>
        <v>#REF!</v>
      </c>
      <c r="R29" s="586" t="e">
        <f>#REF!</f>
        <v>#REF!</v>
      </c>
      <c r="S29" s="586" t="e">
        <f>#REF!</f>
        <v>#REF!</v>
      </c>
      <c r="T29" s="586" t="e">
        <f t="shared" si="49"/>
        <v>#REF!</v>
      </c>
      <c r="U29" s="586" t="e">
        <f>#REF!</f>
        <v>#REF!</v>
      </c>
      <c r="V29" s="586">
        <f>'Reg1(16-31)'!X46</f>
        <v>273.5</v>
      </c>
      <c r="W29" s="586">
        <f>'Reg1(16-31)'!Y46</f>
        <v>273.5</v>
      </c>
      <c r="X29" s="586" t="e">
        <f t="shared" si="50"/>
        <v>#REF!</v>
      </c>
      <c r="Y29" s="586" t="e">
        <f>#REF!+'Reg1(16-31)'!AC46</f>
        <v>#REF!</v>
      </c>
      <c r="Z29" s="586" t="e">
        <f>#REF!+'Reg1(16-31)'!AB46</f>
        <v>#REF!</v>
      </c>
      <c r="AA29" s="586" t="e">
        <f t="shared" si="51"/>
        <v>#REF!</v>
      </c>
      <c r="AB29" s="586">
        <f>'Reg1(16-31)'!W46</f>
        <v>0</v>
      </c>
      <c r="AC29" s="586" t="e">
        <f t="shared" si="52"/>
        <v>#REF!</v>
      </c>
      <c r="AE29" s="586">
        <f t="shared" si="53"/>
        <v>9973</v>
      </c>
      <c r="AF29" s="586" t="e">
        <f t="shared" si="54"/>
        <v>#REF!</v>
      </c>
      <c r="AG29" s="586" t="e">
        <f t="shared" si="55"/>
        <v>#REF!</v>
      </c>
      <c r="AH29" s="586">
        <f t="shared" si="56"/>
        <v>9973</v>
      </c>
      <c r="AI29" s="586" t="e">
        <f t="shared" si="57"/>
        <v>#REF!</v>
      </c>
      <c r="AJ29" s="586" t="e">
        <f t="shared" si="58"/>
        <v>#REF!</v>
      </c>
    </row>
    <row r="30" spans="1:36" x14ac:dyDescent="0.2">
      <c r="A30" s="30" t="s">
        <v>448</v>
      </c>
      <c r="B30" s="576" t="s">
        <v>446</v>
      </c>
      <c r="C30" s="589" t="s">
        <v>253</v>
      </c>
      <c r="D30" s="54">
        <v>9973</v>
      </c>
      <c r="E30" s="586" t="e">
        <f>#REF!+'Reg1(16-31)'!#REF!</f>
        <v>#REF!</v>
      </c>
      <c r="F30" s="586" t="e">
        <f>#REF!+'Reg1(16-31)'!#REF!</f>
        <v>#REF!</v>
      </c>
      <c r="G30" s="586" t="e">
        <f>#REF!+'Reg1(16-31)'!#REF!</f>
        <v>#REF!</v>
      </c>
      <c r="H30" s="586" t="e">
        <f>#REF!+'Reg1(16-31)'!#REF!</f>
        <v>#REF!</v>
      </c>
      <c r="I30" s="586"/>
      <c r="J30" s="586" t="e">
        <f>#REF!+'Reg1(16-31)'!#REF!</f>
        <v>#REF!</v>
      </c>
      <c r="K30" s="586" t="e">
        <f>#REF!+'Reg1(16-31)'!#REF!</f>
        <v>#REF!</v>
      </c>
      <c r="L30" s="586" t="e">
        <f>#REF!+'Reg1(16-31)'!S46</f>
        <v>#REF!</v>
      </c>
      <c r="M30" s="586" t="e">
        <f>#REF!+'Reg1(16-31)'!#REF!</f>
        <v>#REF!</v>
      </c>
      <c r="N30" s="586">
        <v>99.73</v>
      </c>
      <c r="O30" s="586" t="e">
        <f>#REF!</f>
        <v>#REF!</v>
      </c>
      <c r="P30" s="586" t="e">
        <f>#REF!</f>
        <v>#REF!</v>
      </c>
      <c r="Q30" s="586" t="e">
        <f t="shared" si="48"/>
        <v>#REF!</v>
      </c>
      <c r="R30" s="586" t="e">
        <f>#REF!</f>
        <v>#REF!</v>
      </c>
      <c r="S30" s="586" t="e">
        <f>#REF!</f>
        <v>#REF!</v>
      </c>
      <c r="T30" s="586" t="e">
        <f t="shared" si="49"/>
        <v>#REF!</v>
      </c>
      <c r="U30" s="586" t="e">
        <f>#REF!</f>
        <v>#REF!</v>
      </c>
      <c r="V30" s="586" t="e">
        <f>'Reg1(16-31)'!#REF!</f>
        <v>#REF!</v>
      </c>
      <c r="W30" s="586" t="e">
        <f>'Reg1(16-31)'!#REF!</f>
        <v>#REF!</v>
      </c>
      <c r="X30" s="586" t="e">
        <f t="shared" si="50"/>
        <v>#REF!</v>
      </c>
      <c r="Y30" s="586" t="e">
        <f>#REF!+'Reg1(16-31)'!#REF!</f>
        <v>#REF!</v>
      </c>
      <c r="Z30" s="586" t="e">
        <f>#REF!+'Reg1(16-31)'!#REF!</f>
        <v>#REF!</v>
      </c>
      <c r="AA30" s="586" t="e">
        <f t="shared" si="51"/>
        <v>#REF!</v>
      </c>
      <c r="AB30" s="586" t="e">
        <f>'Reg1(16-31)'!#REF!</f>
        <v>#REF!</v>
      </c>
      <c r="AC30" s="586" t="e">
        <f t="shared" si="52"/>
        <v>#REF!</v>
      </c>
      <c r="AE30" s="586">
        <f t="shared" si="53"/>
        <v>9973</v>
      </c>
      <c r="AF30" s="586" t="e">
        <f t="shared" si="54"/>
        <v>#REF!</v>
      </c>
      <c r="AG30" s="586" t="e">
        <f t="shared" si="55"/>
        <v>#REF!</v>
      </c>
      <c r="AH30" s="586">
        <f t="shared" si="56"/>
        <v>9973</v>
      </c>
      <c r="AI30" s="586" t="e">
        <f t="shared" si="57"/>
        <v>#REF!</v>
      </c>
      <c r="AJ30" s="586" t="e">
        <f t="shared" si="58"/>
        <v>#REF!</v>
      </c>
    </row>
    <row r="31" spans="1:36" x14ac:dyDescent="0.2">
      <c r="A31" s="30" t="s">
        <v>449</v>
      </c>
      <c r="B31" s="576" t="s">
        <v>446</v>
      </c>
      <c r="C31" s="589" t="s">
        <v>253</v>
      </c>
      <c r="D31" s="59">
        <v>9973</v>
      </c>
      <c r="E31" s="595" t="e">
        <f>#REF!+'Reg1(16-31)'!L47</f>
        <v>#REF!</v>
      </c>
      <c r="F31" s="595" t="e">
        <f>#REF!+'Reg1(16-31)'!M47</f>
        <v>#REF!</v>
      </c>
      <c r="G31" s="595" t="e">
        <f>#REF!+'Reg1(16-31)'!N47</f>
        <v>#REF!</v>
      </c>
      <c r="H31" s="595" t="e">
        <f>#REF!+'Reg1(16-31)'!O47</f>
        <v>#REF!</v>
      </c>
      <c r="I31" s="595"/>
      <c r="J31" s="595" t="e">
        <f>#REF!+'Reg1(16-31)'!Q47</f>
        <v>#REF!</v>
      </c>
      <c r="K31" s="595" t="e">
        <f>#REF!+'Reg1(16-31)'!R47</f>
        <v>#REF!</v>
      </c>
      <c r="L31" s="595" t="e">
        <f>#REF!+'Reg1(16-31)'!S47</f>
        <v>#REF!</v>
      </c>
      <c r="M31" s="595" t="e">
        <f>#REF!+'Reg1(16-31)'!T47</f>
        <v>#REF!</v>
      </c>
      <c r="N31" s="595">
        <v>99.73</v>
      </c>
      <c r="O31" s="595" t="e">
        <f>#REF!</f>
        <v>#REF!</v>
      </c>
      <c r="P31" s="595" t="e">
        <f>#REF!</f>
        <v>#REF!</v>
      </c>
      <c r="Q31" s="586" t="e">
        <f t="shared" si="48"/>
        <v>#REF!</v>
      </c>
      <c r="R31" s="595" t="e">
        <f>#REF!</f>
        <v>#REF!</v>
      </c>
      <c r="S31" s="595" t="e">
        <f>#REF!</f>
        <v>#REF!</v>
      </c>
      <c r="T31" s="586" t="e">
        <f t="shared" si="49"/>
        <v>#REF!</v>
      </c>
      <c r="U31" s="595" t="e">
        <f>#REF!</f>
        <v>#REF!</v>
      </c>
      <c r="V31" s="595">
        <f>'Reg1(16-31)'!X47</f>
        <v>273.5</v>
      </c>
      <c r="W31" s="595">
        <f>'Reg1(16-31)'!Y47</f>
        <v>273.5</v>
      </c>
      <c r="X31" s="586" t="e">
        <f t="shared" si="50"/>
        <v>#REF!</v>
      </c>
      <c r="Y31" s="595" t="e">
        <f>#REF!+'Reg1(16-31)'!AC47</f>
        <v>#REF!</v>
      </c>
      <c r="Z31" s="595" t="e">
        <f>#REF!+'Reg1(16-31)'!AB47</f>
        <v>#REF!</v>
      </c>
      <c r="AA31" s="586" t="e">
        <f t="shared" si="51"/>
        <v>#REF!</v>
      </c>
      <c r="AB31" s="595">
        <f>'Reg1(16-31)'!W47</f>
        <v>0</v>
      </c>
      <c r="AC31" s="586" t="e">
        <f t="shared" si="52"/>
        <v>#REF!</v>
      </c>
      <c r="AE31" s="586">
        <f t="shared" si="53"/>
        <v>9973</v>
      </c>
      <c r="AF31" s="586" t="e">
        <f t="shared" si="54"/>
        <v>#REF!</v>
      </c>
      <c r="AG31" s="586" t="e">
        <f t="shared" si="55"/>
        <v>#REF!</v>
      </c>
      <c r="AH31" s="586">
        <f t="shared" si="56"/>
        <v>9973</v>
      </c>
      <c r="AI31" s="586" t="e">
        <f t="shared" si="57"/>
        <v>#REF!</v>
      </c>
      <c r="AJ31" s="586" t="e">
        <f t="shared" si="58"/>
        <v>#REF!</v>
      </c>
    </row>
    <row r="32" spans="1:36" ht="13.5" thickBot="1" x14ac:dyDescent="0.25">
      <c r="A32" s="30"/>
      <c r="B32" s="576"/>
      <c r="C32" s="586"/>
      <c r="D32" s="157">
        <f>SUM(D25:D31)</f>
        <v>122942</v>
      </c>
      <c r="E32" s="157" t="e">
        <f t="shared" ref="E32:AB32" si="59">SUM(E25:E31)</f>
        <v>#REF!</v>
      </c>
      <c r="F32" s="157" t="e">
        <f t="shared" si="59"/>
        <v>#REF!</v>
      </c>
      <c r="G32" s="157" t="e">
        <f t="shared" si="59"/>
        <v>#REF!</v>
      </c>
      <c r="H32" s="157" t="e">
        <f t="shared" si="59"/>
        <v>#REF!</v>
      </c>
      <c r="I32" s="157">
        <f t="shared" si="59"/>
        <v>0</v>
      </c>
      <c r="J32" s="157" t="e">
        <f t="shared" si="59"/>
        <v>#REF!</v>
      </c>
      <c r="K32" s="157" t="e">
        <f t="shared" si="59"/>
        <v>#REF!</v>
      </c>
      <c r="L32" s="157" t="e">
        <f t="shared" si="59"/>
        <v>#REF!</v>
      </c>
      <c r="M32" s="157" t="e">
        <f t="shared" si="59"/>
        <v>#REF!</v>
      </c>
      <c r="N32" s="157">
        <f>SUM(N27:N31)</f>
        <v>499.19000000000005</v>
      </c>
      <c r="O32" s="157" t="e">
        <f t="shared" si="59"/>
        <v>#REF!</v>
      </c>
      <c r="P32" s="157" t="e">
        <f t="shared" si="59"/>
        <v>#REF!</v>
      </c>
      <c r="Q32" s="157" t="e">
        <f t="shared" si="59"/>
        <v>#REF!</v>
      </c>
      <c r="R32" s="157" t="e">
        <f t="shared" si="59"/>
        <v>#REF!</v>
      </c>
      <c r="S32" s="157" t="e">
        <f t="shared" si="59"/>
        <v>#REF!</v>
      </c>
      <c r="T32" s="157" t="e">
        <f t="shared" si="59"/>
        <v>#REF!</v>
      </c>
      <c r="U32" s="157" t="e">
        <f t="shared" si="59"/>
        <v>#REF!</v>
      </c>
      <c r="V32" s="157" t="e">
        <f t="shared" si="59"/>
        <v>#REF!</v>
      </c>
      <c r="W32" s="157" t="e">
        <f t="shared" si="59"/>
        <v>#REF!</v>
      </c>
      <c r="X32" s="157" t="e">
        <f t="shared" si="59"/>
        <v>#REF!</v>
      </c>
      <c r="Y32" s="157" t="e">
        <f t="shared" si="59"/>
        <v>#REF!</v>
      </c>
      <c r="Z32" s="157" t="e">
        <f t="shared" si="59"/>
        <v>#REF!</v>
      </c>
      <c r="AA32" s="157" t="e">
        <f t="shared" si="59"/>
        <v>#REF!</v>
      </c>
      <c r="AB32" s="157" t="e">
        <f t="shared" si="59"/>
        <v>#REF!</v>
      </c>
      <c r="AC32" s="586"/>
      <c r="AE32" s="601">
        <f>SUM(AE25:AE31)</f>
        <v>122942</v>
      </c>
      <c r="AF32" s="586"/>
      <c r="AG32" s="586"/>
      <c r="AH32" s="586"/>
      <c r="AI32" s="586"/>
      <c r="AJ32" s="586"/>
    </row>
    <row r="33" spans="1:38" ht="13.5" thickTop="1" x14ac:dyDescent="0.2">
      <c r="A33" s="194" t="s">
        <v>68</v>
      </c>
      <c r="B33" s="576"/>
      <c r="C33" s="586"/>
      <c r="D33" s="25"/>
      <c r="E33" s="586"/>
      <c r="F33" s="586"/>
      <c r="G33" s="586"/>
      <c r="H33" s="586"/>
      <c r="I33" s="586"/>
      <c r="J33" s="586"/>
      <c r="K33" s="586"/>
      <c r="L33" s="586"/>
      <c r="M33" s="586"/>
      <c r="N33" s="586"/>
      <c r="O33" s="586"/>
      <c r="P33" s="586"/>
      <c r="Q33" s="586"/>
      <c r="R33" s="586"/>
      <c r="S33" s="586"/>
      <c r="T33" s="586"/>
      <c r="U33" s="586"/>
      <c r="V33" s="586"/>
      <c r="W33" s="586"/>
      <c r="X33" s="586"/>
      <c r="Y33" s="586"/>
      <c r="Z33" s="586"/>
      <c r="AA33" s="586"/>
      <c r="AB33" s="586">
        <f>'Reg1(16-31)'!W50</f>
        <v>0</v>
      </c>
      <c r="AC33" s="586"/>
      <c r="AE33" s="586"/>
      <c r="AF33" s="586"/>
      <c r="AG33" s="586"/>
      <c r="AH33" s="586"/>
      <c r="AI33" s="586"/>
      <c r="AJ33" s="586"/>
    </row>
    <row r="34" spans="1:38" x14ac:dyDescent="0.2">
      <c r="A34" s="30" t="s">
        <v>69</v>
      </c>
      <c r="B34" s="576" t="s">
        <v>501</v>
      </c>
      <c r="C34" s="588" t="s">
        <v>575</v>
      </c>
      <c r="D34" s="54">
        <v>72351</v>
      </c>
      <c r="E34" s="586" t="e">
        <f>#REF!+'Reg1(16-31)'!#REF!</f>
        <v>#REF!</v>
      </c>
      <c r="F34" s="586" t="e">
        <f>#REF!+'Reg1(16-31)'!#REF!</f>
        <v>#REF!</v>
      </c>
      <c r="G34" s="586" t="e">
        <f>#REF!+'Reg1(16-31)'!#REF!</f>
        <v>#REF!</v>
      </c>
      <c r="H34" s="586" t="e">
        <f>#REF!+'Reg1(16-31)'!#REF!</f>
        <v>#REF!</v>
      </c>
      <c r="I34" s="586"/>
      <c r="J34" s="586" t="e">
        <f>#REF!+'Reg1(16-31)'!#REF!</f>
        <v>#REF!</v>
      </c>
      <c r="K34" s="586" t="e">
        <f>#REF!+'Reg1(16-31)'!#REF!</f>
        <v>#REF!</v>
      </c>
      <c r="L34" s="586" t="e">
        <f>#REF!+'Reg1(16-31)'!#REF!</f>
        <v>#REF!</v>
      </c>
      <c r="M34" s="586" t="e">
        <f>#REF!+'Reg1(16-31)'!#REF!</f>
        <v>#REF!</v>
      </c>
      <c r="N34" s="586">
        <v>100</v>
      </c>
      <c r="O34" s="586" t="e">
        <f>#REF!</f>
        <v>#REF!</v>
      </c>
      <c r="P34" s="586" t="e">
        <f>#REF!</f>
        <v>#REF!</v>
      </c>
      <c r="Q34" s="586" t="e">
        <f t="shared" ref="Q34:Q38" si="60">SUM(E34:P34)</f>
        <v>#REF!</v>
      </c>
      <c r="R34" s="586" t="e">
        <f>#REF!</f>
        <v>#REF!</v>
      </c>
      <c r="S34" s="586" t="e">
        <f>#REF!</f>
        <v>#REF!</v>
      </c>
      <c r="T34" s="586" t="e">
        <f t="shared" ref="T34:T38" si="61">R34+S34</f>
        <v>#REF!</v>
      </c>
      <c r="U34" s="586" t="e">
        <f>#REF!</f>
        <v>#REF!</v>
      </c>
      <c r="V34" s="586" t="e">
        <f>'Reg1(16-31)'!#REF!</f>
        <v>#REF!</v>
      </c>
      <c r="W34" s="586" t="e">
        <f>'Reg1(16-31)'!#REF!</f>
        <v>#REF!</v>
      </c>
      <c r="X34" s="586" t="e">
        <f t="shared" ref="X34:X38" si="62">SUM(U34:W34)</f>
        <v>#REF!</v>
      </c>
      <c r="Y34" s="586" t="e">
        <f>#REF!+'Reg1(16-31)'!#REF!</f>
        <v>#REF!</v>
      </c>
      <c r="Z34" s="586" t="e">
        <f>#REF!+'Reg1(16-31)'!#REF!</f>
        <v>#REF!</v>
      </c>
      <c r="AA34" s="586" t="e">
        <f t="shared" ref="AA34:AA38" si="63">SUM(Y34:Z34)</f>
        <v>#REF!</v>
      </c>
      <c r="AB34" s="586" t="e">
        <f>'Reg1(16-31)'!#REF!</f>
        <v>#REF!</v>
      </c>
      <c r="AC34" s="586" t="e">
        <f t="shared" ref="AC34:AC38" si="64">Q34+T34+X34+AA34+AB34</f>
        <v>#REF!</v>
      </c>
      <c r="AE34" s="586">
        <f t="shared" ref="AE34:AE39" si="65">D34</f>
        <v>72351</v>
      </c>
      <c r="AF34" s="586" t="e">
        <f t="shared" ref="AF34:AF38" si="66">SUM(E34:M34)+O34+R34+U34+V34+AA34+AB34</f>
        <v>#REF!</v>
      </c>
      <c r="AG34" s="586" t="e">
        <f t="shared" ref="AG34:AG39" si="67">AE34-AF34</f>
        <v>#REF!</v>
      </c>
      <c r="AH34" s="586">
        <f t="shared" ref="AH34:AH39" si="68">AE34</f>
        <v>72351</v>
      </c>
      <c r="AI34" s="586" t="e">
        <f t="shared" ref="AI34:AI39" si="69">P34+S34+W34</f>
        <v>#REF!</v>
      </c>
      <c r="AJ34" s="586" t="e">
        <f t="shared" ref="AJ34:AJ39" si="70">AH34+AI34</f>
        <v>#REF!</v>
      </c>
    </row>
    <row r="35" spans="1:38" x14ac:dyDescent="0.2">
      <c r="A35" s="30" t="s">
        <v>70</v>
      </c>
      <c r="B35" s="576" t="s">
        <v>517</v>
      </c>
      <c r="C35" s="589" t="s">
        <v>253</v>
      </c>
      <c r="D35" s="54">
        <v>16603</v>
      </c>
      <c r="E35" s="586" t="e">
        <f>#REF!+'Reg1(16-31)'!#REF!</f>
        <v>#REF!</v>
      </c>
      <c r="F35" s="586" t="e">
        <f>#REF!+'Reg1(16-31)'!#REF!</f>
        <v>#REF!</v>
      </c>
      <c r="G35" s="586" t="e">
        <f>#REF!+'Reg1(16-31)'!#REF!</f>
        <v>#REF!</v>
      </c>
      <c r="H35" s="586" t="e">
        <f>#REF!+'Reg1(16-31)'!#REF!</f>
        <v>#REF!</v>
      </c>
      <c r="I35" s="586"/>
      <c r="J35" s="586" t="e">
        <f>#REF!+'Reg1(16-31)'!#REF!</f>
        <v>#REF!</v>
      </c>
      <c r="K35" s="586" t="e">
        <f>#REF!+'Reg1(16-31)'!#REF!</f>
        <v>#REF!</v>
      </c>
      <c r="L35" s="586" t="e">
        <f>#REF!+'Reg1(16-31)'!#REF!</f>
        <v>#REF!</v>
      </c>
      <c r="M35" s="586" t="e">
        <f>#REF!+'Reg1(16-31)'!#REF!</f>
        <v>#REF!</v>
      </c>
      <c r="N35" s="586">
        <v>100</v>
      </c>
      <c r="O35" s="586" t="e">
        <f>#REF!</f>
        <v>#REF!</v>
      </c>
      <c r="P35" s="586" t="e">
        <f>#REF!</f>
        <v>#REF!</v>
      </c>
      <c r="Q35" s="586" t="e">
        <f t="shared" si="60"/>
        <v>#REF!</v>
      </c>
      <c r="R35" s="586" t="e">
        <f>#REF!</f>
        <v>#REF!</v>
      </c>
      <c r="S35" s="586" t="e">
        <f>#REF!</f>
        <v>#REF!</v>
      </c>
      <c r="T35" s="586" t="e">
        <f t="shared" si="61"/>
        <v>#REF!</v>
      </c>
      <c r="U35" s="586" t="e">
        <f>#REF!</f>
        <v>#REF!</v>
      </c>
      <c r="V35" s="586" t="e">
        <f>'Reg1(16-31)'!#REF!</f>
        <v>#REF!</v>
      </c>
      <c r="W35" s="586" t="e">
        <f>'Reg1(16-31)'!#REF!</f>
        <v>#REF!</v>
      </c>
      <c r="X35" s="586" t="e">
        <f t="shared" si="62"/>
        <v>#REF!</v>
      </c>
      <c r="Y35" s="586" t="e">
        <f>#REF!+'Reg1(16-31)'!#REF!</f>
        <v>#REF!</v>
      </c>
      <c r="Z35" s="586" t="e">
        <f>#REF!+'Reg1(16-31)'!#REF!</f>
        <v>#REF!</v>
      </c>
      <c r="AA35" s="586" t="e">
        <f t="shared" si="63"/>
        <v>#REF!</v>
      </c>
      <c r="AB35" s="586" t="e">
        <f>'Reg1(16-31)'!#REF!</f>
        <v>#REF!</v>
      </c>
      <c r="AC35" s="586" t="e">
        <f t="shared" si="64"/>
        <v>#REF!</v>
      </c>
      <c r="AE35" s="586">
        <f t="shared" si="65"/>
        <v>16603</v>
      </c>
      <c r="AF35" s="586" t="e">
        <f t="shared" si="66"/>
        <v>#REF!</v>
      </c>
      <c r="AG35" s="586" t="e">
        <f t="shared" si="67"/>
        <v>#REF!</v>
      </c>
      <c r="AH35" s="586">
        <f t="shared" si="68"/>
        <v>16603</v>
      </c>
      <c r="AI35" s="586" t="e">
        <f t="shared" si="69"/>
        <v>#REF!</v>
      </c>
      <c r="AJ35" s="586" t="e">
        <f t="shared" si="70"/>
        <v>#REF!</v>
      </c>
    </row>
    <row r="36" spans="1:38" x14ac:dyDescent="0.2">
      <c r="A36" s="44" t="s">
        <v>274</v>
      </c>
      <c r="B36" s="576" t="s">
        <v>550</v>
      </c>
      <c r="C36" s="589" t="s">
        <v>253</v>
      </c>
      <c r="D36" s="54">
        <v>13406</v>
      </c>
      <c r="E36" s="586" t="e">
        <f>#REF!+'Reg1(16-31)'!L52</f>
        <v>#REF!</v>
      </c>
      <c r="F36" s="586" t="e">
        <f>#REF!+'Reg1(16-31)'!M52</f>
        <v>#REF!</v>
      </c>
      <c r="G36" s="586" t="e">
        <f>#REF!+'Reg1(16-31)'!N52</f>
        <v>#REF!</v>
      </c>
      <c r="H36" s="586" t="e">
        <f>#REF!+'Reg1(16-31)'!O52</f>
        <v>#REF!</v>
      </c>
      <c r="I36" s="586"/>
      <c r="J36" s="586" t="e">
        <f>#REF!+'Reg1(16-31)'!Q58</f>
        <v>#REF!</v>
      </c>
      <c r="K36" s="586" t="e">
        <f>#REF!+'Reg1(16-31)'!R52</f>
        <v>#REF!</v>
      </c>
      <c r="L36" s="586" t="e">
        <f>#REF!+'Reg1(16-31)'!S52</f>
        <v>#REF!</v>
      </c>
      <c r="M36" s="586" t="e">
        <f>#REF!+'Reg1(16-31)'!T52</f>
        <v>#REF!</v>
      </c>
      <c r="N36" s="586">
        <v>100</v>
      </c>
      <c r="O36" s="586" t="e">
        <f>#REF!</f>
        <v>#REF!</v>
      </c>
      <c r="P36" s="586" t="e">
        <f>#REF!</f>
        <v>#REF!</v>
      </c>
      <c r="Q36" s="586" t="e">
        <f t="shared" si="60"/>
        <v>#REF!</v>
      </c>
      <c r="R36" s="586" t="e">
        <f>#REF!</f>
        <v>#REF!</v>
      </c>
      <c r="S36" s="586" t="e">
        <f>#REF!</f>
        <v>#REF!</v>
      </c>
      <c r="T36" s="586" t="e">
        <f t="shared" si="61"/>
        <v>#REF!</v>
      </c>
      <c r="U36" s="586" t="e">
        <f>#REF!</f>
        <v>#REF!</v>
      </c>
      <c r="V36" s="586">
        <f>'Reg1(16-31)'!X52</f>
        <v>510.40000000000003</v>
      </c>
      <c r="W36" s="586">
        <f>'Reg1(16-31)'!Y52</f>
        <v>510.40000000000003</v>
      </c>
      <c r="X36" s="586" t="e">
        <f t="shared" si="62"/>
        <v>#REF!</v>
      </c>
      <c r="Y36" s="602" t="e">
        <f>#REF!+'Reg1(16-31)'!AC52</f>
        <v>#REF!</v>
      </c>
      <c r="Z36" s="586" t="e">
        <f>#REF!+'Reg1(16-31)'!AB52</f>
        <v>#REF!</v>
      </c>
      <c r="AA36" s="586" t="e">
        <f t="shared" si="63"/>
        <v>#REF!</v>
      </c>
      <c r="AB36" s="586">
        <f>'Reg1(16-31)'!W52</f>
        <v>186.22</v>
      </c>
      <c r="AC36" s="586" t="e">
        <f t="shared" si="64"/>
        <v>#REF!</v>
      </c>
      <c r="AE36" s="586">
        <f t="shared" si="65"/>
        <v>13406</v>
      </c>
      <c r="AF36" s="586" t="e">
        <f t="shared" si="66"/>
        <v>#REF!</v>
      </c>
      <c r="AG36" s="586" t="e">
        <f t="shared" si="67"/>
        <v>#REF!</v>
      </c>
      <c r="AH36" s="586">
        <f t="shared" si="68"/>
        <v>13406</v>
      </c>
      <c r="AI36" s="586" t="e">
        <f t="shared" si="69"/>
        <v>#REF!</v>
      </c>
      <c r="AJ36" s="586" t="e">
        <f t="shared" si="70"/>
        <v>#REF!</v>
      </c>
    </row>
    <row r="37" spans="1:38" x14ac:dyDescent="0.2">
      <c r="A37" s="44" t="s">
        <v>523</v>
      </c>
      <c r="B37" s="575" t="s">
        <v>499</v>
      </c>
      <c r="C37" s="589" t="s">
        <v>253</v>
      </c>
      <c r="D37" s="45">
        <v>10571</v>
      </c>
      <c r="E37" s="586" t="e">
        <f>#REF!+'Reg1(16-31)'!#REF!</f>
        <v>#REF!</v>
      </c>
      <c r="F37" s="586" t="e">
        <f>#REF!+'Reg1(16-31)'!#REF!</f>
        <v>#REF!</v>
      </c>
      <c r="G37" s="586" t="e">
        <f>#REF!+'Reg1(16-31)'!#REF!</f>
        <v>#REF!</v>
      </c>
      <c r="H37" s="586" t="e">
        <f>#REF!+'Reg1(16-31)'!#REF!</f>
        <v>#REF!</v>
      </c>
      <c r="I37" s="586"/>
      <c r="J37" s="586" t="e">
        <f>#REF!+'Reg1(16-31)'!#REF!</f>
        <v>#REF!</v>
      </c>
      <c r="K37" s="586" t="e">
        <f>#REF!+'Reg1(16-31)'!#REF!</f>
        <v>#REF!</v>
      </c>
      <c r="L37" s="586" t="e">
        <f>#REF!+'Reg1(16-31)'!#REF!</f>
        <v>#REF!</v>
      </c>
      <c r="M37" s="586" t="e">
        <f>#REF!+'Reg1(16-31)'!#REF!</f>
        <v>#REF!</v>
      </c>
      <c r="N37" s="586">
        <v>100</v>
      </c>
      <c r="O37" s="586" t="e">
        <f>#REF!</f>
        <v>#REF!</v>
      </c>
      <c r="P37" s="586" t="e">
        <f>#REF!</f>
        <v>#REF!</v>
      </c>
      <c r="Q37" s="586" t="e">
        <f t="shared" si="60"/>
        <v>#REF!</v>
      </c>
      <c r="R37" s="586" t="e">
        <f>#REF!</f>
        <v>#REF!</v>
      </c>
      <c r="S37" s="586" t="e">
        <f>#REF!</f>
        <v>#REF!</v>
      </c>
      <c r="T37" s="586" t="e">
        <f t="shared" si="61"/>
        <v>#REF!</v>
      </c>
      <c r="U37" s="586" t="e">
        <f>#REF!</f>
        <v>#REF!</v>
      </c>
      <c r="V37" s="586" t="e">
        <f>'Reg1(16-31)'!#REF!</f>
        <v>#REF!</v>
      </c>
      <c r="W37" s="586" t="e">
        <f>'Reg1(16-31)'!#REF!</f>
        <v>#REF!</v>
      </c>
      <c r="X37" s="586" t="e">
        <f t="shared" si="62"/>
        <v>#REF!</v>
      </c>
      <c r="Y37" s="586" t="e">
        <f>#REF!+'Reg1(16-31)'!#REF!</f>
        <v>#REF!</v>
      </c>
      <c r="Z37" s="586" t="e">
        <f>#REF!+'Reg1(16-31)'!#REF!</f>
        <v>#REF!</v>
      </c>
      <c r="AA37" s="586" t="e">
        <f t="shared" si="63"/>
        <v>#REF!</v>
      </c>
      <c r="AB37" s="586" t="e">
        <f>'Reg1(16-31)'!#REF!</f>
        <v>#REF!</v>
      </c>
      <c r="AC37" s="586" t="e">
        <f t="shared" si="64"/>
        <v>#REF!</v>
      </c>
      <c r="AE37" s="586">
        <f t="shared" si="65"/>
        <v>10571</v>
      </c>
      <c r="AF37" s="586" t="e">
        <f t="shared" si="66"/>
        <v>#REF!</v>
      </c>
      <c r="AG37" s="586" t="e">
        <f t="shared" si="67"/>
        <v>#REF!</v>
      </c>
      <c r="AH37" s="586">
        <f t="shared" si="68"/>
        <v>10571</v>
      </c>
      <c r="AI37" s="586" t="e">
        <f t="shared" si="69"/>
        <v>#REF!</v>
      </c>
      <c r="AJ37" s="586" t="e">
        <f t="shared" si="70"/>
        <v>#REF!</v>
      </c>
    </row>
    <row r="38" spans="1:38" x14ac:dyDescent="0.2">
      <c r="A38" s="44" t="s">
        <v>280</v>
      </c>
      <c r="B38" s="575" t="s">
        <v>499</v>
      </c>
      <c r="C38" s="589" t="s">
        <v>253</v>
      </c>
      <c r="D38" s="368">
        <v>10571</v>
      </c>
      <c r="E38" s="586" t="e">
        <f>#REF!+'Reg1(16-31)'!L55</f>
        <v>#REF!</v>
      </c>
      <c r="F38" s="586" t="e">
        <f>#REF!+'Reg1(16-31)'!M55</f>
        <v>#REF!</v>
      </c>
      <c r="G38" s="586" t="e">
        <f>#REF!+'Reg1(16-31)'!N55</f>
        <v>#REF!</v>
      </c>
      <c r="H38" s="586" t="e">
        <f>#REF!+'Reg1(16-31)'!O55</f>
        <v>#REF!</v>
      </c>
      <c r="I38" s="586"/>
      <c r="J38" s="586" t="e">
        <f>#REF!+'Reg1(16-31)'!Q55</f>
        <v>#REF!</v>
      </c>
      <c r="K38" s="586" t="e">
        <f>#REF!+'Reg1(16-31)'!R55</f>
        <v>#REF!</v>
      </c>
      <c r="L38" s="586" t="e">
        <f>#REF!+'Reg1(16-31)'!S55</f>
        <v>#REF!</v>
      </c>
      <c r="M38" s="586" t="e">
        <f>#REF!+'Reg1(16-31)'!T55</f>
        <v>#REF!</v>
      </c>
      <c r="N38" s="586">
        <v>100</v>
      </c>
      <c r="O38" s="586" t="e">
        <f>#REF!</f>
        <v>#REF!</v>
      </c>
      <c r="P38" s="586" t="e">
        <f>#REF!</f>
        <v>#REF!</v>
      </c>
      <c r="Q38" s="586" t="e">
        <f t="shared" si="60"/>
        <v>#REF!</v>
      </c>
      <c r="R38" s="586" t="e">
        <f>#REF!</f>
        <v>#REF!</v>
      </c>
      <c r="S38" s="586" t="e">
        <f>#REF!</f>
        <v>#REF!</v>
      </c>
      <c r="T38" s="586" t="e">
        <f t="shared" si="61"/>
        <v>#REF!</v>
      </c>
      <c r="U38" s="586" t="e">
        <f>#REF!</f>
        <v>#REF!</v>
      </c>
      <c r="V38" s="586">
        <f>'Reg1(16-31)'!X55</f>
        <v>288.28000000000003</v>
      </c>
      <c r="W38" s="586">
        <f>'Reg1(16-31)'!Y55</f>
        <v>288.28000000000003</v>
      </c>
      <c r="X38" s="586" t="e">
        <f t="shared" si="62"/>
        <v>#REF!</v>
      </c>
      <c r="Y38" s="586" t="e">
        <f>#REF!+'Reg1(16-31)'!AC55</f>
        <v>#REF!</v>
      </c>
      <c r="Z38" s="586" t="e">
        <f>#REF!+'Reg1(16-31)'!AB55</f>
        <v>#REF!</v>
      </c>
      <c r="AA38" s="586" t="e">
        <f t="shared" si="63"/>
        <v>#REF!</v>
      </c>
      <c r="AB38" s="586">
        <f>'Reg1(16-31)'!W55</f>
        <v>0</v>
      </c>
      <c r="AC38" s="586" t="e">
        <f t="shared" si="64"/>
        <v>#REF!</v>
      </c>
      <c r="AE38" s="586">
        <f t="shared" si="65"/>
        <v>10571</v>
      </c>
      <c r="AF38" s="586" t="e">
        <f t="shared" si="66"/>
        <v>#REF!</v>
      </c>
      <c r="AG38" s="586" t="e">
        <f t="shared" si="67"/>
        <v>#REF!</v>
      </c>
      <c r="AH38" s="586">
        <f t="shared" si="68"/>
        <v>10571</v>
      </c>
      <c r="AI38" s="586" t="e">
        <f t="shared" si="69"/>
        <v>#REF!</v>
      </c>
      <c r="AJ38" s="586" t="e">
        <f t="shared" si="70"/>
        <v>#REF!</v>
      </c>
    </row>
    <row r="39" spans="1:38" x14ac:dyDescent="0.2">
      <c r="A39" s="44"/>
      <c r="B39" s="572"/>
      <c r="C39" s="589"/>
      <c r="D39" s="450">
        <f>SUM(D34:D38)</f>
        <v>123502</v>
      </c>
      <c r="E39" s="450" t="e">
        <f t="shared" ref="E39:AC39" si="71">SUM(E34:E38)</f>
        <v>#REF!</v>
      </c>
      <c r="F39" s="450" t="e">
        <f t="shared" si="71"/>
        <v>#REF!</v>
      </c>
      <c r="G39" s="450" t="e">
        <f t="shared" si="71"/>
        <v>#REF!</v>
      </c>
      <c r="H39" s="450" t="e">
        <f t="shared" si="71"/>
        <v>#REF!</v>
      </c>
      <c r="I39" s="450">
        <f t="shared" si="71"/>
        <v>0</v>
      </c>
      <c r="J39" s="450" t="e">
        <f t="shared" si="71"/>
        <v>#REF!</v>
      </c>
      <c r="K39" s="450" t="e">
        <f t="shared" si="71"/>
        <v>#REF!</v>
      </c>
      <c r="L39" s="450" t="e">
        <f t="shared" si="71"/>
        <v>#REF!</v>
      </c>
      <c r="M39" s="450" t="e">
        <f t="shared" si="71"/>
        <v>#REF!</v>
      </c>
      <c r="N39" s="450">
        <f>SUM(N34:N38)</f>
        <v>500</v>
      </c>
      <c r="O39" s="450" t="e">
        <f t="shared" si="71"/>
        <v>#REF!</v>
      </c>
      <c r="P39" s="450" t="e">
        <f t="shared" si="71"/>
        <v>#REF!</v>
      </c>
      <c r="Q39" s="450" t="e">
        <f t="shared" si="71"/>
        <v>#REF!</v>
      </c>
      <c r="R39" s="450" t="e">
        <f t="shared" si="71"/>
        <v>#REF!</v>
      </c>
      <c r="S39" s="450" t="e">
        <f t="shared" si="71"/>
        <v>#REF!</v>
      </c>
      <c r="T39" s="450" t="e">
        <f t="shared" si="71"/>
        <v>#REF!</v>
      </c>
      <c r="U39" s="450" t="e">
        <f t="shared" si="71"/>
        <v>#REF!</v>
      </c>
      <c r="V39" s="450" t="e">
        <f t="shared" si="71"/>
        <v>#REF!</v>
      </c>
      <c r="W39" s="450" t="e">
        <f t="shared" si="71"/>
        <v>#REF!</v>
      </c>
      <c r="X39" s="450" t="e">
        <f t="shared" si="71"/>
        <v>#REF!</v>
      </c>
      <c r="Y39" s="450" t="e">
        <f t="shared" si="71"/>
        <v>#REF!</v>
      </c>
      <c r="Z39" s="450" t="e">
        <f t="shared" si="71"/>
        <v>#REF!</v>
      </c>
      <c r="AA39" s="450" t="e">
        <f t="shared" si="71"/>
        <v>#REF!</v>
      </c>
      <c r="AB39" s="450" t="e">
        <f t="shared" si="71"/>
        <v>#REF!</v>
      </c>
      <c r="AC39" s="450" t="e">
        <f t="shared" si="71"/>
        <v>#REF!</v>
      </c>
      <c r="AE39" s="601">
        <f t="shared" si="65"/>
        <v>123502</v>
      </c>
      <c r="AF39" s="586" t="e">
        <f t="shared" ref="AF39" si="72">AC39-W39-S39-P39</f>
        <v>#REF!</v>
      </c>
      <c r="AG39" s="586" t="e">
        <f t="shared" si="67"/>
        <v>#REF!</v>
      </c>
      <c r="AH39" s="586">
        <f t="shared" si="68"/>
        <v>123502</v>
      </c>
      <c r="AI39" s="586" t="e">
        <f t="shared" si="69"/>
        <v>#REF!</v>
      </c>
      <c r="AJ39" s="586" t="e">
        <f t="shared" si="70"/>
        <v>#REF!</v>
      </c>
    </row>
    <row r="40" spans="1:38" ht="13.5" thickBot="1" x14ac:dyDescent="0.25">
      <c r="A40" s="403" t="s">
        <v>578</v>
      </c>
      <c r="B40" s="573"/>
      <c r="C40" s="597"/>
      <c r="D40" s="157">
        <f>D39+D32+D23+D19+D15+D9</f>
        <v>622774</v>
      </c>
      <c r="E40" s="157" t="e">
        <f t="shared" ref="E40:AC40" si="73">E39+E32+E23+E19+E15+E9</f>
        <v>#REF!</v>
      </c>
      <c r="F40" s="157" t="e">
        <f t="shared" si="73"/>
        <v>#REF!</v>
      </c>
      <c r="G40" s="157" t="e">
        <f t="shared" si="73"/>
        <v>#REF!</v>
      </c>
      <c r="H40" s="157" t="e">
        <f t="shared" si="73"/>
        <v>#REF!</v>
      </c>
      <c r="I40" s="157">
        <f t="shared" si="73"/>
        <v>0</v>
      </c>
      <c r="J40" s="157" t="e">
        <f t="shared" si="73"/>
        <v>#REF!</v>
      </c>
      <c r="K40" s="157" t="e">
        <f t="shared" si="73"/>
        <v>#REF!</v>
      </c>
      <c r="L40" s="157" t="e">
        <f t="shared" si="73"/>
        <v>#REF!</v>
      </c>
      <c r="M40" s="157" t="e">
        <f t="shared" si="73"/>
        <v>#REF!</v>
      </c>
      <c r="N40" s="157">
        <f t="shared" si="73"/>
        <v>2198.92</v>
      </c>
      <c r="O40" s="157" t="e">
        <f t="shared" si="73"/>
        <v>#REF!</v>
      </c>
      <c r="P40" s="157" t="e">
        <f t="shared" si="73"/>
        <v>#REF!</v>
      </c>
      <c r="Q40" s="157" t="e">
        <f t="shared" si="73"/>
        <v>#REF!</v>
      </c>
      <c r="R40" s="157" t="e">
        <f t="shared" si="73"/>
        <v>#REF!</v>
      </c>
      <c r="S40" s="157" t="e">
        <f t="shared" si="73"/>
        <v>#REF!</v>
      </c>
      <c r="T40" s="157" t="e">
        <f t="shared" si="73"/>
        <v>#REF!</v>
      </c>
      <c r="U40" s="157" t="e">
        <f t="shared" si="73"/>
        <v>#REF!</v>
      </c>
      <c r="V40" s="157" t="e">
        <f t="shared" si="73"/>
        <v>#REF!</v>
      </c>
      <c r="W40" s="157" t="e">
        <f t="shared" si="73"/>
        <v>#REF!</v>
      </c>
      <c r="X40" s="157" t="e">
        <f t="shared" si="73"/>
        <v>#REF!</v>
      </c>
      <c r="Y40" s="157" t="e">
        <f t="shared" si="73"/>
        <v>#REF!</v>
      </c>
      <c r="Z40" s="157" t="e">
        <f t="shared" si="73"/>
        <v>#REF!</v>
      </c>
      <c r="AA40" s="157" t="e">
        <f t="shared" si="73"/>
        <v>#REF!</v>
      </c>
      <c r="AB40" s="157" t="e">
        <f t="shared" si="73"/>
        <v>#REF!</v>
      </c>
      <c r="AC40" s="157" t="e">
        <f t="shared" si="73"/>
        <v>#REF!</v>
      </c>
      <c r="AE40" s="157">
        <f>AE39+AE32+AE23+AE19+AE15+AE9</f>
        <v>622774</v>
      </c>
      <c r="AF40" s="586"/>
      <c r="AG40" s="586"/>
      <c r="AH40" s="586"/>
      <c r="AI40" s="586"/>
      <c r="AJ40" s="586"/>
    </row>
    <row r="41" spans="1:38" ht="13.5" thickTop="1" x14ac:dyDescent="0.2">
      <c r="A41" s="590"/>
      <c r="B41" s="591"/>
      <c r="C41" s="596"/>
      <c r="D41" s="58"/>
      <c r="E41" s="586"/>
      <c r="F41" s="586"/>
      <c r="G41" s="586"/>
      <c r="H41" s="586"/>
      <c r="I41" s="586"/>
      <c r="J41" s="586"/>
      <c r="K41" s="586"/>
      <c r="L41" s="586"/>
      <c r="M41" s="586"/>
      <c r="N41" s="586"/>
      <c r="O41" s="586"/>
      <c r="P41" s="586"/>
      <c r="Q41" s="586"/>
      <c r="R41" s="586"/>
      <c r="S41" s="586"/>
      <c r="T41" s="586"/>
      <c r="U41" s="586"/>
      <c r="V41" s="586"/>
      <c r="W41" s="586"/>
      <c r="X41" s="586"/>
      <c r="Y41" s="586"/>
      <c r="Z41" s="586"/>
      <c r="AA41" s="586"/>
      <c r="AB41" s="586"/>
      <c r="AC41" s="586"/>
      <c r="AE41" s="586"/>
      <c r="AF41" s="586"/>
      <c r="AG41" s="586"/>
      <c r="AH41" s="586"/>
      <c r="AI41" s="586"/>
      <c r="AJ41" s="586"/>
    </row>
    <row r="42" spans="1:38" x14ac:dyDescent="0.2">
      <c r="A42" s="245" t="s">
        <v>71</v>
      </c>
      <c r="B42" s="579"/>
      <c r="C42" s="586"/>
      <c r="D42" s="586"/>
      <c r="E42" s="586"/>
      <c r="F42" s="586"/>
      <c r="G42" s="586"/>
      <c r="H42" s="586"/>
      <c r="I42" s="586"/>
      <c r="J42" s="586"/>
      <c r="K42" s="586"/>
      <c r="L42" s="586"/>
      <c r="M42" s="586"/>
      <c r="N42" s="586"/>
      <c r="O42" s="586"/>
      <c r="P42" s="586"/>
      <c r="Q42" s="586"/>
      <c r="R42" s="586"/>
      <c r="S42" s="586"/>
      <c r="T42" s="586"/>
      <c r="U42" s="586"/>
      <c r="V42" s="586"/>
      <c r="W42" s="586"/>
      <c r="X42" s="586"/>
      <c r="Y42" s="586"/>
      <c r="Z42" s="586"/>
      <c r="AA42" s="586"/>
      <c r="AB42" s="586"/>
      <c r="AC42" s="586"/>
      <c r="AE42" s="586"/>
      <c r="AF42" s="586"/>
      <c r="AG42" s="586"/>
      <c r="AH42" s="586"/>
      <c r="AI42" s="586"/>
      <c r="AJ42" s="586"/>
    </row>
    <row r="43" spans="1:38" x14ac:dyDescent="0.2">
      <c r="A43" s="44" t="s">
        <v>72</v>
      </c>
      <c r="B43" s="576" t="s">
        <v>73</v>
      </c>
      <c r="C43" s="588" t="s">
        <v>575</v>
      </c>
      <c r="D43" s="54">
        <v>74732</v>
      </c>
      <c r="E43" s="586" t="e">
        <f>'Reg.2(1-15)'!K12+#REF!</f>
        <v>#REF!</v>
      </c>
      <c r="F43" s="586" t="e">
        <f>#REF!+#REF!</f>
        <v>#REF!</v>
      </c>
      <c r="G43" s="586" t="e">
        <f>#REF!+#REF!</f>
        <v>#REF!</v>
      </c>
      <c r="H43" s="586" t="e">
        <f>#REF!+#REF!</f>
        <v>#REF!</v>
      </c>
      <c r="I43" s="586"/>
      <c r="J43" s="586" t="e">
        <f>#REF!+#REF!</f>
        <v>#REF!</v>
      </c>
      <c r="K43" s="586" t="e">
        <f>#REF!+#REF!</f>
        <v>#REF!</v>
      </c>
      <c r="L43" s="586" t="e">
        <f>#REF!+#REF!</f>
        <v>#REF!</v>
      </c>
      <c r="M43" s="586" t="e">
        <f>#REF!+#REF!</f>
        <v>#REF!</v>
      </c>
      <c r="N43" s="586">
        <v>100</v>
      </c>
      <c r="O43" s="586" t="e">
        <f>#REF!</f>
        <v>#REF!</v>
      </c>
      <c r="P43" s="586" t="e">
        <f>#REF!</f>
        <v>#REF!</v>
      </c>
      <c r="Q43" s="586" t="e">
        <f t="shared" ref="Q43:Q52" si="74">SUM(E43:P43)</f>
        <v>#REF!</v>
      </c>
      <c r="R43" s="586" t="e">
        <f>#REF!</f>
        <v>#REF!</v>
      </c>
      <c r="S43" s="586" t="e">
        <f>#REF!</f>
        <v>#REF!</v>
      </c>
      <c r="T43" s="586" t="e">
        <f t="shared" ref="T43:T52" si="75">R43+S43</f>
        <v>#REF!</v>
      </c>
      <c r="U43" s="586" t="e">
        <f>#REF!+#REF!</f>
        <v>#REF!</v>
      </c>
      <c r="V43" s="586" t="e">
        <f>#REF!</f>
        <v>#REF!</v>
      </c>
      <c r="W43" s="586" t="e">
        <f>#REF!</f>
        <v>#REF!</v>
      </c>
      <c r="X43" s="586" t="e">
        <f t="shared" ref="X43:X52" si="76">SUM(U43:W43)</f>
        <v>#REF!</v>
      </c>
      <c r="Y43" s="586" t="e">
        <f>#REF!+#REF!</f>
        <v>#REF!</v>
      </c>
      <c r="Z43" s="586" t="e">
        <f>#REF!+#REF!</f>
        <v>#REF!</v>
      </c>
      <c r="AA43" s="586" t="e">
        <f t="shared" ref="AA43:AA52" si="77">SUM(Y43:Z43)</f>
        <v>#REF!</v>
      </c>
      <c r="AB43" s="586" t="e">
        <f>#REF!</f>
        <v>#REF!</v>
      </c>
      <c r="AC43" s="586" t="e">
        <f t="shared" ref="AC43:AC52" si="78">Q43+T43+X43+AA43+AB43</f>
        <v>#REF!</v>
      </c>
      <c r="AE43" s="586">
        <f t="shared" ref="AE43:AE52" si="79">D43</f>
        <v>74732</v>
      </c>
      <c r="AF43" s="586" t="e">
        <f t="shared" ref="AF43:AF52" si="80">SUM(E43:M43)+O43+R43+U43+V43+AA43+AB43</f>
        <v>#REF!</v>
      </c>
      <c r="AG43" s="586" t="e">
        <f t="shared" ref="AG43:AG52" si="81">AE43-AF43</f>
        <v>#REF!</v>
      </c>
      <c r="AH43" s="586">
        <f t="shared" ref="AH43:AH52" si="82">AE43</f>
        <v>74732</v>
      </c>
      <c r="AI43" s="586" t="e">
        <f t="shared" ref="AI43:AI52" si="83">P43+S43+W43</f>
        <v>#REF!</v>
      </c>
      <c r="AJ43" s="586" t="e">
        <f t="shared" ref="AJ43:AJ52" si="84">AH43+AI43</f>
        <v>#REF!</v>
      </c>
      <c r="AL43" s="566" t="e">
        <f>#REF!+#REF!</f>
        <v>#REF!</v>
      </c>
    </row>
    <row r="44" spans="1:38" x14ac:dyDescent="0.2">
      <c r="A44" s="44" t="s">
        <v>74</v>
      </c>
      <c r="B44" s="445" t="s">
        <v>161</v>
      </c>
      <c r="C44" s="589" t="s">
        <v>253</v>
      </c>
      <c r="D44" s="54">
        <v>16310</v>
      </c>
      <c r="E44" s="586" t="e">
        <f>'Reg.2(1-15)'!K13+#REF!</f>
        <v>#REF!</v>
      </c>
      <c r="F44" s="586" t="e">
        <f>#REF!+#REF!</f>
        <v>#REF!</v>
      </c>
      <c r="G44" s="586" t="e">
        <f>#REF!+#REF!</f>
        <v>#REF!</v>
      </c>
      <c r="H44" s="586" t="e">
        <f>#REF!+#REF!</f>
        <v>#REF!</v>
      </c>
      <c r="I44" s="586"/>
      <c r="J44" s="586" t="e">
        <f>#REF!+#REF!</f>
        <v>#REF!</v>
      </c>
      <c r="K44" s="586" t="e">
        <f>#REF!+#REF!</f>
        <v>#REF!</v>
      </c>
      <c r="L44" s="586" t="e">
        <f>#REF!+#REF!</f>
        <v>#REF!</v>
      </c>
      <c r="M44" s="586" t="e">
        <f>#REF!+#REF!</f>
        <v>#REF!</v>
      </c>
      <c r="N44" s="586">
        <v>100</v>
      </c>
      <c r="O44" s="586" t="e">
        <f>#REF!</f>
        <v>#REF!</v>
      </c>
      <c r="P44" s="586" t="e">
        <f>#REF!</f>
        <v>#REF!</v>
      </c>
      <c r="Q44" s="586" t="e">
        <f t="shared" si="74"/>
        <v>#REF!</v>
      </c>
      <c r="R44" s="586" t="e">
        <f>#REF!</f>
        <v>#REF!</v>
      </c>
      <c r="S44" s="586" t="e">
        <f>#REF!</f>
        <v>#REF!</v>
      </c>
      <c r="T44" s="586" t="e">
        <f t="shared" si="75"/>
        <v>#REF!</v>
      </c>
      <c r="U44" s="586" t="e">
        <f>#REF!+#REF!</f>
        <v>#REF!</v>
      </c>
      <c r="V44" s="586" t="e">
        <f>#REF!</f>
        <v>#REF!</v>
      </c>
      <c r="W44" s="586" t="e">
        <f>#REF!</f>
        <v>#REF!</v>
      </c>
      <c r="X44" s="586" t="e">
        <f t="shared" si="76"/>
        <v>#REF!</v>
      </c>
      <c r="Y44" s="602" t="e">
        <f>#REF!+#REF!</f>
        <v>#REF!</v>
      </c>
      <c r="Z44" s="586" t="e">
        <f>#REF!+#REF!</f>
        <v>#REF!</v>
      </c>
      <c r="AA44" s="586" t="e">
        <f t="shared" si="77"/>
        <v>#REF!</v>
      </c>
      <c r="AB44" s="586"/>
      <c r="AC44" s="586" t="e">
        <f t="shared" si="78"/>
        <v>#REF!</v>
      </c>
      <c r="AE44" s="586">
        <f t="shared" si="79"/>
        <v>16310</v>
      </c>
      <c r="AF44" s="586" t="e">
        <f t="shared" si="80"/>
        <v>#REF!</v>
      </c>
      <c r="AG44" s="586" t="e">
        <f t="shared" si="81"/>
        <v>#REF!</v>
      </c>
      <c r="AH44" s="586">
        <f t="shared" si="82"/>
        <v>16310</v>
      </c>
      <c r="AI44" s="586" t="e">
        <f t="shared" si="83"/>
        <v>#REF!</v>
      </c>
      <c r="AJ44" s="586" t="e">
        <f t="shared" si="84"/>
        <v>#REF!</v>
      </c>
      <c r="AL44" s="566" t="e">
        <f>#REF!+#REF!</f>
        <v>#REF!</v>
      </c>
    </row>
    <row r="45" spans="1:38" x14ac:dyDescent="0.2">
      <c r="A45" s="44" t="s">
        <v>75</v>
      </c>
      <c r="B45" s="445" t="s">
        <v>161</v>
      </c>
      <c r="C45" s="589" t="s">
        <v>253</v>
      </c>
      <c r="D45" s="54">
        <v>15907</v>
      </c>
      <c r="E45" s="586" t="e">
        <f>'Reg.2(1-15)'!K15+#REF!</f>
        <v>#REF!</v>
      </c>
      <c r="F45" s="586" t="e">
        <f>#REF!+#REF!</f>
        <v>#REF!</v>
      </c>
      <c r="G45" s="586" t="e">
        <f>#REF!+#REF!</f>
        <v>#REF!</v>
      </c>
      <c r="H45" s="586" t="e">
        <f>#REF!+#REF!</f>
        <v>#REF!</v>
      </c>
      <c r="I45" s="586"/>
      <c r="J45" s="586" t="e">
        <f>#REF!+#REF!</f>
        <v>#REF!</v>
      </c>
      <c r="K45" s="586" t="e">
        <f>#REF!+#REF!</f>
        <v>#REF!</v>
      </c>
      <c r="L45" s="586" t="e">
        <f>#REF!+#REF!</f>
        <v>#REF!</v>
      </c>
      <c r="M45" s="586" t="e">
        <f>#REF!+#REF!</f>
        <v>#REF!</v>
      </c>
      <c r="N45" s="586">
        <v>100</v>
      </c>
      <c r="O45" s="586" t="e">
        <f>#REF!</f>
        <v>#REF!</v>
      </c>
      <c r="P45" s="586" t="e">
        <f>#REF!</f>
        <v>#REF!</v>
      </c>
      <c r="Q45" s="586" t="e">
        <f t="shared" si="74"/>
        <v>#REF!</v>
      </c>
      <c r="R45" s="586" t="e">
        <f>#REF!</f>
        <v>#REF!</v>
      </c>
      <c r="S45" s="586" t="e">
        <f>#REF!</f>
        <v>#REF!</v>
      </c>
      <c r="T45" s="586" t="e">
        <f t="shared" si="75"/>
        <v>#REF!</v>
      </c>
      <c r="U45" s="586" t="e">
        <f>#REF!+#REF!</f>
        <v>#REF!</v>
      </c>
      <c r="V45" s="586" t="e">
        <f>#REF!</f>
        <v>#REF!</v>
      </c>
      <c r="W45" s="586" t="e">
        <f>#REF!</f>
        <v>#REF!</v>
      </c>
      <c r="X45" s="586" t="e">
        <f t="shared" si="76"/>
        <v>#REF!</v>
      </c>
      <c r="Y45" s="602" t="e">
        <f>#REF!+#REF!</f>
        <v>#REF!</v>
      </c>
      <c r="Z45" s="586" t="e">
        <f>#REF!+#REF!</f>
        <v>#REF!</v>
      </c>
      <c r="AA45" s="586" t="e">
        <f t="shared" si="77"/>
        <v>#REF!</v>
      </c>
      <c r="AB45" s="586"/>
      <c r="AC45" s="586" t="e">
        <f t="shared" si="78"/>
        <v>#REF!</v>
      </c>
      <c r="AE45" s="586">
        <f t="shared" si="79"/>
        <v>15907</v>
      </c>
      <c r="AF45" s="586" t="e">
        <f t="shared" si="80"/>
        <v>#REF!</v>
      </c>
      <c r="AG45" s="586" t="e">
        <f t="shared" si="81"/>
        <v>#REF!</v>
      </c>
      <c r="AH45" s="586">
        <f t="shared" si="82"/>
        <v>15907</v>
      </c>
      <c r="AI45" s="586" t="e">
        <f t="shared" si="83"/>
        <v>#REF!</v>
      </c>
      <c r="AJ45" s="586" t="e">
        <f t="shared" si="84"/>
        <v>#REF!</v>
      </c>
      <c r="AL45" s="566" t="e">
        <f>#REF!+#REF!</f>
        <v>#REF!</v>
      </c>
    </row>
    <row r="46" spans="1:38" x14ac:dyDescent="0.2">
      <c r="A46" s="30" t="s">
        <v>519</v>
      </c>
      <c r="B46" s="574" t="s">
        <v>499</v>
      </c>
      <c r="C46" s="589" t="s">
        <v>253</v>
      </c>
      <c r="D46" s="45">
        <v>10571</v>
      </c>
      <c r="E46" s="586" t="e">
        <f>'Reg.2(1-15)'!K17+#REF!</f>
        <v>#REF!</v>
      </c>
      <c r="F46" s="586" t="e">
        <f>#REF!+#REF!</f>
        <v>#REF!</v>
      </c>
      <c r="G46" s="586" t="e">
        <f>#REF!+#REF!</f>
        <v>#REF!</v>
      </c>
      <c r="H46" s="586" t="e">
        <f>#REF!+#REF!</f>
        <v>#REF!</v>
      </c>
      <c r="I46" s="586"/>
      <c r="J46" s="586" t="e">
        <f>#REF!+#REF!</f>
        <v>#REF!</v>
      </c>
      <c r="K46" s="586" t="e">
        <f>#REF!+#REF!</f>
        <v>#REF!</v>
      </c>
      <c r="L46" s="586" t="e">
        <f>#REF!+#REF!</f>
        <v>#REF!</v>
      </c>
      <c r="M46" s="586" t="e">
        <f>#REF!+#REF!</f>
        <v>#REF!</v>
      </c>
      <c r="N46" s="586">
        <v>100</v>
      </c>
      <c r="O46" s="586" t="e">
        <f>#REF!</f>
        <v>#REF!</v>
      </c>
      <c r="P46" s="586" t="e">
        <f>#REF!</f>
        <v>#REF!</v>
      </c>
      <c r="Q46" s="586" t="e">
        <f t="shared" si="74"/>
        <v>#REF!</v>
      </c>
      <c r="R46" s="586" t="e">
        <f>#REF!</f>
        <v>#REF!</v>
      </c>
      <c r="S46" s="586" t="e">
        <f>#REF!</f>
        <v>#REF!</v>
      </c>
      <c r="T46" s="586" t="e">
        <f t="shared" si="75"/>
        <v>#REF!</v>
      </c>
      <c r="U46" s="586" t="e">
        <f>#REF!+#REF!</f>
        <v>#REF!</v>
      </c>
      <c r="V46" s="586" t="e">
        <f>#REF!</f>
        <v>#REF!</v>
      </c>
      <c r="W46" s="586" t="e">
        <f>#REF!</f>
        <v>#REF!</v>
      </c>
      <c r="X46" s="586" t="e">
        <f t="shared" si="76"/>
        <v>#REF!</v>
      </c>
      <c r="Y46" s="586" t="e">
        <f>#REF!+#REF!</f>
        <v>#REF!</v>
      </c>
      <c r="Z46" s="586" t="e">
        <f>#REF!+#REF!</f>
        <v>#REF!</v>
      </c>
      <c r="AA46" s="586" t="e">
        <f t="shared" si="77"/>
        <v>#REF!</v>
      </c>
      <c r="AB46" s="586"/>
      <c r="AC46" s="586" t="e">
        <f t="shared" si="78"/>
        <v>#REF!</v>
      </c>
      <c r="AE46" s="586">
        <f t="shared" si="79"/>
        <v>10571</v>
      </c>
      <c r="AF46" s="586" t="e">
        <f t="shared" si="80"/>
        <v>#REF!</v>
      </c>
      <c r="AG46" s="586" t="e">
        <f t="shared" si="81"/>
        <v>#REF!</v>
      </c>
      <c r="AH46" s="586">
        <f t="shared" si="82"/>
        <v>10571</v>
      </c>
      <c r="AI46" s="586" t="e">
        <f t="shared" si="83"/>
        <v>#REF!</v>
      </c>
      <c r="AJ46" s="586" t="e">
        <f t="shared" si="84"/>
        <v>#REF!</v>
      </c>
      <c r="AL46" s="566" t="e">
        <f>#REF!+#REF!</f>
        <v>#REF!</v>
      </c>
    </row>
    <row r="47" spans="1:38" x14ac:dyDescent="0.2">
      <c r="A47" s="44" t="s">
        <v>268</v>
      </c>
      <c r="B47" s="574" t="s">
        <v>499</v>
      </c>
      <c r="C47" s="589" t="s">
        <v>253</v>
      </c>
      <c r="D47" s="45">
        <v>10571</v>
      </c>
      <c r="E47" s="586" t="e">
        <f>'Reg.2(1-15)'!K20+#REF!</f>
        <v>#REF!</v>
      </c>
      <c r="F47" s="586" t="e">
        <f>#REF!+#REF!</f>
        <v>#REF!</v>
      </c>
      <c r="G47" s="586" t="e">
        <f>#REF!+#REF!</f>
        <v>#REF!</v>
      </c>
      <c r="H47" s="586" t="e">
        <f>#REF!+#REF!</f>
        <v>#REF!</v>
      </c>
      <c r="I47" s="586"/>
      <c r="J47" s="586" t="e">
        <f>#REF!+#REF!</f>
        <v>#REF!</v>
      </c>
      <c r="K47" s="586" t="e">
        <f>#REF!+#REF!</f>
        <v>#REF!</v>
      </c>
      <c r="L47" s="586" t="e">
        <f>#REF!+#REF!</f>
        <v>#REF!</v>
      </c>
      <c r="M47" s="586" t="e">
        <f>#REF!+#REF!</f>
        <v>#REF!</v>
      </c>
      <c r="N47" s="586">
        <v>100</v>
      </c>
      <c r="O47" s="586" t="e">
        <f>#REF!</f>
        <v>#REF!</v>
      </c>
      <c r="P47" s="586" t="e">
        <f>#REF!</f>
        <v>#REF!</v>
      </c>
      <c r="Q47" s="586" t="e">
        <f t="shared" si="74"/>
        <v>#REF!</v>
      </c>
      <c r="R47" s="586" t="e">
        <f>#REF!</f>
        <v>#REF!</v>
      </c>
      <c r="S47" s="586" t="e">
        <f>#REF!</f>
        <v>#REF!</v>
      </c>
      <c r="T47" s="586" t="e">
        <f t="shared" si="75"/>
        <v>#REF!</v>
      </c>
      <c r="U47" s="586" t="e">
        <f>#REF!+#REF!</f>
        <v>#REF!</v>
      </c>
      <c r="V47" s="586" t="e">
        <f>#REF!</f>
        <v>#REF!</v>
      </c>
      <c r="W47" s="586" t="e">
        <f>#REF!</f>
        <v>#REF!</v>
      </c>
      <c r="X47" s="586" t="e">
        <f t="shared" si="76"/>
        <v>#REF!</v>
      </c>
      <c r="Y47" s="586" t="e">
        <f>#REF!+#REF!</f>
        <v>#REF!</v>
      </c>
      <c r="Z47" s="586" t="e">
        <f>#REF!+#REF!</f>
        <v>#REF!</v>
      </c>
      <c r="AA47" s="586" t="e">
        <f t="shared" si="77"/>
        <v>#REF!</v>
      </c>
      <c r="AB47" s="586"/>
      <c r="AC47" s="586" t="e">
        <f t="shared" si="78"/>
        <v>#REF!</v>
      </c>
      <c r="AE47" s="586">
        <f t="shared" si="79"/>
        <v>10571</v>
      </c>
      <c r="AF47" s="586" t="e">
        <f t="shared" si="80"/>
        <v>#REF!</v>
      </c>
      <c r="AG47" s="586" t="e">
        <f t="shared" si="81"/>
        <v>#REF!</v>
      </c>
      <c r="AH47" s="586">
        <f t="shared" si="82"/>
        <v>10571</v>
      </c>
      <c r="AI47" s="586" t="e">
        <f t="shared" si="83"/>
        <v>#REF!</v>
      </c>
      <c r="AJ47" s="586" t="e">
        <f t="shared" si="84"/>
        <v>#REF!</v>
      </c>
      <c r="AL47" s="566" t="e">
        <f>#REF!+#REF!</f>
        <v>#REF!</v>
      </c>
    </row>
    <row r="48" spans="1:38" x14ac:dyDescent="0.2">
      <c r="A48" s="44" t="s">
        <v>520</v>
      </c>
      <c r="B48" s="574" t="s">
        <v>499</v>
      </c>
      <c r="C48" s="589" t="s">
        <v>253</v>
      </c>
      <c r="D48" s="45">
        <v>10571</v>
      </c>
      <c r="E48" s="586" t="e">
        <f>'Reg.2(1-15)'!#REF!+#REF!</f>
        <v>#REF!</v>
      </c>
      <c r="F48" s="586" t="e">
        <f>#REF!+#REF!</f>
        <v>#REF!</v>
      </c>
      <c r="G48" s="586" t="e">
        <f>#REF!+#REF!</f>
        <v>#REF!</v>
      </c>
      <c r="H48" s="586" t="e">
        <f>#REF!+#REF!</f>
        <v>#REF!</v>
      </c>
      <c r="I48" s="586"/>
      <c r="J48" s="586" t="e">
        <f>#REF!+#REF!</f>
        <v>#REF!</v>
      </c>
      <c r="K48" s="586" t="e">
        <f>#REF!+#REF!</f>
        <v>#REF!</v>
      </c>
      <c r="L48" s="586" t="e">
        <f>#REF!+#REF!</f>
        <v>#REF!</v>
      </c>
      <c r="M48" s="586" t="e">
        <f>#REF!+#REF!</f>
        <v>#REF!</v>
      </c>
      <c r="N48" s="586">
        <v>100</v>
      </c>
      <c r="O48" s="586" t="e">
        <f>#REF!</f>
        <v>#REF!</v>
      </c>
      <c r="P48" s="586" t="e">
        <f>#REF!</f>
        <v>#REF!</v>
      </c>
      <c r="Q48" s="586" t="e">
        <f t="shared" si="74"/>
        <v>#REF!</v>
      </c>
      <c r="R48" s="586" t="e">
        <f>#REF!</f>
        <v>#REF!</v>
      </c>
      <c r="S48" s="586" t="e">
        <f>#REF!</f>
        <v>#REF!</v>
      </c>
      <c r="T48" s="586" t="e">
        <f t="shared" si="75"/>
        <v>#REF!</v>
      </c>
      <c r="U48" s="586" t="e">
        <f>#REF!+#REF!</f>
        <v>#REF!</v>
      </c>
      <c r="V48" s="586" t="e">
        <f>#REF!</f>
        <v>#REF!</v>
      </c>
      <c r="W48" s="586" t="e">
        <f>#REF!</f>
        <v>#REF!</v>
      </c>
      <c r="X48" s="586" t="e">
        <f t="shared" si="76"/>
        <v>#REF!</v>
      </c>
      <c r="Y48" s="586" t="e">
        <f>#REF!+#REF!</f>
        <v>#REF!</v>
      </c>
      <c r="Z48" s="586" t="e">
        <f>#REF!+#REF!</f>
        <v>#REF!</v>
      </c>
      <c r="AA48" s="586" t="e">
        <f t="shared" si="77"/>
        <v>#REF!</v>
      </c>
      <c r="AB48" s="586"/>
      <c r="AC48" s="586" t="e">
        <f t="shared" si="78"/>
        <v>#REF!</v>
      </c>
      <c r="AE48" s="586">
        <f t="shared" si="79"/>
        <v>10571</v>
      </c>
      <c r="AF48" s="586" t="e">
        <f t="shared" si="80"/>
        <v>#REF!</v>
      </c>
      <c r="AG48" s="586" t="e">
        <f t="shared" si="81"/>
        <v>#REF!</v>
      </c>
      <c r="AH48" s="586">
        <f t="shared" si="82"/>
        <v>10571</v>
      </c>
      <c r="AI48" s="586" t="e">
        <f t="shared" si="83"/>
        <v>#REF!</v>
      </c>
      <c r="AJ48" s="586" t="e">
        <f t="shared" si="84"/>
        <v>#REF!</v>
      </c>
      <c r="AL48" s="566" t="e">
        <f>#REF!+#REF!</f>
        <v>#REF!</v>
      </c>
    </row>
    <row r="49" spans="1:38" x14ac:dyDescent="0.2">
      <c r="A49" s="44" t="s">
        <v>528</v>
      </c>
      <c r="B49" s="574" t="s">
        <v>499</v>
      </c>
      <c r="C49" s="589" t="s">
        <v>253</v>
      </c>
      <c r="D49" s="45">
        <v>10571</v>
      </c>
      <c r="E49" s="586" t="e">
        <f>'Reg.2(1-15)'!K14+#REF!</f>
        <v>#REF!</v>
      </c>
      <c r="F49" s="586" t="e">
        <f>#REF!+#REF!</f>
        <v>#REF!</v>
      </c>
      <c r="G49" s="586" t="e">
        <f>#REF!+#REF!</f>
        <v>#REF!</v>
      </c>
      <c r="H49" s="586" t="e">
        <f>#REF!+#REF!</f>
        <v>#REF!</v>
      </c>
      <c r="I49" s="586"/>
      <c r="J49" s="586" t="e">
        <f>#REF!+#REF!</f>
        <v>#REF!</v>
      </c>
      <c r="K49" s="586" t="e">
        <f>#REF!+#REF!</f>
        <v>#REF!</v>
      </c>
      <c r="L49" s="586" t="e">
        <f>#REF!+#REF!</f>
        <v>#REF!</v>
      </c>
      <c r="M49" s="586" t="e">
        <f>#REF!+#REF!</f>
        <v>#REF!</v>
      </c>
      <c r="N49" s="586">
        <v>100</v>
      </c>
      <c r="O49" s="586" t="e">
        <f>#REF!</f>
        <v>#REF!</v>
      </c>
      <c r="P49" s="586" t="e">
        <f>#REF!</f>
        <v>#REF!</v>
      </c>
      <c r="Q49" s="586" t="e">
        <f t="shared" si="74"/>
        <v>#REF!</v>
      </c>
      <c r="R49" s="586" t="e">
        <f>#REF!</f>
        <v>#REF!</v>
      </c>
      <c r="S49" s="586" t="e">
        <f>#REF!</f>
        <v>#REF!</v>
      </c>
      <c r="T49" s="586" t="e">
        <f t="shared" si="75"/>
        <v>#REF!</v>
      </c>
      <c r="U49" s="586" t="e">
        <f>#REF!+#REF!</f>
        <v>#REF!</v>
      </c>
      <c r="V49" s="586" t="e">
        <f>#REF!</f>
        <v>#REF!</v>
      </c>
      <c r="W49" s="586" t="e">
        <f>#REF!</f>
        <v>#REF!</v>
      </c>
      <c r="X49" s="586" t="e">
        <f t="shared" si="76"/>
        <v>#REF!</v>
      </c>
      <c r="Y49" s="586" t="e">
        <f>#REF!+#REF!</f>
        <v>#REF!</v>
      </c>
      <c r="Z49" s="586" t="e">
        <f>#REF!+#REF!</f>
        <v>#REF!</v>
      </c>
      <c r="AA49" s="586" t="e">
        <f t="shared" si="77"/>
        <v>#REF!</v>
      </c>
      <c r="AB49" s="586"/>
      <c r="AC49" s="586" t="e">
        <f t="shared" si="78"/>
        <v>#REF!</v>
      </c>
      <c r="AE49" s="586">
        <f t="shared" si="79"/>
        <v>10571</v>
      </c>
      <c r="AF49" s="586" t="e">
        <f t="shared" si="80"/>
        <v>#REF!</v>
      </c>
      <c r="AG49" s="586" t="e">
        <f t="shared" si="81"/>
        <v>#REF!</v>
      </c>
      <c r="AH49" s="586">
        <f t="shared" si="82"/>
        <v>10571</v>
      </c>
      <c r="AI49" s="586" t="e">
        <f t="shared" si="83"/>
        <v>#REF!</v>
      </c>
      <c r="AJ49" s="586" t="e">
        <f t="shared" si="84"/>
        <v>#REF!</v>
      </c>
      <c r="AL49" s="566" t="e">
        <f>#REF!+#REF!</f>
        <v>#REF!</v>
      </c>
    </row>
    <row r="50" spans="1:38" x14ac:dyDescent="0.2">
      <c r="A50" s="44" t="s">
        <v>450</v>
      </c>
      <c r="B50" s="445" t="s">
        <v>446</v>
      </c>
      <c r="C50" s="589" t="s">
        <v>253</v>
      </c>
      <c r="D50" s="54">
        <v>9973</v>
      </c>
      <c r="E50" s="586" t="e">
        <f>'Reg.2(1-15)'!K21+#REF!</f>
        <v>#REF!</v>
      </c>
      <c r="F50" s="586" t="e">
        <f>#REF!+#REF!</f>
        <v>#REF!</v>
      </c>
      <c r="G50" s="586" t="e">
        <f>#REF!+#REF!</f>
        <v>#REF!</v>
      </c>
      <c r="H50" s="586" t="e">
        <f>#REF!+#REF!</f>
        <v>#REF!</v>
      </c>
      <c r="I50" s="586"/>
      <c r="J50" s="586" t="e">
        <f>#REF!+#REF!</f>
        <v>#REF!</v>
      </c>
      <c r="K50" s="586" t="e">
        <f>#REF!+#REF!</f>
        <v>#REF!</v>
      </c>
      <c r="L50" s="586" t="e">
        <f>#REF!+#REF!</f>
        <v>#REF!</v>
      </c>
      <c r="M50" s="586" t="e">
        <f>#REF!+#REF!</f>
        <v>#REF!</v>
      </c>
      <c r="N50" s="586">
        <v>99.73</v>
      </c>
      <c r="O50" s="586" t="e">
        <f>#REF!</f>
        <v>#REF!</v>
      </c>
      <c r="P50" s="586" t="e">
        <f>#REF!</f>
        <v>#REF!</v>
      </c>
      <c r="Q50" s="586" t="e">
        <f t="shared" si="74"/>
        <v>#REF!</v>
      </c>
      <c r="R50" s="586" t="e">
        <f>#REF!</f>
        <v>#REF!</v>
      </c>
      <c r="S50" s="586" t="e">
        <f>#REF!</f>
        <v>#REF!</v>
      </c>
      <c r="T50" s="586" t="e">
        <f t="shared" si="75"/>
        <v>#REF!</v>
      </c>
      <c r="U50" s="586" t="e">
        <f>#REF!+#REF!</f>
        <v>#REF!</v>
      </c>
      <c r="V50" s="586" t="e">
        <f>#REF!</f>
        <v>#REF!</v>
      </c>
      <c r="W50" s="586" t="e">
        <f>#REF!</f>
        <v>#REF!</v>
      </c>
      <c r="X50" s="586" t="e">
        <f t="shared" si="76"/>
        <v>#REF!</v>
      </c>
      <c r="Y50" s="586" t="e">
        <f>#REF!+#REF!</f>
        <v>#REF!</v>
      </c>
      <c r="Z50" s="586" t="e">
        <f>#REF!+#REF!</f>
        <v>#REF!</v>
      </c>
      <c r="AA50" s="586" t="e">
        <f t="shared" si="77"/>
        <v>#REF!</v>
      </c>
      <c r="AB50" s="586"/>
      <c r="AC50" s="586" t="e">
        <f t="shared" si="78"/>
        <v>#REF!</v>
      </c>
      <c r="AE50" s="586">
        <f t="shared" si="79"/>
        <v>9973</v>
      </c>
      <c r="AF50" s="586" t="e">
        <f t="shared" si="80"/>
        <v>#REF!</v>
      </c>
      <c r="AG50" s="586" t="e">
        <f t="shared" si="81"/>
        <v>#REF!</v>
      </c>
      <c r="AH50" s="586">
        <f t="shared" si="82"/>
        <v>9973</v>
      </c>
      <c r="AI50" s="586" t="e">
        <f t="shared" si="83"/>
        <v>#REF!</v>
      </c>
      <c r="AJ50" s="586" t="e">
        <f t="shared" si="84"/>
        <v>#REF!</v>
      </c>
      <c r="AL50" s="566" t="e">
        <f>#REF!+#REF!</f>
        <v>#REF!</v>
      </c>
    </row>
    <row r="51" spans="1:38" x14ac:dyDescent="0.2">
      <c r="A51" s="44" t="s">
        <v>483</v>
      </c>
      <c r="B51" s="445" t="s">
        <v>446</v>
      </c>
      <c r="C51" s="589" t="s">
        <v>253</v>
      </c>
      <c r="D51" s="54">
        <v>9973</v>
      </c>
      <c r="E51" s="586" t="e">
        <f>'Reg.2(1-15)'!K16+#REF!</f>
        <v>#REF!</v>
      </c>
      <c r="F51" s="586" t="e">
        <f>#REF!+#REF!</f>
        <v>#REF!</v>
      </c>
      <c r="G51" s="586" t="e">
        <f>#REF!+#REF!</f>
        <v>#REF!</v>
      </c>
      <c r="H51" s="586" t="e">
        <f>#REF!+#REF!</f>
        <v>#REF!</v>
      </c>
      <c r="I51" s="586"/>
      <c r="J51" s="586" t="e">
        <f>#REF!+#REF!</f>
        <v>#REF!</v>
      </c>
      <c r="K51" s="586" t="e">
        <f>#REF!+#REF!</f>
        <v>#REF!</v>
      </c>
      <c r="L51" s="586" t="e">
        <f>#REF!+#REF!</f>
        <v>#REF!</v>
      </c>
      <c r="M51" s="586" t="e">
        <f>#REF!+#REF!</f>
        <v>#REF!</v>
      </c>
      <c r="N51" s="586">
        <v>99.73</v>
      </c>
      <c r="O51" s="586" t="e">
        <f>#REF!</f>
        <v>#REF!</v>
      </c>
      <c r="P51" s="586" t="e">
        <f>#REF!</f>
        <v>#REF!</v>
      </c>
      <c r="Q51" s="586" t="e">
        <f t="shared" si="74"/>
        <v>#REF!</v>
      </c>
      <c r="R51" s="586" t="e">
        <f>#REF!</f>
        <v>#REF!</v>
      </c>
      <c r="S51" s="586" t="e">
        <f>#REF!</f>
        <v>#REF!</v>
      </c>
      <c r="T51" s="586" t="e">
        <f t="shared" si="75"/>
        <v>#REF!</v>
      </c>
      <c r="U51" s="586" t="e">
        <f>#REF!+#REF!</f>
        <v>#REF!</v>
      </c>
      <c r="V51" s="586" t="e">
        <f>#REF!</f>
        <v>#REF!</v>
      </c>
      <c r="W51" s="586" t="e">
        <f>#REF!</f>
        <v>#REF!</v>
      </c>
      <c r="X51" s="586" t="e">
        <f t="shared" si="76"/>
        <v>#REF!</v>
      </c>
      <c r="Y51" s="602" t="e">
        <f>#REF!+#REF!</f>
        <v>#REF!</v>
      </c>
      <c r="Z51" s="586" t="e">
        <f>#REF!+#REF!</f>
        <v>#REF!</v>
      </c>
      <c r="AA51" s="586" t="e">
        <f t="shared" si="77"/>
        <v>#REF!</v>
      </c>
      <c r="AB51" s="586"/>
      <c r="AC51" s="586" t="e">
        <f t="shared" si="78"/>
        <v>#REF!</v>
      </c>
      <c r="AE51" s="586">
        <f t="shared" si="79"/>
        <v>9973</v>
      </c>
      <c r="AF51" s="586" t="e">
        <f t="shared" si="80"/>
        <v>#REF!</v>
      </c>
      <c r="AG51" s="586" t="e">
        <f t="shared" si="81"/>
        <v>#REF!</v>
      </c>
      <c r="AH51" s="586">
        <f t="shared" si="82"/>
        <v>9973</v>
      </c>
      <c r="AI51" s="586" t="e">
        <f t="shared" si="83"/>
        <v>#REF!</v>
      </c>
      <c r="AJ51" s="586" t="e">
        <f t="shared" si="84"/>
        <v>#REF!</v>
      </c>
      <c r="AL51" s="566" t="e">
        <f>#REF!+#REF!</f>
        <v>#REF!</v>
      </c>
    </row>
    <row r="52" spans="1:38" ht="13.5" thickBot="1" x14ac:dyDescent="0.25">
      <c r="A52" s="44" t="s">
        <v>484</v>
      </c>
      <c r="B52" s="445" t="s">
        <v>446</v>
      </c>
      <c r="C52" s="589" t="s">
        <v>253</v>
      </c>
      <c r="D52" s="470">
        <v>9973</v>
      </c>
      <c r="E52" s="595" t="e">
        <f>'Reg.2(1-15)'!K22+#REF!</f>
        <v>#REF!</v>
      </c>
      <c r="F52" s="595" t="e">
        <f>#REF!+#REF!</f>
        <v>#REF!</v>
      </c>
      <c r="G52" s="595" t="e">
        <f>#REF!+#REF!</f>
        <v>#REF!</v>
      </c>
      <c r="H52" s="595" t="e">
        <f>#REF!+#REF!</f>
        <v>#REF!</v>
      </c>
      <c r="I52" s="595"/>
      <c r="J52" s="595" t="e">
        <f>#REF!+#REF!</f>
        <v>#REF!</v>
      </c>
      <c r="K52" s="595" t="e">
        <f>#REF!+#REF!</f>
        <v>#REF!</v>
      </c>
      <c r="L52" s="595" t="e">
        <f>#REF!+#REF!</f>
        <v>#REF!</v>
      </c>
      <c r="M52" s="595" t="e">
        <f>#REF!+#REF!</f>
        <v>#REF!</v>
      </c>
      <c r="N52" s="595">
        <v>99.73</v>
      </c>
      <c r="O52" s="595" t="e">
        <f>#REF!</f>
        <v>#REF!</v>
      </c>
      <c r="P52" s="595" t="e">
        <f>#REF!</f>
        <v>#REF!</v>
      </c>
      <c r="Q52" s="586" t="e">
        <f t="shared" si="74"/>
        <v>#REF!</v>
      </c>
      <c r="R52" s="595" t="e">
        <f>#REF!</f>
        <v>#REF!</v>
      </c>
      <c r="S52" s="595" t="e">
        <f>#REF!</f>
        <v>#REF!</v>
      </c>
      <c r="T52" s="586" t="e">
        <f t="shared" si="75"/>
        <v>#REF!</v>
      </c>
      <c r="U52" s="595" t="e">
        <f>#REF!+#REF!</f>
        <v>#REF!</v>
      </c>
      <c r="V52" s="595" t="e">
        <f>#REF!</f>
        <v>#REF!</v>
      </c>
      <c r="W52" s="595" t="e">
        <f>#REF!</f>
        <v>#REF!</v>
      </c>
      <c r="X52" s="586" t="e">
        <f t="shared" si="76"/>
        <v>#REF!</v>
      </c>
      <c r="Y52" s="603" t="e">
        <f>#REF!+#REF!</f>
        <v>#REF!</v>
      </c>
      <c r="Z52" s="595" t="e">
        <f>#REF!+#REF!</f>
        <v>#REF!</v>
      </c>
      <c r="AA52" s="586" t="e">
        <f t="shared" si="77"/>
        <v>#REF!</v>
      </c>
      <c r="AB52" s="595"/>
      <c r="AC52" s="586" t="e">
        <f t="shared" si="78"/>
        <v>#REF!</v>
      </c>
      <c r="AE52" s="586">
        <f t="shared" si="79"/>
        <v>9973</v>
      </c>
      <c r="AF52" s="586" t="e">
        <f t="shared" si="80"/>
        <v>#REF!</v>
      </c>
      <c r="AG52" s="586" t="e">
        <f t="shared" si="81"/>
        <v>#REF!</v>
      </c>
      <c r="AH52" s="586">
        <f t="shared" si="82"/>
        <v>9973</v>
      </c>
      <c r="AI52" s="586" t="e">
        <f t="shared" si="83"/>
        <v>#REF!</v>
      </c>
      <c r="AJ52" s="586" t="e">
        <f t="shared" si="84"/>
        <v>#REF!</v>
      </c>
      <c r="AL52" s="566" t="e">
        <f>#REF!+#REF!</f>
        <v>#REF!</v>
      </c>
    </row>
    <row r="53" spans="1:38" ht="13.5" thickBot="1" x14ac:dyDescent="0.25">
      <c r="A53" s="44"/>
      <c r="B53" s="445"/>
      <c r="C53" s="586"/>
      <c r="D53" s="598">
        <f>SUM(D43:D52)</f>
        <v>179152</v>
      </c>
      <c r="E53" s="157" t="e">
        <f t="shared" ref="E53:AC53" si="85">SUM(E43:E52)</f>
        <v>#REF!</v>
      </c>
      <c r="F53" s="157" t="e">
        <f t="shared" si="85"/>
        <v>#REF!</v>
      </c>
      <c r="G53" s="157" t="e">
        <f t="shared" si="85"/>
        <v>#REF!</v>
      </c>
      <c r="H53" s="157" t="e">
        <f t="shared" si="85"/>
        <v>#REF!</v>
      </c>
      <c r="I53" s="157">
        <f t="shared" si="85"/>
        <v>0</v>
      </c>
      <c r="J53" s="157" t="e">
        <f t="shared" si="85"/>
        <v>#REF!</v>
      </c>
      <c r="K53" s="157" t="e">
        <f t="shared" si="85"/>
        <v>#REF!</v>
      </c>
      <c r="L53" s="157" t="e">
        <f t="shared" si="85"/>
        <v>#REF!</v>
      </c>
      <c r="M53" s="157" t="e">
        <f t="shared" si="85"/>
        <v>#REF!</v>
      </c>
      <c r="N53" s="157">
        <f>SUM(N43:N52)</f>
        <v>999.19</v>
      </c>
      <c r="O53" s="157" t="e">
        <f t="shared" si="85"/>
        <v>#REF!</v>
      </c>
      <c r="P53" s="157" t="e">
        <f t="shared" si="85"/>
        <v>#REF!</v>
      </c>
      <c r="Q53" s="157" t="e">
        <f t="shared" si="85"/>
        <v>#REF!</v>
      </c>
      <c r="R53" s="157" t="e">
        <f t="shared" si="85"/>
        <v>#REF!</v>
      </c>
      <c r="S53" s="157" t="e">
        <f t="shared" si="85"/>
        <v>#REF!</v>
      </c>
      <c r="T53" s="157" t="e">
        <f t="shared" si="85"/>
        <v>#REF!</v>
      </c>
      <c r="U53" s="157" t="e">
        <f t="shared" si="85"/>
        <v>#REF!</v>
      </c>
      <c r="V53" s="157" t="e">
        <f t="shared" si="85"/>
        <v>#REF!</v>
      </c>
      <c r="W53" s="157" t="e">
        <f t="shared" si="85"/>
        <v>#REF!</v>
      </c>
      <c r="X53" s="157" t="e">
        <f t="shared" si="85"/>
        <v>#REF!</v>
      </c>
      <c r="Y53" s="157" t="e">
        <f t="shared" si="85"/>
        <v>#REF!</v>
      </c>
      <c r="Z53" s="157" t="e">
        <f t="shared" si="85"/>
        <v>#REF!</v>
      </c>
      <c r="AA53" s="157" t="e">
        <f t="shared" si="85"/>
        <v>#REF!</v>
      </c>
      <c r="AB53" s="157" t="e">
        <f t="shared" si="85"/>
        <v>#REF!</v>
      </c>
      <c r="AC53" s="157" t="e">
        <f t="shared" si="85"/>
        <v>#REF!</v>
      </c>
      <c r="AE53" s="601">
        <f>SUM(AE43:AE52)</f>
        <v>179152</v>
      </c>
      <c r="AF53" s="586"/>
      <c r="AG53" s="586"/>
      <c r="AH53" s="586"/>
      <c r="AI53" s="586"/>
      <c r="AJ53" s="586"/>
    </row>
    <row r="54" spans="1:38" ht="15" thickTop="1" x14ac:dyDescent="0.25">
      <c r="A54" s="492" t="s">
        <v>433</v>
      </c>
      <c r="B54" s="98"/>
      <c r="C54" s="586"/>
      <c r="D54" s="476"/>
      <c r="E54" s="586"/>
      <c r="F54" s="586"/>
      <c r="G54" s="586"/>
      <c r="H54" s="586"/>
      <c r="I54" s="586"/>
      <c r="J54" s="586"/>
      <c r="K54" s="586"/>
      <c r="L54" s="586"/>
      <c r="M54" s="586"/>
      <c r="N54" s="586"/>
      <c r="O54" s="586"/>
      <c r="P54" s="586"/>
      <c r="Q54" s="586"/>
      <c r="R54" s="586"/>
      <c r="S54" s="586"/>
      <c r="T54" s="586"/>
      <c r="U54" s="586"/>
      <c r="V54" s="586"/>
      <c r="W54" s="586"/>
      <c r="X54" s="586"/>
      <c r="Y54" s="586"/>
      <c r="Z54" s="586"/>
      <c r="AA54" s="586"/>
      <c r="AB54" s="586"/>
      <c r="AC54" s="586"/>
      <c r="AE54" s="586"/>
      <c r="AF54" s="586"/>
      <c r="AG54" s="586"/>
      <c r="AH54" s="586"/>
      <c r="AI54" s="586"/>
      <c r="AJ54" s="586"/>
    </row>
    <row r="55" spans="1:38" x14ac:dyDescent="0.2">
      <c r="A55" s="44" t="s">
        <v>184</v>
      </c>
      <c r="B55" s="445" t="s">
        <v>185</v>
      </c>
      <c r="C55" s="588" t="s">
        <v>575</v>
      </c>
      <c r="D55" s="54">
        <v>70046</v>
      </c>
      <c r="E55" s="586" t="e">
        <f>'Reg.2(1-15)'!K28+#REF!</f>
        <v>#REF!</v>
      </c>
      <c r="F55" s="586" t="e">
        <f>#REF!+#REF!</f>
        <v>#REF!</v>
      </c>
      <c r="G55" s="586" t="e">
        <f>#REF!+#REF!</f>
        <v>#REF!</v>
      </c>
      <c r="H55" s="586" t="e">
        <f>#REF!+#REF!</f>
        <v>#REF!</v>
      </c>
      <c r="I55" s="586"/>
      <c r="J55" s="586" t="e">
        <f>#REF!+#REF!</f>
        <v>#REF!</v>
      </c>
      <c r="K55" s="586" t="e">
        <f>#REF!+#REF!</f>
        <v>#REF!</v>
      </c>
      <c r="L55" s="586" t="e">
        <f>#REF!+#REF!</f>
        <v>#REF!</v>
      </c>
      <c r="M55" s="586" t="e">
        <f>#REF!+#REF!</f>
        <v>#REF!</v>
      </c>
      <c r="N55" s="586">
        <v>100</v>
      </c>
      <c r="O55" s="586" t="e">
        <f>#REF!</f>
        <v>#REF!</v>
      </c>
      <c r="P55" s="586" t="e">
        <f>#REF!</f>
        <v>#REF!</v>
      </c>
      <c r="Q55" s="586" t="e">
        <f t="shared" ref="Q55:Q70" si="86">SUM(E55:P55)</f>
        <v>#REF!</v>
      </c>
      <c r="R55" s="586" t="e">
        <f>#REF!</f>
        <v>#REF!</v>
      </c>
      <c r="S55" s="586" t="e">
        <f>#REF!</f>
        <v>#REF!</v>
      </c>
      <c r="T55" s="586" t="e">
        <f t="shared" ref="T55:T70" si="87">R55+S55</f>
        <v>#REF!</v>
      </c>
      <c r="U55" s="586" t="e">
        <f>#REF!+#REF!</f>
        <v>#REF!</v>
      </c>
      <c r="V55" s="586" t="e">
        <f>#REF!</f>
        <v>#REF!</v>
      </c>
      <c r="W55" s="586" t="e">
        <f>#REF!</f>
        <v>#REF!</v>
      </c>
      <c r="X55" s="586" t="e">
        <f t="shared" ref="X55:X70" si="88">SUM(U55:W55)</f>
        <v>#REF!</v>
      </c>
      <c r="Y55" s="586" t="e">
        <f>#REF!+#REF!</f>
        <v>#REF!</v>
      </c>
      <c r="Z55" s="586" t="e">
        <f>#REF!+#REF!</f>
        <v>#REF!</v>
      </c>
      <c r="AA55" s="586" t="e">
        <f t="shared" ref="AA55:AA70" si="89">SUM(Y55:Z55)</f>
        <v>#REF!</v>
      </c>
      <c r="AB55" s="586" t="e">
        <f>#REF!</f>
        <v>#REF!</v>
      </c>
      <c r="AC55" s="586" t="e">
        <f t="shared" ref="AC55:AC70" si="90">Q55+T55+X55+AA55+AB55</f>
        <v>#REF!</v>
      </c>
      <c r="AE55" s="586">
        <f t="shared" ref="AE55:AE70" si="91">D55</f>
        <v>70046</v>
      </c>
      <c r="AF55" s="586" t="e">
        <f t="shared" ref="AF55:AF70" si="92">SUM(E55:M55)+O55+R55+U55+V55+AA55+AB55</f>
        <v>#REF!</v>
      </c>
      <c r="AG55" s="586" t="e">
        <f t="shared" ref="AG55:AG70" si="93">AE55-AF55</f>
        <v>#REF!</v>
      </c>
      <c r="AH55" s="586">
        <f t="shared" ref="AH55:AH70" si="94">AE55</f>
        <v>70046</v>
      </c>
      <c r="AI55" s="586" t="e">
        <f t="shared" ref="AI55:AI70" si="95">P55+S55+W55</f>
        <v>#REF!</v>
      </c>
      <c r="AJ55" s="586" t="e">
        <f t="shared" ref="AJ55:AJ70" si="96">AH55+AI55</f>
        <v>#REF!</v>
      </c>
      <c r="AL55" s="566" t="e">
        <f>#REF!+#REF!</f>
        <v>#REF!</v>
      </c>
    </row>
    <row r="56" spans="1:38" x14ac:dyDescent="0.2">
      <c r="A56" s="44" t="s">
        <v>104</v>
      </c>
      <c r="B56" s="445" t="s">
        <v>105</v>
      </c>
      <c r="C56" s="589" t="s">
        <v>253</v>
      </c>
      <c r="D56" s="54">
        <v>35435</v>
      </c>
      <c r="E56" s="586" t="e">
        <f>'Reg.2(1-15)'!#REF!+#REF!</f>
        <v>#REF!</v>
      </c>
      <c r="F56" s="586" t="e">
        <f>#REF!+#REF!</f>
        <v>#REF!</v>
      </c>
      <c r="G56" s="586" t="e">
        <f>#REF!+#REF!</f>
        <v>#REF!</v>
      </c>
      <c r="H56" s="586" t="e">
        <f>#REF!+#REF!</f>
        <v>#REF!</v>
      </c>
      <c r="I56" s="586"/>
      <c r="J56" s="586" t="e">
        <f>#REF!+#REF!</f>
        <v>#REF!</v>
      </c>
      <c r="K56" s="586" t="e">
        <f>#REF!+#REF!</f>
        <v>#REF!</v>
      </c>
      <c r="L56" s="586" t="e">
        <f>#REF!+#REF!</f>
        <v>#REF!</v>
      </c>
      <c r="M56" s="586" t="e">
        <f>#REF!+#REF!</f>
        <v>#REF!</v>
      </c>
      <c r="N56" s="586">
        <v>100</v>
      </c>
      <c r="O56" s="586" t="e">
        <f>#REF!</f>
        <v>#REF!</v>
      </c>
      <c r="P56" s="586" t="e">
        <f>#REF!</f>
        <v>#REF!</v>
      </c>
      <c r="Q56" s="586" t="e">
        <f t="shared" si="86"/>
        <v>#REF!</v>
      </c>
      <c r="R56" s="586" t="e">
        <f>#REF!</f>
        <v>#REF!</v>
      </c>
      <c r="S56" s="586" t="e">
        <f>#REF!</f>
        <v>#REF!</v>
      </c>
      <c r="T56" s="586" t="e">
        <f t="shared" si="87"/>
        <v>#REF!</v>
      </c>
      <c r="U56" s="586" t="e">
        <f>#REF!+#REF!</f>
        <v>#REF!</v>
      </c>
      <c r="V56" s="586" t="e">
        <f>#REF!</f>
        <v>#REF!</v>
      </c>
      <c r="W56" s="586" t="e">
        <f>#REF!</f>
        <v>#REF!</v>
      </c>
      <c r="X56" s="586" t="e">
        <f t="shared" si="88"/>
        <v>#REF!</v>
      </c>
      <c r="Y56" s="586" t="e">
        <f>#REF!+#REF!</f>
        <v>#REF!</v>
      </c>
      <c r="Z56" s="586" t="e">
        <f>#REF!+#REF!</f>
        <v>#REF!</v>
      </c>
      <c r="AA56" s="586" t="e">
        <f t="shared" si="89"/>
        <v>#REF!</v>
      </c>
      <c r="AB56" s="586" t="e">
        <f>#REF!</f>
        <v>#REF!</v>
      </c>
      <c r="AC56" s="586" t="e">
        <f t="shared" si="90"/>
        <v>#REF!</v>
      </c>
      <c r="AE56" s="586">
        <f t="shared" si="91"/>
        <v>35435</v>
      </c>
      <c r="AF56" s="586" t="e">
        <f t="shared" si="92"/>
        <v>#REF!</v>
      </c>
      <c r="AG56" s="586" t="e">
        <f t="shared" si="93"/>
        <v>#REF!</v>
      </c>
      <c r="AH56" s="586">
        <f t="shared" si="94"/>
        <v>35435</v>
      </c>
      <c r="AI56" s="586" t="e">
        <f t="shared" si="95"/>
        <v>#REF!</v>
      </c>
      <c r="AJ56" s="586" t="e">
        <f t="shared" si="96"/>
        <v>#REF!</v>
      </c>
      <c r="AL56" s="566" t="e">
        <f>#REF!+#REF!</f>
        <v>#REF!</v>
      </c>
    </row>
    <row r="57" spans="1:38" x14ac:dyDescent="0.2">
      <c r="A57" s="44" t="s">
        <v>106</v>
      </c>
      <c r="B57" s="445" t="s">
        <v>107</v>
      </c>
      <c r="C57" s="589" t="s">
        <v>253</v>
      </c>
      <c r="D57" s="54">
        <v>26623</v>
      </c>
      <c r="E57" s="586" t="e">
        <f>'Reg.2(1-15)'!#REF!+#REF!</f>
        <v>#REF!</v>
      </c>
      <c r="F57" s="586" t="e">
        <f>#REF!+#REF!</f>
        <v>#REF!</v>
      </c>
      <c r="G57" s="586" t="e">
        <f>#REF!+#REF!</f>
        <v>#REF!</v>
      </c>
      <c r="H57" s="586" t="e">
        <f>#REF!+#REF!</f>
        <v>#REF!</v>
      </c>
      <c r="I57" s="586"/>
      <c r="J57" s="586" t="e">
        <f>#REF!+#REF!</f>
        <v>#REF!</v>
      </c>
      <c r="K57" s="586" t="e">
        <f>#REF!+#REF!</f>
        <v>#REF!</v>
      </c>
      <c r="L57" s="586" t="e">
        <f>#REF!+#REF!</f>
        <v>#REF!</v>
      </c>
      <c r="M57" s="586" t="e">
        <f>#REF!+#REF!</f>
        <v>#REF!</v>
      </c>
      <c r="N57" s="586">
        <v>100</v>
      </c>
      <c r="O57" s="586" t="e">
        <f>#REF!</f>
        <v>#REF!</v>
      </c>
      <c r="P57" s="586" t="e">
        <f>#REF!</f>
        <v>#REF!</v>
      </c>
      <c r="Q57" s="586" t="e">
        <f t="shared" si="86"/>
        <v>#REF!</v>
      </c>
      <c r="R57" s="586" t="e">
        <f>#REF!</f>
        <v>#REF!</v>
      </c>
      <c r="S57" s="586" t="e">
        <f>#REF!</f>
        <v>#REF!</v>
      </c>
      <c r="T57" s="586" t="e">
        <f t="shared" si="87"/>
        <v>#REF!</v>
      </c>
      <c r="U57" s="586" t="e">
        <f>#REF!+#REF!</f>
        <v>#REF!</v>
      </c>
      <c r="V57" s="586" t="e">
        <f>#REF!</f>
        <v>#REF!</v>
      </c>
      <c r="W57" s="586" t="e">
        <f>#REF!</f>
        <v>#REF!</v>
      </c>
      <c r="X57" s="586" t="e">
        <f t="shared" si="88"/>
        <v>#REF!</v>
      </c>
      <c r="Y57" s="586" t="e">
        <f>#REF!+#REF!</f>
        <v>#REF!</v>
      </c>
      <c r="Z57" s="586" t="e">
        <f>#REF!+#REF!</f>
        <v>#REF!</v>
      </c>
      <c r="AA57" s="586" t="e">
        <f t="shared" si="89"/>
        <v>#REF!</v>
      </c>
      <c r="AB57" s="586" t="e">
        <f>#REF!</f>
        <v>#REF!</v>
      </c>
      <c r="AC57" s="586" t="e">
        <f t="shared" si="90"/>
        <v>#REF!</v>
      </c>
      <c r="AE57" s="586">
        <f t="shared" si="91"/>
        <v>26623</v>
      </c>
      <c r="AF57" s="586" t="e">
        <f t="shared" si="92"/>
        <v>#REF!</v>
      </c>
      <c r="AG57" s="586" t="e">
        <f t="shared" si="93"/>
        <v>#REF!</v>
      </c>
      <c r="AH57" s="586">
        <f t="shared" si="94"/>
        <v>26623</v>
      </c>
      <c r="AI57" s="586" t="e">
        <f t="shared" si="95"/>
        <v>#REF!</v>
      </c>
      <c r="AJ57" s="586" t="e">
        <f t="shared" si="96"/>
        <v>#REF!</v>
      </c>
      <c r="AL57" s="566" t="e">
        <f>#REF!+#REF!</f>
        <v>#REF!</v>
      </c>
    </row>
    <row r="58" spans="1:38" x14ac:dyDescent="0.2">
      <c r="A58" s="44" t="s">
        <v>108</v>
      </c>
      <c r="B58" s="445" t="s">
        <v>109</v>
      </c>
      <c r="C58" s="589" t="s">
        <v>253</v>
      </c>
      <c r="D58" s="54">
        <v>24202</v>
      </c>
      <c r="E58" s="586" t="e">
        <f>'Reg.2(1-15)'!#REF!+#REF!</f>
        <v>#REF!</v>
      </c>
      <c r="F58" s="586" t="e">
        <f>#REF!+#REF!</f>
        <v>#REF!</v>
      </c>
      <c r="G58" s="586" t="e">
        <f>#REF!+#REF!</f>
        <v>#REF!</v>
      </c>
      <c r="H58" s="586" t="e">
        <f>#REF!+#REF!</f>
        <v>#REF!</v>
      </c>
      <c r="I58" s="586"/>
      <c r="J58" s="586" t="e">
        <f>#REF!+#REF!</f>
        <v>#REF!</v>
      </c>
      <c r="K58" s="586" t="e">
        <f>#REF!+#REF!</f>
        <v>#REF!</v>
      </c>
      <c r="L58" s="586" t="e">
        <f>#REF!+#REF!</f>
        <v>#REF!</v>
      </c>
      <c r="M58" s="586" t="e">
        <f>#REF!+#REF!</f>
        <v>#REF!</v>
      </c>
      <c r="N58" s="586">
        <v>100</v>
      </c>
      <c r="O58" s="586" t="e">
        <f>#REF!</f>
        <v>#REF!</v>
      </c>
      <c r="P58" s="586" t="e">
        <f>#REF!</f>
        <v>#REF!</v>
      </c>
      <c r="Q58" s="586" t="e">
        <f t="shared" si="86"/>
        <v>#REF!</v>
      </c>
      <c r="R58" s="586" t="e">
        <f>#REF!</f>
        <v>#REF!</v>
      </c>
      <c r="S58" s="586" t="e">
        <f>#REF!</f>
        <v>#REF!</v>
      </c>
      <c r="T58" s="586" t="e">
        <f t="shared" si="87"/>
        <v>#REF!</v>
      </c>
      <c r="U58" s="586" t="e">
        <f>#REF!+#REF!</f>
        <v>#REF!</v>
      </c>
      <c r="V58" s="586" t="e">
        <f>#REF!</f>
        <v>#REF!</v>
      </c>
      <c r="W58" s="586" t="e">
        <f>#REF!</f>
        <v>#REF!</v>
      </c>
      <c r="X58" s="586" t="e">
        <f t="shared" si="88"/>
        <v>#REF!</v>
      </c>
      <c r="Y58" s="586" t="e">
        <f>#REF!+#REF!</f>
        <v>#REF!</v>
      </c>
      <c r="Z58" s="586" t="e">
        <f>#REF!+#REF!</f>
        <v>#REF!</v>
      </c>
      <c r="AA58" s="586" t="e">
        <f t="shared" si="89"/>
        <v>#REF!</v>
      </c>
      <c r="AB58" s="586" t="e">
        <f>#REF!</f>
        <v>#REF!</v>
      </c>
      <c r="AC58" s="586" t="e">
        <f t="shared" si="90"/>
        <v>#REF!</v>
      </c>
      <c r="AE58" s="586">
        <f t="shared" si="91"/>
        <v>24202</v>
      </c>
      <c r="AF58" s="586" t="e">
        <f t="shared" si="92"/>
        <v>#REF!</v>
      </c>
      <c r="AG58" s="586" t="e">
        <f t="shared" si="93"/>
        <v>#REF!</v>
      </c>
      <c r="AH58" s="586">
        <f t="shared" si="94"/>
        <v>24202</v>
      </c>
      <c r="AI58" s="586" t="e">
        <f t="shared" si="95"/>
        <v>#REF!</v>
      </c>
      <c r="AJ58" s="586" t="e">
        <f t="shared" si="96"/>
        <v>#REF!</v>
      </c>
      <c r="AL58" s="566" t="e">
        <f>#REF!+#REF!</f>
        <v>#REF!</v>
      </c>
    </row>
    <row r="59" spans="1:38" x14ac:dyDescent="0.2">
      <c r="A59" s="44" t="s">
        <v>111</v>
      </c>
      <c r="B59" s="445" t="s">
        <v>167</v>
      </c>
      <c r="C59" s="589" t="s">
        <v>253</v>
      </c>
      <c r="D59" s="54">
        <v>13283</v>
      </c>
      <c r="E59" s="586" t="e">
        <f>'Reg.2(1-15)'!K30+#REF!</f>
        <v>#REF!</v>
      </c>
      <c r="F59" s="586" t="e">
        <f>#REF!+#REF!</f>
        <v>#REF!</v>
      </c>
      <c r="G59" s="586" t="e">
        <f>#REF!+#REF!</f>
        <v>#REF!</v>
      </c>
      <c r="H59" s="586" t="e">
        <f>#REF!+#REF!</f>
        <v>#REF!</v>
      </c>
      <c r="I59" s="586"/>
      <c r="J59" s="586" t="e">
        <f>#REF!+#REF!</f>
        <v>#REF!</v>
      </c>
      <c r="K59" s="586" t="e">
        <f>#REF!+#REF!</f>
        <v>#REF!</v>
      </c>
      <c r="L59" s="586" t="e">
        <f>#REF!+#REF!</f>
        <v>#REF!</v>
      </c>
      <c r="M59" s="586" t="e">
        <f>#REF!+#REF!</f>
        <v>#REF!</v>
      </c>
      <c r="N59" s="586">
        <v>100</v>
      </c>
      <c r="O59" s="586" t="e">
        <f>#REF!</f>
        <v>#REF!</v>
      </c>
      <c r="P59" s="586" t="e">
        <f>#REF!</f>
        <v>#REF!</v>
      </c>
      <c r="Q59" s="586" t="e">
        <f t="shared" si="86"/>
        <v>#REF!</v>
      </c>
      <c r="R59" s="586" t="e">
        <f>#REF!</f>
        <v>#REF!</v>
      </c>
      <c r="S59" s="586" t="e">
        <f>#REF!</f>
        <v>#REF!</v>
      </c>
      <c r="T59" s="586" t="e">
        <f t="shared" si="87"/>
        <v>#REF!</v>
      </c>
      <c r="U59" s="586" t="e">
        <f>#REF!+#REF!</f>
        <v>#REF!</v>
      </c>
      <c r="V59" s="586" t="e">
        <f>#REF!</f>
        <v>#REF!</v>
      </c>
      <c r="W59" s="586" t="e">
        <f>#REF!</f>
        <v>#REF!</v>
      </c>
      <c r="X59" s="586" t="e">
        <f t="shared" si="88"/>
        <v>#REF!</v>
      </c>
      <c r="Y59" s="586" t="e">
        <f>#REF!+#REF!</f>
        <v>#REF!</v>
      </c>
      <c r="Z59" s="586" t="e">
        <f>#REF!+#REF!</f>
        <v>#REF!</v>
      </c>
      <c r="AA59" s="586" t="e">
        <f t="shared" si="89"/>
        <v>#REF!</v>
      </c>
      <c r="AB59" s="586"/>
      <c r="AC59" s="586" t="e">
        <f t="shared" si="90"/>
        <v>#REF!</v>
      </c>
      <c r="AE59" s="586">
        <f t="shared" si="91"/>
        <v>13283</v>
      </c>
      <c r="AF59" s="586" t="e">
        <f t="shared" si="92"/>
        <v>#REF!</v>
      </c>
      <c r="AG59" s="586" t="e">
        <f t="shared" si="93"/>
        <v>#REF!</v>
      </c>
      <c r="AH59" s="586">
        <f t="shared" si="94"/>
        <v>13283</v>
      </c>
      <c r="AI59" s="586" t="e">
        <f t="shared" si="95"/>
        <v>#REF!</v>
      </c>
      <c r="AJ59" s="586" t="e">
        <f t="shared" si="96"/>
        <v>#REF!</v>
      </c>
      <c r="AL59" s="566" t="e">
        <f>#REF!+#REF!</f>
        <v>#REF!</v>
      </c>
    </row>
    <row r="60" spans="1:38" x14ac:dyDescent="0.2">
      <c r="A60" s="44" t="s">
        <v>93</v>
      </c>
      <c r="B60" s="445" t="s">
        <v>94</v>
      </c>
      <c r="C60" s="589" t="s">
        <v>253</v>
      </c>
      <c r="D60" s="54">
        <v>13283</v>
      </c>
      <c r="E60" s="586" t="e">
        <f>'Reg.2(1-15)'!#REF!+#REF!</f>
        <v>#REF!</v>
      </c>
      <c r="F60" s="586" t="e">
        <f>#REF!+#REF!</f>
        <v>#REF!</v>
      </c>
      <c r="G60" s="586" t="e">
        <f>#REF!+#REF!</f>
        <v>#REF!</v>
      </c>
      <c r="H60" s="586" t="e">
        <f>#REF!+#REF!</f>
        <v>#REF!</v>
      </c>
      <c r="I60" s="586"/>
      <c r="J60" s="586" t="e">
        <f>#REF!+#REF!</f>
        <v>#REF!</v>
      </c>
      <c r="K60" s="586" t="e">
        <f>#REF!+#REF!</f>
        <v>#REF!</v>
      </c>
      <c r="L60" s="586" t="e">
        <f>#REF!+#REF!</f>
        <v>#REF!</v>
      </c>
      <c r="M60" s="586" t="e">
        <f>#REF!+#REF!</f>
        <v>#REF!</v>
      </c>
      <c r="N60" s="586">
        <v>100</v>
      </c>
      <c r="O60" s="586" t="e">
        <f>#REF!</f>
        <v>#REF!</v>
      </c>
      <c r="P60" s="586" t="e">
        <f>#REF!</f>
        <v>#REF!</v>
      </c>
      <c r="Q60" s="586" t="e">
        <f t="shared" si="86"/>
        <v>#REF!</v>
      </c>
      <c r="R60" s="586" t="e">
        <f>#REF!</f>
        <v>#REF!</v>
      </c>
      <c r="S60" s="586" t="e">
        <f>#REF!</f>
        <v>#REF!</v>
      </c>
      <c r="T60" s="586" t="e">
        <f t="shared" si="87"/>
        <v>#REF!</v>
      </c>
      <c r="U60" s="586" t="e">
        <f>#REF!+#REF!</f>
        <v>#REF!</v>
      </c>
      <c r="V60" s="586" t="e">
        <f>#REF!</f>
        <v>#REF!</v>
      </c>
      <c r="W60" s="586" t="e">
        <f>#REF!</f>
        <v>#REF!</v>
      </c>
      <c r="X60" s="586" t="e">
        <f t="shared" si="88"/>
        <v>#REF!</v>
      </c>
      <c r="Y60" s="586" t="e">
        <f>#REF!+#REF!</f>
        <v>#REF!</v>
      </c>
      <c r="Z60" s="586" t="e">
        <f>#REF!+#REF!</f>
        <v>#REF!</v>
      </c>
      <c r="AA60" s="586" t="e">
        <f t="shared" si="89"/>
        <v>#REF!</v>
      </c>
      <c r="AB60" s="586"/>
      <c r="AC60" s="586" t="e">
        <f t="shared" si="90"/>
        <v>#REF!</v>
      </c>
      <c r="AE60" s="586">
        <f t="shared" si="91"/>
        <v>13283</v>
      </c>
      <c r="AF60" s="586" t="e">
        <f t="shared" si="92"/>
        <v>#REF!</v>
      </c>
      <c r="AG60" s="586" t="e">
        <f t="shared" si="93"/>
        <v>#REF!</v>
      </c>
      <c r="AH60" s="586">
        <f t="shared" si="94"/>
        <v>13283</v>
      </c>
      <c r="AI60" s="586" t="e">
        <f t="shared" si="95"/>
        <v>#REF!</v>
      </c>
      <c r="AJ60" s="586" t="e">
        <f t="shared" si="96"/>
        <v>#REF!</v>
      </c>
      <c r="AL60" s="566" t="e">
        <f>#REF!+#REF!</f>
        <v>#REF!</v>
      </c>
    </row>
    <row r="61" spans="1:38" x14ac:dyDescent="0.2">
      <c r="A61" s="44" t="s">
        <v>536</v>
      </c>
      <c r="B61" s="445" t="s">
        <v>167</v>
      </c>
      <c r="C61" s="589" t="s">
        <v>253</v>
      </c>
      <c r="D61" s="54">
        <v>12883</v>
      </c>
      <c r="E61" s="586" t="e">
        <f>'Reg.2(1-15)'!K33+#REF!</f>
        <v>#REF!</v>
      </c>
      <c r="F61" s="586" t="e">
        <f>#REF!+#REF!</f>
        <v>#REF!</v>
      </c>
      <c r="G61" s="586" t="e">
        <f>#REF!+#REF!</f>
        <v>#REF!</v>
      </c>
      <c r="H61" s="586" t="e">
        <f>#REF!+#REF!</f>
        <v>#REF!</v>
      </c>
      <c r="I61" s="586"/>
      <c r="J61" s="586" t="e">
        <f>#REF!+#REF!</f>
        <v>#REF!</v>
      </c>
      <c r="K61" s="586" t="e">
        <f>#REF!+#REF!</f>
        <v>#REF!</v>
      </c>
      <c r="L61" s="586" t="e">
        <f>#REF!+#REF!</f>
        <v>#REF!</v>
      </c>
      <c r="M61" s="586" t="e">
        <f>#REF!+#REF!</f>
        <v>#REF!</v>
      </c>
      <c r="N61" s="586">
        <v>100</v>
      </c>
      <c r="O61" s="586" t="e">
        <f>#REF!</f>
        <v>#REF!</v>
      </c>
      <c r="P61" s="586" t="e">
        <f>#REF!</f>
        <v>#REF!</v>
      </c>
      <c r="Q61" s="586" t="e">
        <f t="shared" si="86"/>
        <v>#REF!</v>
      </c>
      <c r="R61" s="586" t="e">
        <f>#REF!</f>
        <v>#REF!</v>
      </c>
      <c r="S61" s="586" t="e">
        <f>#REF!</f>
        <v>#REF!</v>
      </c>
      <c r="T61" s="586" t="e">
        <f t="shared" si="87"/>
        <v>#REF!</v>
      </c>
      <c r="U61" s="586" t="e">
        <f>#REF!+#REF!</f>
        <v>#REF!</v>
      </c>
      <c r="V61" s="586" t="e">
        <f>#REF!</f>
        <v>#REF!</v>
      </c>
      <c r="W61" s="586" t="e">
        <f>#REF!</f>
        <v>#REF!</v>
      </c>
      <c r="X61" s="586" t="e">
        <f t="shared" si="88"/>
        <v>#REF!</v>
      </c>
      <c r="Y61" s="586" t="e">
        <f>#REF!+#REF!</f>
        <v>#REF!</v>
      </c>
      <c r="Z61" s="586" t="e">
        <f>#REF!+#REF!</f>
        <v>#REF!</v>
      </c>
      <c r="AA61" s="586" t="e">
        <f t="shared" si="89"/>
        <v>#REF!</v>
      </c>
      <c r="AB61" s="586"/>
      <c r="AC61" s="586" t="e">
        <f t="shared" si="90"/>
        <v>#REF!</v>
      </c>
      <c r="AE61" s="586">
        <f t="shared" si="91"/>
        <v>12883</v>
      </c>
      <c r="AF61" s="586" t="e">
        <f t="shared" si="92"/>
        <v>#REF!</v>
      </c>
      <c r="AG61" s="586" t="e">
        <f t="shared" si="93"/>
        <v>#REF!</v>
      </c>
      <c r="AH61" s="586">
        <f t="shared" si="94"/>
        <v>12883</v>
      </c>
      <c r="AI61" s="586" t="e">
        <f t="shared" si="95"/>
        <v>#REF!</v>
      </c>
      <c r="AJ61" s="586" t="e">
        <f t="shared" si="96"/>
        <v>#REF!</v>
      </c>
      <c r="AL61" s="566" t="e">
        <f>#REF!+#REF!</f>
        <v>#REF!</v>
      </c>
    </row>
    <row r="62" spans="1:38" x14ac:dyDescent="0.2">
      <c r="A62" s="44" t="s">
        <v>430</v>
      </c>
      <c r="B62" s="445" t="s">
        <v>94</v>
      </c>
      <c r="C62" s="589" t="s">
        <v>253</v>
      </c>
      <c r="D62" s="59">
        <v>12590</v>
      </c>
      <c r="E62" s="586" t="e">
        <f>'Reg.2(1-15)'!#REF!+#REF!</f>
        <v>#REF!</v>
      </c>
      <c r="F62" s="586" t="e">
        <f>#REF!+#REF!</f>
        <v>#REF!</v>
      </c>
      <c r="G62" s="586" t="e">
        <f>#REF!+#REF!</f>
        <v>#REF!</v>
      </c>
      <c r="H62" s="586" t="e">
        <f>#REF!+#REF!</f>
        <v>#REF!</v>
      </c>
      <c r="I62" s="586"/>
      <c r="J62" s="586" t="e">
        <f>#REF!+#REF!</f>
        <v>#REF!</v>
      </c>
      <c r="K62" s="586" t="e">
        <f>#REF!+#REF!</f>
        <v>#REF!</v>
      </c>
      <c r="L62" s="586" t="e">
        <f>#REF!+#REF!</f>
        <v>#REF!</v>
      </c>
      <c r="M62" s="586" t="e">
        <f>#REF!+#REF!</f>
        <v>#REF!</v>
      </c>
      <c r="N62" s="586">
        <v>100</v>
      </c>
      <c r="O62" s="586" t="e">
        <f>#REF!</f>
        <v>#REF!</v>
      </c>
      <c r="P62" s="586" t="e">
        <f>#REF!</f>
        <v>#REF!</v>
      </c>
      <c r="Q62" s="586" t="e">
        <f t="shared" si="86"/>
        <v>#REF!</v>
      </c>
      <c r="R62" s="586" t="e">
        <f>#REF!</f>
        <v>#REF!</v>
      </c>
      <c r="S62" s="586" t="e">
        <f>#REF!</f>
        <v>#REF!</v>
      </c>
      <c r="T62" s="586" t="e">
        <f t="shared" si="87"/>
        <v>#REF!</v>
      </c>
      <c r="U62" s="586" t="e">
        <f>#REF!+#REF!</f>
        <v>#REF!</v>
      </c>
      <c r="V62" s="586" t="e">
        <f>#REF!</f>
        <v>#REF!</v>
      </c>
      <c r="W62" s="586" t="e">
        <f>#REF!</f>
        <v>#REF!</v>
      </c>
      <c r="X62" s="586" t="e">
        <f t="shared" si="88"/>
        <v>#REF!</v>
      </c>
      <c r="Y62" s="586" t="e">
        <f>#REF!+#REF!</f>
        <v>#REF!</v>
      </c>
      <c r="Z62" s="586" t="e">
        <f>#REF!+#REF!</f>
        <v>#REF!</v>
      </c>
      <c r="AA62" s="586" t="e">
        <f t="shared" si="89"/>
        <v>#REF!</v>
      </c>
      <c r="AB62" s="586"/>
      <c r="AC62" s="586" t="e">
        <f t="shared" si="90"/>
        <v>#REF!</v>
      </c>
      <c r="AE62" s="586">
        <f t="shared" si="91"/>
        <v>12590</v>
      </c>
      <c r="AF62" s="586" t="e">
        <f t="shared" si="92"/>
        <v>#REF!</v>
      </c>
      <c r="AG62" s="586" t="e">
        <f t="shared" si="93"/>
        <v>#REF!</v>
      </c>
      <c r="AH62" s="586">
        <f t="shared" si="94"/>
        <v>12590</v>
      </c>
      <c r="AI62" s="586" t="e">
        <f t="shared" si="95"/>
        <v>#REF!</v>
      </c>
      <c r="AJ62" s="586" t="e">
        <f t="shared" si="96"/>
        <v>#REF!</v>
      </c>
      <c r="AL62" s="566" t="e">
        <f>#REF!+#REF!</f>
        <v>#REF!</v>
      </c>
    </row>
    <row r="63" spans="1:38" x14ac:dyDescent="0.2">
      <c r="A63" s="44" t="s">
        <v>555</v>
      </c>
      <c r="B63" s="511" t="s">
        <v>556</v>
      </c>
      <c r="C63" s="589" t="s">
        <v>253</v>
      </c>
      <c r="D63" s="59">
        <v>11878</v>
      </c>
      <c r="E63" s="586" t="e">
        <f>'Reg.2(1-15)'!K31+#REF!</f>
        <v>#REF!</v>
      </c>
      <c r="F63" s="586" t="e">
        <f>#REF!+#REF!</f>
        <v>#REF!</v>
      </c>
      <c r="G63" s="586" t="e">
        <f>#REF!+#REF!</f>
        <v>#REF!</v>
      </c>
      <c r="H63" s="586" t="e">
        <f>#REF!+#REF!</f>
        <v>#REF!</v>
      </c>
      <c r="I63" s="586"/>
      <c r="J63" s="586" t="e">
        <f>#REF!+#REF!</f>
        <v>#REF!</v>
      </c>
      <c r="K63" s="586" t="e">
        <f>#REF!+#REF!</f>
        <v>#REF!</v>
      </c>
      <c r="L63" s="586" t="e">
        <f>#REF!+#REF!</f>
        <v>#REF!</v>
      </c>
      <c r="M63" s="586" t="e">
        <f>#REF!+#REF!</f>
        <v>#REF!</v>
      </c>
      <c r="N63" s="586">
        <v>100</v>
      </c>
      <c r="O63" s="586" t="e">
        <f>#REF!</f>
        <v>#REF!</v>
      </c>
      <c r="P63" s="586" t="e">
        <f>#REF!</f>
        <v>#REF!</v>
      </c>
      <c r="Q63" s="586" t="e">
        <f t="shared" si="86"/>
        <v>#REF!</v>
      </c>
      <c r="R63" s="586" t="e">
        <f>#REF!</f>
        <v>#REF!</v>
      </c>
      <c r="S63" s="586" t="e">
        <f>#REF!</f>
        <v>#REF!</v>
      </c>
      <c r="T63" s="586" t="e">
        <f t="shared" si="87"/>
        <v>#REF!</v>
      </c>
      <c r="U63" s="586" t="e">
        <f>#REF!+#REF!</f>
        <v>#REF!</v>
      </c>
      <c r="V63" s="586" t="e">
        <f>#REF!</f>
        <v>#REF!</v>
      </c>
      <c r="W63" s="586" t="e">
        <f>#REF!</f>
        <v>#REF!</v>
      </c>
      <c r="X63" s="586" t="e">
        <f t="shared" si="88"/>
        <v>#REF!</v>
      </c>
      <c r="Y63" s="586" t="e">
        <f>#REF!+#REF!</f>
        <v>#REF!</v>
      </c>
      <c r="Z63" s="586" t="e">
        <f>#REF!+#REF!</f>
        <v>#REF!</v>
      </c>
      <c r="AA63" s="586" t="e">
        <f t="shared" si="89"/>
        <v>#REF!</v>
      </c>
      <c r="AB63" s="586"/>
      <c r="AC63" s="586" t="e">
        <f t="shared" si="90"/>
        <v>#REF!</v>
      </c>
      <c r="AE63" s="586">
        <f t="shared" si="91"/>
        <v>11878</v>
      </c>
      <c r="AF63" s="586" t="e">
        <f t="shared" si="92"/>
        <v>#REF!</v>
      </c>
      <c r="AG63" s="586" t="e">
        <f t="shared" si="93"/>
        <v>#REF!</v>
      </c>
      <c r="AH63" s="586">
        <f t="shared" si="94"/>
        <v>11878</v>
      </c>
      <c r="AI63" s="586" t="e">
        <f t="shared" si="95"/>
        <v>#REF!</v>
      </c>
      <c r="AJ63" s="586" t="e">
        <f t="shared" si="96"/>
        <v>#REF!</v>
      </c>
      <c r="AL63" s="566" t="e">
        <f>#REF!+#REF!</f>
        <v>#REF!</v>
      </c>
    </row>
    <row r="64" spans="1:38" x14ac:dyDescent="0.2">
      <c r="A64" s="44" t="s">
        <v>529</v>
      </c>
      <c r="B64" s="574" t="s">
        <v>499</v>
      </c>
      <c r="C64" s="589" t="s">
        <v>253</v>
      </c>
      <c r="D64" s="45">
        <v>10571</v>
      </c>
      <c r="E64" s="586" t="e">
        <f>'Reg.2(1-15)'!K32+#REF!</f>
        <v>#REF!</v>
      </c>
      <c r="F64" s="586" t="e">
        <f>#REF!+#REF!</f>
        <v>#REF!</v>
      </c>
      <c r="G64" s="586" t="e">
        <f>#REF!+#REF!</f>
        <v>#REF!</v>
      </c>
      <c r="H64" s="586" t="e">
        <f>#REF!+#REF!</f>
        <v>#REF!</v>
      </c>
      <c r="I64" s="586"/>
      <c r="J64" s="586" t="e">
        <f>#REF!+#REF!</f>
        <v>#REF!</v>
      </c>
      <c r="K64" s="586" t="e">
        <f>#REF!+#REF!</f>
        <v>#REF!</v>
      </c>
      <c r="L64" s="586" t="e">
        <f>#REF!+#REF!</f>
        <v>#REF!</v>
      </c>
      <c r="M64" s="586" t="e">
        <f>#REF!+#REF!</f>
        <v>#REF!</v>
      </c>
      <c r="N64" s="586">
        <v>100</v>
      </c>
      <c r="O64" s="586" t="e">
        <f>#REF!</f>
        <v>#REF!</v>
      </c>
      <c r="P64" s="586" t="e">
        <f>#REF!</f>
        <v>#REF!</v>
      </c>
      <c r="Q64" s="586" t="e">
        <f t="shared" si="86"/>
        <v>#REF!</v>
      </c>
      <c r="R64" s="586" t="e">
        <f>#REF!</f>
        <v>#REF!</v>
      </c>
      <c r="S64" s="586" t="e">
        <f>#REF!</f>
        <v>#REF!</v>
      </c>
      <c r="T64" s="586" t="e">
        <f t="shared" si="87"/>
        <v>#REF!</v>
      </c>
      <c r="U64" s="586" t="e">
        <f>#REF!+#REF!</f>
        <v>#REF!</v>
      </c>
      <c r="V64" s="586" t="e">
        <f>#REF!</f>
        <v>#REF!</v>
      </c>
      <c r="W64" s="586" t="e">
        <f>#REF!</f>
        <v>#REF!</v>
      </c>
      <c r="X64" s="586" t="e">
        <f t="shared" si="88"/>
        <v>#REF!</v>
      </c>
      <c r="Y64" s="586" t="e">
        <f>#REF!+#REF!</f>
        <v>#REF!</v>
      </c>
      <c r="Z64" s="586" t="e">
        <f>#REF!+#REF!</f>
        <v>#REF!</v>
      </c>
      <c r="AA64" s="586" t="e">
        <f t="shared" si="89"/>
        <v>#REF!</v>
      </c>
      <c r="AB64" s="586"/>
      <c r="AC64" s="586" t="e">
        <f t="shared" si="90"/>
        <v>#REF!</v>
      </c>
      <c r="AE64" s="586">
        <f t="shared" si="91"/>
        <v>10571</v>
      </c>
      <c r="AF64" s="586" t="e">
        <f t="shared" si="92"/>
        <v>#REF!</v>
      </c>
      <c r="AG64" s="586" t="e">
        <f t="shared" si="93"/>
        <v>#REF!</v>
      </c>
      <c r="AH64" s="586">
        <f t="shared" si="94"/>
        <v>10571</v>
      </c>
      <c r="AI64" s="586" t="e">
        <f t="shared" si="95"/>
        <v>#REF!</v>
      </c>
      <c r="AJ64" s="586" t="e">
        <f t="shared" si="96"/>
        <v>#REF!</v>
      </c>
      <c r="AL64" s="566" t="e">
        <f>#REF!+#REF!</f>
        <v>#REF!</v>
      </c>
    </row>
    <row r="65" spans="1:38" x14ac:dyDescent="0.2">
      <c r="A65" s="44" t="s">
        <v>481</v>
      </c>
      <c r="B65" s="445" t="s">
        <v>446</v>
      </c>
      <c r="C65" s="589" t="s">
        <v>253</v>
      </c>
      <c r="D65" s="56">
        <v>9973</v>
      </c>
      <c r="E65" s="586" t="e">
        <f>'Reg.2(1-15)'!K39+#REF!</f>
        <v>#REF!</v>
      </c>
      <c r="F65" s="586" t="e">
        <f>#REF!+#REF!</f>
        <v>#REF!</v>
      </c>
      <c r="G65" s="586" t="e">
        <f>#REF!+#REF!</f>
        <v>#REF!</v>
      </c>
      <c r="H65" s="586" t="e">
        <f>#REF!+#REF!</f>
        <v>#REF!</v>
      </c>
      <c r="I65" s="586"/>
      <c r="J65" s="586" t="e">
        <f>#REF!+#REF!</f>
        <v>#REF!</v>
      </c>
      <c r="K65" s="586" t="e">
        <f>#REF!+#REF!</f>
        <v>#REF!</v>
      </c>
      <c r="L65" s="586" t="e">
        <f>#REF!+#REF!</f>
        <v>#REF!</v>
      </c>
      <c r="M65" s="586" t="e">
        <f>#REF!+#REF!</f>
        <v>#REF!</v>
      </c>
      <c r="N65" s="586">
        <v>99.73</v>
      </c>
      <c r="O65" s="586" t="e">
        <f>#REF!</f>
        <v>#REF!</v>
      </c>
      <c r="P65" s="586" t="e">
        <f>#REF!</f>
        <v>#REF!</v>
      </c>
      <c r="Q65" s="586" t="e">
        <f t="shared" si="86"/>
        <v>#REF!</v>
      </c>
      <c r="R65" s="586" t="e">
        <f>#REF!</f>
        <v>#REF!</v>
      </c>
      <c r="S65" s="586" t="e">
        <f>#REF!</f>
        <v>#REF!</v>
      </c>
      <c r="T65" s="586" t="e">
        <f t="shared" si="87"/>
        <v>#REF!</v>
      </c>
      <c r="U65" s="586" t="e">
        <f>#REF!+#REF!</f>
        <v>#REF!</v>
      </c>
      <c r="V65" s="586" t="e">
        <f>#REF!</f>
        <v>#REF!</v>
      </c>
      <c r="W65" s="586" t="e">
        <f>#REF!</f>
        <v>#REF!</v>
      </c>
      <c r="X65" s="586" t="e">
        <f t="shared" si="88"/>
        <v>#REF!</v>
      </c>
      <c r="Y65" s="602" t="e">
        <f>#REF!+#REF!</f>
        <v>#REF!</v>
      </c>
      <c r="Z65" s="586" t="e">
        <f>#REF!+#REF!</f>
        <v>#REF!</v>
      </c>
      <c r="AA65" s="586" t="e">
        <f t="shared" si="89"/>
        <v>#REF!</v>
      </c>
      <c r="AB65" s="586"/>
      <c r="AC65" s="586" t="e">
        <f t="shared" si="90"/>
        <v>#REF!</v>
      </c>
      <c r="AE65" s="586">
        <f t="shared" si="91"/>
        <v>9973</v>
      </c>
      <c r="AF65" s="586" t="e">
        <f t="shared" si="92"/>
        <v>#REF!</v>
      </c>
      <c r="AG65" s="586" t="e">
        <f t="shared" si="93"/>
        <v>#REF!</v>
      </c>
      <c r="AH65" s="586">
        <f t="shared" si="94"/>
        <v>9973</v>
      </c>
      <c r="AI65" s="586" t="e">
        <f t="shared" si="95"/>
        <v>#REF!</v>
      </c>
      <c r="AJ65" s="586" t="e">
        <f t="shared" si="96"/>
        <v>#REF!</v>
      </c>
      <c r="AL65" s="566" t="e">
        <f>#REF!+#REF!</f>
        <v>#REF!</v>
      </c>
    </row>
    <row r="66" spans="1:38" x14ac:dyDescent="0.2">
      <c r="A66" s="44" t="s">
        <v>452</v>
      </c>
      <c r="B66" s="445" t="s">
        <v>446</v>
      </c>
      <c r="C66" s="589" t="s">
        <v>253</v>
      </c>
      <c r="D66" s="56">
        <v>9973</v>
      </c>
      <c r="E66" s="586" t="e">
        <f>'Reg.2(1-15)'!K38+#REF!</f>
        <v>#REF!</v>
      </c>
      <c r="F66" s="586" t="e">
        <f>#REF!+#REF!</f>
        <v>#REF!</v>
      </c>
      <c r="G66" s="586" t="e">
        <f>#REF!+#REF!</f>
        <v>#REF!</v>
      </c>
      <c r="H66" s="586" t="e">
        <f>#REF!+#REF!</f>
        <v>#REF!</v>
      </c>
      <c r="I66" s="586"/>
      <c r="J66" s="586" t="e">
        <f>#REF!+#REF!</f>
        <v>#REF!</v>
      </c>
      <c r="K66" s="586" t="e">
        <f>#REF!+#REF!</f>
        <v>#REF!</v>
      </c>
      <c r="L66" s="586" t="e">
        <f>#REF!+#REF!</f>
        <v>#REF!</v>
      </c>
      <c r="M66" s="586" t="e">
        <f>#REF!+#REF!</f>
        <v>#REF!</v>
      </c>
      <c r="N66" s="586">
        <v>99.73</v>
      </c>
      <c r="O66" s="586" t="e">
        <f>#REF!</f>
        <v>#REF!</v>
      </c>
      <c r="P66" s="586" t="e">
        <f>#REF!</f>
        <v>#REF!</v>
      </c>
      <c r="Q66" s="586" t="e">
        <f t="shared" si="86"/>
        <v>#REF!</v>
      </c>
      <c r="R66" s="586" t="e">
        <f>#REF!</f>
        <v>#REF!</v>
      </c>
      <c r="S66" s="586" t="e">
        <f>#REF!</f>
        <v>#REF!</v>
      </c>
      <c r="T66" s="586" t="e">
        <f t="shared" si="87"/>
        <v>#REF!</v>
      </c>
      <c r="U66" s="586" t="e">
        <f>#REF!+#REF!</f>
        <v>#REF!</v>
      </c>
      <c r="V66" s="586" t="e">
        <f>#REF!</f>
        <v>#REF!</v>
      </c>
      <c r="W66" s="586" t="e">
        <f>#REF!</f>
        <v>#REF!</v>
      </c>
      <c r="X66" s="586" t="e">
        <f t="shared" si="88"/>
        <v>#REF!</v>
      </c>
      <c r="Y66" s="602" t="e">
        <f>#REF!+#REF!</f>
        <v>#REF!</v>
      </c>
      <c r="Z66" s="586" t="e">
        <f>#REF!+#REF!</f>
        <v>#REF!</v>
      </c>
      <c r="AA66" s="586" t="e">
        <f t="shared" si="89"/>
        <v>#REF!</v>
      </c>
      <c r="AB66" s="586"/>
      <c r="AC66" s="586" t="e">
        <f t="shared" si="90"/>
        <v>#REF!</v>
      </c>
      <c r="AE66" s="586">
        <f t="shared" si="91"/>
        <v>9973</v>
      </c>
      <c r="AF66" s="586" t="e">
        <f t="shared" si="92"/>
        <v>#REF!</v>
      </c>
      <c r="AG66" s="586" t="e">
        <f t="shared" si="93"/>
        <v>#REF!</v>
      </c>
      <c r="AH66" s="586">
        <f t="shared" si="94"/>
        <v>9973</v>
      </c>
      <c r="AI66" s="586" t="e">
        <f t="shared" si="95"/>
        <v>#REF!</v>
      </c>
      <c r="AJ66" s="586" t="e">
        <f t="shared" si="96"/>
        <v>#REF!</v>
      </c>
      <c r="AL66" s="566" t="e">
        <f>#REF!+#REF!</f>
        <v>#REF!</v>
      </c>
    </row>
    <row r="67" spans="1:38" x14ac:dyDescent="0.2">
      <c r="A67" s="44" t="s">
        <v>453</v>
      </c>
      <c r="B67" s="445" t="s">
        <v>446</v>
      </c>
      <c r="C67" s="589" t="s">
        <v>253</v>
      </c>
      <c r="D67" s="56">
        <v>9973</v>
      </c>
      <c r="E67" s="586" t="e">
        <f>'Reg.2(1-15)'!K40+#REF!</f>
        <v>#REF!</v>
      </c>
      <c r="F67" s="586" t="e">
        <f>#REF!+#REF!</f>
        <v>#REF!</v>
      </c>
      <c r="G67" s="586" t="e">
        <f>#REF!+#REF!</f>
        <v>#REF!</v>
      </c>
      <c r="H67" s="586" t="e">
        <f>#REF!+#REF!</f>
        <v>#REF!</v>
      </c>
      <c r="I67" s="586"/>
      <c r="J67" s="586" t="e">
        <f>#REF!+#REF!</f>
        <v>#REF!</v>
      </c>
      <c r="K67" s="586" t="e">
        <f>#REF!+#REF!</f>
        <v>#REF!</v>
      </c>
      <c r="L67" s="586" t="e">
        <f>#REF!+#REF!</f>
        <v>#REF!</v>
      </c>
      <c r="M67" s="586" t="e">
        <f>#REF!+#REF!</f>
        <v>#REF!</v>
      </c>
      <c r="N67" s="586">
        <v>99.73</v>
      </c>
      <c r="O67" s="586" t="e">
        <f>#REF!</f>
        <v>#REF!</v>
      </c>
      <c r="P67" s="586" t="e">
        <f>#REF!</f>
        <v>#REF!</v>
      </c>
      <c r="Q67" s="586" t="e">
        <f t="shared" si="86"/>
        <v>#REF!</v>
      </c>
      <c r="R67" s="586" t="e">
        <f>#REF!</f>
        <v>#REF!</v>
      </c>
      <c r="S67" s="586" t="e">
        <f>#REF!</f>
        <v>#REF!</v>
      </c>
      <c r="T67" s="586" t="e">
        <f t="shared" si="87"/>
        <v>#REF!</v>
      </c>
      <c r="U67" s="586" t="e">
        <f>#REF!+#REF!</f>
        <v>#REF!</v>
      </c>
      <c r="V67" s="586" t="e">
        <f>#REF!</f>
        <v>#REF!</v>
      </c>
      <c r="W67" s="586" t="e">
        <f>#REF!</f>
        <v>#REF!</v>
      </c>
      <c r="X67" s="586" t="e">
        <f t="shared" si="88"/>
        <v>#REF!</v>
      </c>
      <c r="Y67" s="586" t="e">
        <f>#REF!+#REF!</f>
        <v>#REF!</v>
      </c>
      <c r="Z67" s="586" t="e">
        <f>#REF!+#REF!</f>
        <v>#REF!</v>
      </c>
      <c r="AA67" s="586" t="e">
        <f t="shared" si="89"/>
        <v>#REF!</v>
      </c>
      <c r="AB67" s="586"/>
      <c r="AC67" s="586" t="e">
        <f t="shared" si="90"/>
        <v>#REF!</v>
      </c>
      <c r="AE67" s="586">
        <f t="shared" si="91"/>
        <v>9973</v>
      </c>
      <c r="AF67" s="586" t="e">
        <f t="shared" si="92"/>
        <v>#REF!</v>
      </c>
      <c r="AG67" s="586" t="e">
        <f t="shared" si="93"/>
        <v>#REF!</v>
      </c>
      <c r="AH67" s="586">
        <f t="shared" si="94"/>
        <v>9973</v>
      </c>
      <c r="AI67" s="586" t="e">
        <f t="shared" si="95"/>
        <v>#REF!</v>
      </c>
      <c r="AJ67" s="586" t="e">
        <f t="shared" si="96"/>
        <v>#REF!</v>
      </c>
      <c r="AL67" s="566" t="e">
        <f>#REF!+#REF!</f>
        <v>#REF!</v>
      </c>
    </row>
    <row r="68" spans="1:38" x14ac:dyDescent="0.2">
      <c r="A68" s="44" t="s">
        <v>521</v>
      </c>
      <c r="B68" s="574" t="s">
        <v>446</v>
      </c>
      <c r="C68" s="589" t="s">
        <v>253</v>
      </c>
      <c r="D68" s="45">
        <v>9973</v>
      </c>
      <c r="E68" s="586" t="e">
        <f>'Reg.2(1-15)'!K35+#REF!</f>
        <v>#REF!</v>
      </c>
      <c r="F68" s="586" t="e">
        <f>#REF!+#REF!</f>
        <v>#REF!</v>
      </c>
      <c r="G68" s="586" t="e">
        <f>#REF!+#REF!</f>
        <v>#REF!</v>
      </c>
      <c r="H68" s="586" t="e">
        <f>#REF!+#REF!</f>
        <v>#REF!</v>
      </c>
      <c r="I68" s="586"/>
      <c r="J68" s="586" t="e">
        <f>#REF!+#REF!</f>
        <v>#REF!</v>
      </c>
      <c r="K68" s="586" t="e">
        <f>#REF!+#REF!</f>
        <v>#REF!</v>
      </c>
      <c r="L68" s="586" t="e">
        <f>#REF!+#REF!</f>
        <v>#REF!</v>
      </c>
      <c r="M68" s="586" t="e">
        <f>#REF!+#REF!</f>
        <v>#REF!</v>
      </c>
      <c r="N68" s="586">
        <v>99.73</v>
      </c>
      <c r="O68" s="586" t="e">
        <f>#REF!</f>
        <v>#REF!</v>
      </c>
      <c r="P68" s="586" t="e">
        <f>#REF!</f>
        <v>#REF!</v>
      </c>
      <c r="Q68" s="586" t="e">
        <f t="shared" si="86"/>
        <v>#REF!</v>
      </c>
      <c r="R68" s="586" t="e">
        <f>#REF!</f>
        <v>#REF!</v>
      </c>
      <c r="S68" s="586" t="e">
        <f>#REF!</f>
        <v>#REF!</v>
      </c>
      <c r="T68" s="586" t="e">
        <f t="shared" si="87"/>
        <v>#REF!</v>
      </c>
      <c r="U68" s="586" t="e">
        <f>#REF!+#REF!</f>
        <v>#REF!</v>
      </c>
      <c r="V68" s="586" t="e">
        <f>#REF!</f>
        <v>#REF!</v>
      </c>
      <c r="W68" s="586" t="e">
        <f>#REF!</f>
        <v>#REF!</v>
      </c>
      <c r="X68" s="586" t="e">
        <f t="shared" si="88"/>
        <v>#REF!</v>
      </c>
      <c r="Y68" s="586" t="e">
        <f>#REF!+#REF!</f>
        <v>#REF!</v>
      </c>
      <c r="Z68" s="586" t="e">
        <f>#REF!+#REF!</f>
        <v>#REF!</v>
      </c>
      <c r="AA68" s="586" t="e">
        <f t="shared" si="89"/>
        <v>#REF!</v>
      </c>
      <c r="AB68" s="586"/>
      <c r="AC68" s="586" t="e">
        <f t="shared" si="90"/>
        <v>#REF!</v>
      </c>
      <c r="AE68" s="586">
        <f t="shared" si="91"/>
        <v>9973</v>
      </c>
      <c r="AF68" s="586" t="e">
        <f t="shared" si="92"/>
        <v>#REF!</v>
      </c>
      <c r="AG68" s="586" t="e">
        <f t="shared" si="93"/>
        <v>#REF!</v>
      </c>
      <c r="AH68" s="586">
        <f t="shared" si="94"/>
        <v>9973</v>
      </c>
      <c r="AI68" s="586" t="e">
        <f t="shared" si="95"/>
        <v>#REF!</v>
      </c>
      <c r="AJ68" s="586" t="e">
        <f t="shared" si="96"/>
        <v>#REF!</v>
      </c>
      <c r="AL68" s="566" t="e">
        <f>#REF!+#REF!</f>
        <v>#REF!</v>
      </c>
    </row>
    <row r="69" spans="1:38" x14ac:dyDescent="0.2">
      <c r="A69" s="44" t="s">
        <v>482</v>
      </c>
      <c r="B69" s="445" t="s">
        <v>446</v>
      </c>
      <c r="C69" s="589" t="s">
        <v>253</v>
      </c>
      <c r="D69" s="56">
        <v>9973</v>
      </c>
      <c r="E69" s="586" t="e">
        <f>'Reg.2(1-15)'!#REF!+#REF!</f>
        <v>#REF!</v>
      </c>
      <c r="F69" s="586" t="e">
        <f>#REF!+#REF!</f>
        <v>#REF!</v>
      </c>
      <c r="G69" s="586" t="e">
        <f>#REF!+#REF!</f>
        <v>#REF!</v>
      </c>
      <c r="H69" s="586" t="e">
        <f>#REF!+#REF!</f>
        <v>#REF!</v>
      </c>
      <c r="I69" s="586"/>
      <c r="J69" s="586" t="e">
        <f>#REF!+#REF!</f>
        <v>#REF!</v>
      </c>
      <c r="K69" s="586" t="e">
        <f>#REF!+#REF!</f>
        <v>#REF!</v>
      </c>
      <c r="L69" s="586" t="e">
        <f>#REF!+#REF!</f>
        <v>#REF!</v>
      </c>
      <c r="M69" s="586" t="e">
        <f>#REF!+#REF!</f>
        <v>#REF!</v>
      </c>
      <c r="N69" s="586">
        <v>99.73</v>
      </c>
      <c r="O69" s="586" t="e">
        <f>#REF!</f>
        <v>#REF!</v>
      </c>
      <c r="P69" s="586" t="e">
        <f>#REF!</f>
        <v>#REF!</v>
      </c>
      <c r="Q69" s="586" t="e">
        <f t="shared" si="86"/>
        <v>#REF!</v>
      </c>
      <c r="R69" s="586" t="e">
        <f>#REF!</f>
        <v>#REF!</v>
      </c>
      <c r="S69" s="586" t="e">
        <f>#REF!</f>
        <v>#REF!</v>
      </c>
      <c r="T69" s="586" t="e">
        <f t="shared" si="87"/>
        <v>#REF!</v>
      </c>
      <c r="U69" s="586" t="e">
        <f>#REF!+#REF!</f>
        <v>#REF!</v>
      </c>
      <c r="V69" s="586" t="e">
        <f>#REF!</f>
        <v>#REF!</v>
      </c>
      <c r="W69" s="586" t="e">
        <f>#REF!</f>
        <v>#REF!</v>
      </c>
      <c r="X69" s="586" t="e">
        <f t="shared" si="88"/>
        <v>#REF!</v>
      </c>
      <c r="Y69" s="586" t="e">
        <f>#REF!+#REF!</f>
        <v>#REF!</v>
      </c>
      <c r="Z69" s="586" t="e">
        <f>#REF!+#REF!</f>
        <v>#REF!</v>
      </c>
      <c r="AA69" s="586" t="e">
        <f t="shared" si="89"/>
        <v>#REF!</v>
      </c>
      <c r="AB69" s="586"/>
      <c r="AC69" s="586" t="e">
        <f t="shared" si="90"/>
        <v>#REF!</v>
      </c>
      <c r="AE69" s="586">
        <f t="shared" si="91"/>
        <v>9973</v>
      </c>
      <c r="AF69" s="586" t="e">
        <f t="shared" si="92"/>
        <v>#REF!</v>
      </c>
      <c r="AG69" s="586" t="e">
        <f t="shared" si="93"/>
        <v>#REF!</v>
      </c>
      <c r="AH69" s="586">
        <f t="shared" si="94"/>
        <v>9973</v>
      </c>
      <c r="AI69" s="586" t="e">
        <f t="shared" si="95"/>
        <v>#REF!</v>
      </c>
      <c r="AJ69" s="586" t="e">
        <f t="shared" si="96"/>
        <v>#REF!</v>
      </c>
      <c r="AL69" s="566" t="e">
        <f>#REF!+#REF!</f>
        <v>#REF!</v>
      </c>
    </row>
    <row r="70" spans="1:38" x14ac:dyDescent="0.2">
      <c r="A70" s="44" t="s">
        <v>539</v>
      </c>
      <c r="B70" s="445" t="s">
        <v>446</v>
      </c>
      <c r="C70" s="589" t="s">
        <v>253</v>
      </c>
      <c r="D70" s="58">
        <v>9973</v>
      </c>
      <c r="E70" s="586" t="e">
        <f>'Reg.2(1-15)'!K34+#REF!</f>
        <v>#REF!</v>
      </c>
      <c r="F70" s="586" t="e">
        <f>#REF!+#REF!</f>
        <v>#REF!</v>
      </c>
      <c r="G70" s="586" t="e">
        <f>#REF!+#REF!</f>
        <v>#REF!</v>
      </c>
      <c r="H70" s="586" t="e">
        <f>#REF!+#REF!</f>
        <v>#REF!</v>
      </c>
      <c r="I70" s="586"/>
      <c r="J70" s="586" t="e">
        <f>#REF!+#REF!</f>
        <v>#REF!</v>
      </c>
      <c r="K70" s="586" t="e">
        <f>#REF!+#REF!</f>
        <v>#REF!</v>
      </c>
      <c r="L70" s="586" t="e">
        <f>#REF!+#REF!</f>
        <v>#REF!</v>
      </c>
      <c r="M70" s="586" t="e">
        <f>#REF!+#REF!</f>
        <v>#REF!</v>
      </c>
      <c r="N70" s="586">
        <v>99.73</v>
      </c>
      <c r="O70" s="586" t="e">
        <f>#REF!</f>
        <v>#REF!</v>
      </c>
      <c r="P70" s="586" t="e">
        <f>#REF!</f>
        <v>#REF!</v>
      </c>
      <c r="Q70" s="586" t="e">
        <f t="shared" si="86"/>
        <v>#REF!</v>
      </c>
      <c r="R70" s="586" t="e">
        <f>#REF!</f>
        <v>#REF!</v>
      </c>
      <c r="S70" s="586" t="e">
        <f>#REF!</f>
        <v>#REF!</v>
      </c>
      <c r="T70" s="586" t="e">
        <f t="shared" si="87"/>
        <v>#REF!</v>
      </c>
      <c r="U70" s="586" t="e">
        <f>#REF!+#REF!</f>
        <v>#REF!</v>
      </c>
      <c r="V70" s="586" t="e">
        <f>#REF!</f>
        <v>#REF!</v>
      </c>
      <c r="W70" s="586" t="e">
        <f>#REF!</f>
        <v>#REF!</v>
      </c>
      <c r="X70" s="586" t="e">
        <f t="shared" si="88"/>
        <v>#REF!</v>
      </c>
      <c r="Y70" s="586" t="e">
        <f>#REF!+#REF!</f>
        <v>#REF!</v>
      </c>
      <c r="Z70" s="586" t="e">
        <f>#REF!+#REF!</f>
        <v>#REF!</v>
      </c>
      <c r="AA70" s="586" t="e">
        <f t="shared" si="89"/>
        <v>#REF!</v>
      </c>
      <c r="AB70" s="586"/>
      <c r="AC70" s="586" t="e">
        <f t="shared" si="90"/>
        <v>#REF!</v>
      </c>
      <c r="AE70" s="586">
        <f t="shared" si="91"/>
        <v>9973</v>
      </c>
      <c r="AF70" s="586" t="e">
        <f t="shared" si="92"/>
        <v>#REF!</v>
      </c>
      <c r="AG70" s="586" t="e">
        <f t="shared" si="93"/>
        <v>#REF!</v>
      </c>
      <c r="AH70" s="586">
        <f t="shared" si="94"/>
        <v>9973</v>
      </c>
      <c r="AI70" s="586" t="e">
        <f t="shared" si="95"/>
        <v>#REF!</v>
      </c>
      <c r="AJ70" s="586" t="e">
        <f t="shared" si="96"/>
        <v>#REF!</v>
      </c>
      <c r="AL70" s="566" t="e">
        <f>#REF!+#REF!</f>
        <v>#REF!</v>
      </c>
    </row>
    <row r="71" spans="1:38" ht="13.5" thickBot="1" x14ac:dyDescent="0.25">
      <c r="A71" s="44"/>
      <c r="B71" s="445"/>
      <c r="C71" s="586"/>
      <c r="D71" s="157">
        <f>SUM(D55:D70)</f>
        <v>290632</v>
      </c>
      <c r="E71" s="157" t="e">
        <f t="shared" ref="E71:AC71" si="97">SUM(E55:E70)</f>
        <v>#REF!</v>
      </c>
      <c r="F71" s="157" t="e">
        <f t="shared" si="97"/>
        <v>#REF!</v>
      </c>
      <c r="G71" s="157" t="e">
        <f t="shared" si="97"/>
        <v>#REF!</v>
      </c>
      <c r="H71" s="157" t="e">
        <f t="shared" si="97"/>
        <v>#REF!</v>
      </c>
      <c r="I71" s="157">
        <f t="shared" si="97"/>
        <v>0</v>
      </c>
      <c r="J71" s="157" t="e">
        <f t="shared" si="97"/>
        <v>#REF!</v>
      </c>
      <c r="K71" s="157" t="e">
        <f t="shared" si="97"/>
        <v>#REF!</v>
      </c>
      <c r="L71" s="157" t="e">
        <f t="shared" si="97"/>
        <v>#REF!</v>
      </c>
      <c r="M71" s="157" t="e">
        <f t="shared" si="97"/>
        <v>#REF!</v>
      </c>
      <c r="N71" s="157">
        <f t="shared" si="97"/>
        <v>1598.38</v>
      </c>
      <c r="O71" s="157" t="e">
        <f t="shared" si="97"/>
        <v>#REF!</v>
      </c>
      <c r="P71" s="157" t="e">
        <f t="shared" si="97"/>
        <v>#REF!</v>
      </c>
      <c r="Q71" s="157" t="e">
        <f t="shared" si="97"/>
        <v>#REF!</v>
      </c>
      <c r="R71" s="157" t="e">
        <f t="shared" si="97"/>
        <v>#REF!</v>
      </c>
      <c r="S71" s="157" t="e">
        <f t="shared" si="97"/>
        <v>#REF!</v>
      </c>
      <c r="T71" s="157" t="e">
        <f t="shared" si="97"/>
        <v>#REF!</v>
      </c>
      <c r="U71" s="157" t="e">
        <f t="shared" si="97"/>
        <v>#REF!</v>
      </c>
      <c r="V71" s="157" t="e">
        <f t="shared" si="97"/>
        <v>#REF!</v>
      </c>
      <c r="W71" s="157" t="e">
        <f t="shared" si="97"/>
        <v>#REF!</v>
      </c>
      <c r="X71" s="157" t="e">
        <f t="shared" si="97"/>
        <v>#REF!</v>
      </c>
      <c r="Y71" s="157" t="e">
        <f t="shared" si="97"/>
        <v>#REF!</v>
      </c>
      <c r="Z71" s="157" t="e">
        <f t="shared" si="97"/>
        <v>#REF!</v>
      </c>
      <c r="AA71" s="157" t="e">
        <f t="shared" si="97"/>
        <v>#REF!</v>
      </c>
      <c r="AB71" s="157" t="e">
        <f t="shared" si="97"/>
        <v>#REF!</v>
      </c>
      <c r="AC71" s="157" t="e">
        <f t="shared" si="97"/>
        <v>#REF!</v>
      </c>
      <c r="AE71" s="601">
        <f>SUM(AE55:AE70)</f>
        <v>290632</v>
      </c>
      <c r="AF71" s="586"/>
      <c r="AG71" s="586"/>
      <c r="AH71" s="586"/>
      <c r="AI71" s="586"/>
      <c r="AJ71" s="586"/>
    </row>
    <row r="72" spans="1:38" ht="13.5" thickTop="1" x14ac:dyDescent="0.2">
      <c r="A72" s="408" t="s">
        <v>76</v>
      </c>
      <c r="B72" s="445"/>
      <c r="C72" s="586"/>
      <c r="D72" s="56"/>
      <c r="E72" s="586"/>
      <c r="F72" s="586"/>
      <c r="G72" s="586"/>
      <c r="H72" s="586"/>
      <c r="I72" s="586"/>
      <c r="J72" s="586"/>
      <c r="K72" s="586"/>
      <c r="L72" s="586"/>
      <c r="M72" s="586"/>
      <c r="N72" s="586"/>
      <c r="O72" s="586"/>
      <c r="P72" s="586"/>
      <c r="Q72" s="586"/>
      <c r="R72" s="586"/>
      <c r="S72" s="586"/>
      <c r="T72" s="586"/>
      <c r="U72" s="586"/>
      <c r="V72" s="586"/>
      <c r="W72" s="586"/>
      <c r="X72" s="586"/>
      <c r="Y72" s="586"/>
      <c r="Z72" s="586"/>
      <c r="AA72" s="586"/>
      <c r="AB72" s="586"/>
      <c r="AC72" s="586"/>
      <c r="AE72" s="586"/>
      <c r="AF72" s="586"/>
      <c r="AG72" s="586"/>
      <c r="AH72" s="586"/>
      <c r="AI72" s="586"/>
      <c r="AJ72" s="586"/>
    </row>
    <row r="73" spans="1:38" x14ac:dyDescent="0.2">
      <c r="A73" s="44" t="s">
        <v>259</v>
      </c>
      <c r="B73" s="445" t="s">
        <v>77</v>
      </c>
      <c r="C73" s="588" t="s">
        <v>575</v>
      </c>
      <c r="D73" s="54">
        <v>68921</v>
      </c>
      <c r="E73" s="586" t="e">
        <f>'Reg.2(1-15)'!K47+#REF!</f>
        <v>#REF!</v>
      </c>
      <c r="F73" s="586" t="e">
        <f>#REF!+#REF!</f>
        <v>#REF!</v>
      </c>
      <c r="G73" s="586" t="e">
        <f>#REF!+#REF!</f>
        <v>#REF!</v>
      </c>
      <c r="H73" s="586" t="e">
        <f>#REF!+#REF!</f>
        <v>#REF!</v>
      </c>
      <c r="I73" s="586"/>
      <c r="J73" s="586" t="e">
        <f>#REF!+#REF!</f>
        <v>#REF!</v>
      </c>
      <c r="K73" s="586" t="e">
        <f>#REF!+#REF!</f>
        <v>#REF!</v>
      </c>
      <c r="L73" s="586" t="e">
        <f>#REF!+#REF!</f>
        <v>#REF!</v>
      </c>
      <c r="M73" s="586" t="e">
        <f>#REF!+#REF!</f>
        <v>#REF!</v>
      </c>
      <c r="N73" s="586"/>
      <c r="O73" s="586" t="e">
        <f>#REF!</f>
        <v>#REF!</v>
      </c>
      <c r="P73" s="586" t="e">
        <f>#REF!</f>
        <v>#REF!</v>
      </c>
      <c r="Q73" s="586" t="e">
        <f t="shared" ref="Q73:Q77" si="98">SUM(E73:P73)</f>
        <v>#REF!</v>
      </c>
      <c r="R73" s="586" t="e">
        <f>#REF!</f>
        <v>#REF!</v>
      </c>
      <c r="S73" s="586" t="e">
        <f>#REF!</f>
        <v>#REF!</v>
      </c>
      <c r="T73" s="586" t="e">
        <f t="shared" ref="T73:T77" si="99">R73+S73</f>
        <v>#REF!</v>
      </c>
      <c r="U73" s="586" t="e">
        <f>#REF!+#REF!</f>
        <v>#REF!</v>
      </c>
      <c r="V73" s="586" t="e">
        <f>#REF!</f>
        <v>#REF!</v>
      </c>
      <c r="W73" s="586" t="e">
        <f>#REF!</f>
        <v>#REF!</v>
      </c>
      <c r="X73" s="586" t="e">
        <f t="shared" ref="X73:X77" si="100">SUM(U73:W73)</f>
        <v>#REF!</v>
      </c>
      <c r="Y73" s="602" t="e">
        <f>#REF!+#REF!</f>
        <v>#REF!</v>
      </c>
      <c r="Z73" s="586" t="e">
        <f>#REF!+#REF!</f>
        <v>#REF!</v>
      </c>
      <c r="AA73" s="586" t="e">
        <f t="shared" ref="AA73:AA77" si="101">SUM(Y73:Z73)</f>
        <v>#REF!</v>
      </c>
      <c r="AB73" s="586" t="e">
        <f>#REF!</f>
        <v>#REF!</v>
      </c>
      <c r="AC73" s="586" t="e">
        <f t="shared" ref="AC73:AC77" si="102">Q73+T73+X73+AA73+AB73</f>
        <v>#REF!</v>
      </c>
      <c r="AE73" s="586">
        <f t="shared" ref="AE73:AE77" si="103">D73</f>
        <v>68921</v>
      </c>
      <c r="AF73" s="586" t="e">
        <f t="shared" ref="AF73:AF77" si="104">SUM(E73:M73)+O73+R73+U73+V73+AA73+AB73</f>
        <v>#REF!</v>
      </c>
      <c r="AG73" s="586" t="e">
        <f t="shared" ref="AG73:AG77" si="105">AE73-AF73</f>
        <v>#REF!</v>
      </c>
      <c r="AH73" s="586">
        <f t="shared" ref="AH73:AH77" si="106">AE73</f>
        <v>68921</v>
      </c>
      <c r="AI73" s="586" t="e">
        <f t="shared" ref="AI73:AI77" si="107">P73+S73+W73</f>
        <v>#REF!</v>
      </c>
      <c r="AJ73" s="586" t="e">
        <f t="shared" ref="AJ73:AJ77" si="108">AH73+AI73</f>
        <v>#REF!</v>
      </c>
      <c r="AL73" s="566" t="e">
        <f>#REF!+#REF!</f>
        <v>#REF!</v>
      </c>
    </row>
    <row r="74" spans="1:38" x14ac:dyDescent="0.2">
      <c r="A74" s="44" t="s">
        <v>168</v>
      </c>
      <c r="B74" s="445" t="s">
        <v>78</v>
      </c>
      <c r="C74" s="589" t="s">
        <v>253</v>
      </c>
      <c r="D74" s="54">
        <v>14380</v>
      </c>
      <c r="E74" s="586" t="e">
        <f>'Reg.2(1-15)'!K48+#REF!</f>
        <v>#REF!</v>
      </c>
      <c r="F74" s="586" t="e">
        <f>#REF!+#REF!</f>
        <v>#REF!</v>
      </c>
      <c r="G74" s="586" t="e">
        <f>#REF!+#REF!</f>
        <v>#REF!</v>
      </c>
      <c r="H74" s="586" t="e">
        <f>#REF!+#REF!</f>
        <v>#REF!</v>
      </c>
      <c r="I74" s="586"/>
      <c r="J74" s="586" t="e">
        <f>#REF!+#REF!</f>
        <v>#REF!</v>
      </c>
      <c r="K74" s="586" t="e">
        <f>#REF!+#REF!</f>
        <v>#REF!</v>
      </c>
      <c r="L74" s="586" t="e">
        <f>#REF!+#REF!</f>
        <v>#REF!</v>
      </c>
      <c r="M74" s="586" t="e">
        <f>#REF!+#REF!</f>
        <v>#REF!</v>
      </c>
      <c r="N74" s="586">
        <v>100</v>
      </c>
      <c r="O74" s="586" t="e">
        <f>#REF!</f>
        <v>#REF!</v>
      </c>
      <c r="P74" s="586" t="e">
        <f>#REF!</f>
        <v>#REF!</v>
      </c>
      <c r="Q74" s="586" t="e">
        <f t="shared" si="98"/>
        <v>#REF!</v>
      </c>
      <c r="R74" s="586" t="e">
        <f>#REF!</f>
        <v>#REF!</v>
      </c>
      <c r="S74" s="586" t="e">
        <f>#REF!</f>
        <v>#REF!</v>
      </c>
      <c r="T74" s="586" t="e">
        <f t="shared" si="99"/>
        <v>#REF!</v>
      </c>
      <c r="U74" s="586" t="e">
        <f>#REF!+#REF!</f>
        <v>#REF!</v>
      </c>
      <c r="V74" s="586" t="e">
        <f>#REF!</f>
        <v>#REF!</v>
      </c>
      <c r="W74" s="586" t="e">
        <f>#REF!</f>
        <v>#REF!</v>
      </c>
      <c r="X74" s="586" t="e">
        <f t="shared" si="100"/>
        <v>#REF!</v>
      </c>
      <c r="Y74" s="586" t="e">
        <f>#REF!+#REF!</f>
        <v>#REF!</v>
      </c>
      <c r="Z74" s="586" t="e">
        <f>#REF!+#REF!</f>
        <v>#REF!</v>
      </c>
      <c r="AA74" s="586" t="e">
        <f t="shared" si="101"/>
        <v>#REF!</v>
      </c>
      <c r="AB74" s="586"/>
      <c r="AC74" s="586" t="e">
        <f t="shared" si="102"/>
        <v>#REF!</v>
      </c>
      <c r="AE74" s="586">
        <f t="shared" si="103"/>
        <v>14380</v>
      </c>
      <c r="AF74" s="586" t="e">
        <f t="shared" si="104"/>
        <v>#REF!</v>
      </c>
      <c r="AG74" s="586" t="e">
        <f t="shared" si="105"/>
        <v>#REF!</v>
      </c>
      <c r="AH74" s="586">
        <f t="shared" si="106"/>
        <v>14380</v>
      </c>
      <c r="AI74" s="586" t="e">
        <f t="shared" si="107"/>
        <v>#REF!</v>
      </c>
      <c r="AJ74" s="586" t="e">
        <f t="shared" si="108"/>
        <v>#REF!</v>
      </c>
      <c r="AL74" s="566" t="e">
        <f>#REF!+#REF!</f>
        <v>#REF!</v>
      </c>
    </row>
    <row r="75" spans="1:38" x14ac:dyDescent="0.2">
      <c r="A75" s="44" t="s">
        <v>197</v>
      </c>
      <c r="B75" s="574" t="s">
        <v>527</v>
      </c>
      <c r="C75" s="589" t="s">
        <v>253</v>
      </c>
      <c r="D75" s="45">
        <v>11878</v>
      </c>
      <c r="E75" s="586" t="e">
        <f>'Reg.2(1-15)'!K49+#REF!</f>
        <v>#REF!</v>
      </c>
      <c r="F75" s="586" t="e">
        <f>#REF!+#REF!</f>
        <v>#REF!</v>
      </c>
      <c r="G75" s="586" t="e">
        <f>#REF!+#REF!</f>
        <v>#REF!</v>
      </c>
      <c r="H75" s="586" t="e">
        <f>#REF!+#REF!</f>
        <v>#REF!</v>
      </c>
      <c r="I75" s="586"/>
      <c r="J75" s="586" t="e">
        <f>#REF!+#REF!</f>
        <v>#REF!</v>
      </c>
      <c r="K75" s="586" t="e">
        <f>#REF!+#REF!</f>
        <v>#REF!</v>
      </c>
      <c r="L75" s="586" t="e">
        <f>#REF!+#REF!</f>
        <v>#REF!</v>
      </c>
      <c r="M75" s="586" t="e">
        <f>#REF!+#REF!</f>
        <v>#REF!</v>
      </c>
      <c r="N75" s="586">
        <v>100</v>
      </c>
      <c r="O75" s="586" t="e">
        <f>#REF!</f>
        <v>#REF!</v>
      </c>
      <c r="P75" s="586" t="e">
        <f>#REF!</f>
        <v>#REF!</v>
      </c>
      <c r="Q75" s="586" t="e">
        <f t="shared" si="98"/>
        <v>#REF!</v>
      </c>
      <c r="R75" s="586" t="e">
        <f>#REF!</f>
        <v>#REF!</v>
      </c>
      <c r="S75" s="586" t="e">
        <f>#REF!</f>
        <v>#REF!</v>
      </c>
      <c r="T75" s="586" t="e">
        <f t="shared" si="99"/>
        <v>#REF!</v>
      </c>
      <c r="U75" s="586" t="e">
        <f>#REF!+#REF!</f>
        <v>#REF!</v>
      </c>
      <c r="V75" s="586" t="e">
        <f>#REF!</f>
        <v>#REF!</v>
      </c>
      <c r="W75" s="586" t="e">
        <f>#REF!</f>
        <v>#REF!</v>
      </c>
      <c r="X75" s="586" t="e">
        <f t="shared" si="100"/>
        <v>#REF!</v>
      </c>
      <c r="Y75" s="586" t="e">
        <f>#REF!+#REF!</f>
        <v>#REF!</v>
      </c>
      <c r="Z75" s="586" t="e">
        <f>#REF!+#REF!</f>
        <v>#REF!</v>
      </c>
      <c r="AA75" s="586" t="e">
        <f t="shared" si="101"/>
        <v>#REF!</v>
      </c>
      <c r="AB75" s="586"/>
      <c r="AC75" s="586" t="e">
        <f t="shared" si="102"/>
        <v>#REF!</v>
      </c>
      <c r="AE75" s="586">
        <f t="shared" si="103"/>
        <v>11878</v>
      </c>
      <c r="AF75" s="586" t="e">
        <f t="shared" si="104"/>
        <v>#REF!</v>
      </c>
      <c r="AG75" s="586" t="e">
        <f t="shared" si="105"/>
        <v>#REF!</v>
      </c>
      <c r="AH75" s="586">
        <f t="shared" si="106"/>
        <v>11878</v>
      </c>
      <c r="AI75" s="586" t="e">
        <f t="shared" si="107"/>
        <v>#REF!</v>
      </c>
      <c r="AJ75" s="586" t="e">
        <f t="shared" si="108"/>
        <v>#REF!</v>
      </c>
      <c r="AL75" s="566" t="e">
        <f>#REF!+#REF!</f>
        <v>#REF!</v>
      </c>
    </row>
    <row r="76" spans="1:38" x14ac:dyDescent="0.2">
      <c r="A76" s="44" t="s">
        <v>532</v>
      </c>
      <c r="B76" s="445" t="s">
        <v>533</v>
      </c>
      <c r="C76" s="589" t="s">
        <v>253</v>
      </c>
      <c r="D76" s="45">
        <v>10571</v>
      </c>
      <c r="E76" s="586" t="e">
        <f>'Reg.2(1-15)'!K50+#REF!</f>
        <v>#REF!</v>
      </c>
      <c r="F76" s="586" t="e">
        <f>#REF!+#REF!</f>
        <v>#REF!</v>
      </c>
      <c r="G76" s="586" t="e">
        <f>#REF!+#REF!</f>
        <v>#REF!</v>
      </c>
      <c r="H76" s="586" t="e">
        <f>#REF!+#REF!</f>
        <v>#REF!</v>
      </c>
      <c r="I76" s="586"/>
      <c r="J76" s="586" t="e">
        <f>#REF!+#REF!</f>
        <v>#REF!</v>
      </c>
      <c r="K76" s="586" t="e">
        <f>#REF!+#REF!</f>
        <v>#REF!</v>
      </c>
      <c r="L76" s="586" t="e">
        <f>#REF!+#REF!</f>
        <v>#REF!</v>
      </c>
      <c r="M76" s="586" t="e">
        <f>#REF!+#REF!</f>
        <v>#REF!</v>
      </c>
      <c r="N76" s="586">
        <v>100</v>
      </c>
      <c r="O76" s="586" t="e">
        <f>#REF!</f>
        <v>#REF!</v>
      </c>
      <c r="P76" s="586" t="e">
        <f>#REF!</f>
        <v>#REF!</v>
      </c>
      <c r="Q76" s="586" t="e">
        <f t="shared" si="98"/>
        <v>#REF!</v>
      </c>
      <c r="R76" s="586" t="e">
        <f>#REF!</f>
        <v>#REF!</v>
      </c>
      <c r="S76" s="586" t="e">
        <f>#REF!</f>
        <v>#REF!</v>
      </c>
      <c r="T76" s="586" t="e">
        <f t="shared" si="99"/>
        <v>#REF!</v>
      </c>
      <c r="U76" s="586" t="e">
        <f>#REF!+#REF!</f>
        <v>#REF!</v>
      </c>
      <c r="V76" s="586" t="e">
        <f>#REF!</f>
        <v>#REF!</v>
      </c>
      <c r="W76" s="586" t="e">
        <f>#REF!</f>
        <v>#REF!</v>
      </c>
      <c r="X76" s="586" t="e">
        <f t="shared" si="100"/>
        <v>#REF!</v>
      </c>
      <c r="Y76" s="586" t="e">
        <f>#REF!+#REF!</f>
        <v>#REF!</v>
      </c>
      <c r="Z76" s="586" t="e">
        <f>#REF!+#REF!</f>
        <v>#REF!</v>
      </c>
      <c r="AA76" s="586" t="e">
        <f t="shared" si="101"/>
        <v>#REF!</v>
      </c>
      <c r="AB76" s="586"/>
      <c r="AC76" s="586" t="e">
        <f t="shared" si="102"/>
        <v>#REF!</v>
      </c>
      <c r="AE76" s="586">
        <f t="shared" si="103"/>
        <v>10571</v>
      </c>
      <c r="AF76" s="586" t="e">
        <f t="shared" si="104"/>
        <v>#REF!</v>
      </c>
      <c r="AG76" s="586" t="e">
        <f t="shared" si="105"/>
        <v>#REF!</v>
      </c>
      <c r="AH76" s="586">
        <f t="shared" si="106"/>
        <v>10571</v>
      </c>
      <c r="AI76" s="586" t="e">
        <f t="shared" si="107"/>
        <v>#REF!</v>
      </c>
      <c r="AJ76" s="586" t="e">
        <f t="shared" si="108"/>
        <v>#REF!</v>
      </c>
      <c r="AL76" s="566" t="e">
        <f>#REF!+#REF!</f>
        <v>#REF!</v>
      </c>
    </row>
    <row r="77" spans="1:38" x14ac:dyDescent="0.2">
      <c r="A77" s="44" t="s">
        <v>451</v>
      </c>
      <c r="B77" s="445" t="s">
        <v>446</v>
      </c>
      <c r="C77" s="589" t="s">
        <v>253</v>
      </c>
      <c r="D77" s="59">
        <v>9973</v>
      </c>
      <c r="E77" s="586" t="e">
        <f>'Reg.2(1-15)'!K52+#REF!</f>
        <v>#REF!</v>
      </c>
      <c r="F77" s="586" t="e">
        <f>#REF!+#REF!</f>
        <v>#REF!</v>
      </c>
      <c r="G77" s="586" t="e">
        <f>#REF!+#REF!</f>
        <v>#REF!</v>
      </c>
      <c r="H77" s="586" t="e">
        <f>#REF!+#REF!</f>
        <v>#REF!</v>
      </c>
      <c r="I77" s="586"/>
      <c r="J77" s="586" t="e">
        <f>#REF!+#REF!</f>
        <v>#REF!</v>
      </c>
      <c r="K77" s="586" t="e">
        <f>#REF!+#REF!</f>
        <v>#REF!</v>
      </c>
      <c r="L77" s="586" t="e">
        <f>#REF!+#REF!</f>
        <v>#REF!</v>
      </c>
      <c r="M77" s="586" t="e">
        <f>#REF!+#REF!</f>
        <v>#REF!</v>
      </c>
      <c r="N77" s="586">
        <v>99.73</v>
      </c>
      <c r="O77" s="586" t="e">
        <f>#REF!</f>
        <v>#REF!</v>
      </c>
      <c r="P77" s="586" t="e">
        <f>#REF!</f>
        <v>#REF!</v>
      </c>
      <c r="Q77" s="586" t="e">
        <f t="shared" si="98"/>
        <v>#REF!</v>
      </c>
      <c r="R77" s="586" t="e">
        <f>#REF!</f>
        <v>#REF!</v>
      </c>
      <c r="S77" s="586" t="e">
        <f>#REF!</f>
        <v>#REF!</v>
      </c>
      <c r="T77" s="586" t="e">
        <f t="shared" si="99"/>
        <v>#REF!</v>
      </c>
      <c r="U77" s="586" t="e">
        <f>#REF!+#REF!</f>
        <v>#REF!</v>
      </c>
      <c r="V77" s="586" t="e">
        <f>#REF!</f>
        <v>#REF!</v>
      </c>
      <c r="W77" s="586" t="e">
        <f>#REF!</f>
        <v>#REF!</v>
      </c>
      <c r="X77" s="586" t="e">
        <f t="shared" si="100"/>
        <v>#REF!</v>
      </c>
      <c r="Y77" s="586" t="e">
        <f>#REF!+#REF!</f>
        <v>#REF!</v>
      </c>
      <c r="Z77" s="586" t="e">
        <f>#REF!+#REF!</f>
        <v>#REF!</v>
      </c>
      <c r="AA77" s="586" t="e">
        <f t="shared" si="101"/>
        <v>#REF!</v>
      </c>
      <c r="AB77" s="586"/>
      <c r="AC77" s="586" t="e">
        <f t="shared" si="102"/>
        <v>#REF!</v>
      </c>
      <c r="AE77" s="586">
        <f t="shared" si="103"/>
        <v>9973</v>
      </c>
      <c r="AF77" s="586" t="e">
        <f t="shared" si="104"/>
        <v>#REF!</v>
      </c>
      <c r="AG77" s="586" t="e">
        <f t="shared" si="105"/>
        <v>#REF!</v>
      </c>
      <c r="AH77" s="586">
        <f t="shared" si="106"/>
        <v>9973</v>
      </c>
      <c r="AI77" s="586" t="e">
        <f t="shared" si="107"/>
        <v>#REF!</v>
      </c>
      <c r="AJ77" s="586" t="e">
        <f t="shared" si="108"/>
        <v>#REF!</v>
      </c>
      <c r="AL77" s="566" t="e">
        <f>#REF!+#REF!</f>
        <v>#REF!</v>
      </c>
    </row>
    <row r="78" spans="1:38" ht="13.5" thickBot="1" x14ac:dyDescent="0.25">
      <c r="A78" s="44"/>
      <c r="B78" s="445"/>
      <c r="C78" s="586"/>
      <c r="D78" s="157">
        <f>SUM(D73:D77)</f>
        <v>115723</v>
      </c>
      <c r="E78" s="157" t="e">
        <f t="shared" ref="E78:AC78" si="109">SUM(E73:E77)</f>
        <v>#REF!</v>
      </c>
      <c r="F78" s="157" t="e">
        <f t="shared" si="109"/>
        <v>#REF!</v>
      </c>
      <c r="G78" s="157" t="e">
        <f t="shared" si="109"/>
        <v>#REF!</v>
      </c>
      <c r="H78" s="157" t="e">
        <f t="shared" si="109"/>
        <v>#REF!</v>
      </c>
      <c r="I78" s="157">
        <f t="shared" si="109"/>
        <v>0</v>
      </c>
      <c r="J78" s="157" t="e">
        <f t="shared" si="109"/>
        <v>#REF!</v>
      </c>
      <c r="K78" s="157" t="e">
        <f t="shared" si="109"/>
        <v>#REF!</v>
      </c>
      <c r="L78" s="157" t="e">
        <f t="shared" si="109"/>
        <v>#REF!</v>
      </c>
      <c r="M78" s="157" t="e">
        <f t="shared" si="109"/>
        <v>#REF!</v>
      </c>
      <c r="N78" s="157">
        <f>SUM(N74:N77)</f>
        <v>399.73</v>
      </c>
      <c r="O78" s="157" t="e">
        <f t="shared" si="109"/>
        <v>#REF!</v>
      </c>
      <c r="P78" s="157" t="e">
        <f t="shared" si="109"/>
        <v>#REF!</v>
      </c>
      <c r="Q78" s="157" t="e">
        <f t="shared" si="109"/>
        <v>#REF!</v>
      </c>
      <c r="R78" s="157" t="e">
        <f t="shared" si="109"/>
        <v>#REF!</v>
      </c>
      <c r="S78" s="157" t="e">
        <f t="shared" si="109"/>
        <v>#REF!</v>
      </c>
      <c r="T78" s="157" t="e">
        <f t="shared" si="109"/>
        <v>#REF!</v>
      </c>
      <c r="U78" s="157" t="e">
        <f t="shared" si="109"/>
        <v>#REF!</v>
      </c>
      <c r="V78" s="157" t="e">
        <f t="shared" si="109"/>
        <v>#REF!</v>
      </c>
      <c r="W78" s="157" t="e">
        <f t="shared" si="109"/>
        <v>#REF!</v>
      </c>
      <c r="X78" s="157" t="e">
        <f t="shared" si="109"/>
        <v>#REF!</v>
      </c>
      <c r="Y78" s="157" t="e">
        <f t="shared" si="109"/>
        <v>#REF!</v>
      </c>
      <c r="Z78" s="157" t="e">
        <f t="shared" si="109"/>
        <v>#REF!</v>
      </c>
      <c r="AA78" s="157" t="e">
        <f t="shared" si="109"/>
        <v>#REF!</v>
      </c>
      <c r="AB78" s="157" t="e">
        <f t="shared" si="109"/>
        <v>#REF!</v>
      </c>
      <c r="AC78" s="157" t="e">
        <f t="shared" si="109"/>
        <v>#REF!</v>
      </c>
      <c r="AE78" s="601">
        <f>SUM(AE73:AE77)</f>
        <v>115723</v>
      </c>
      <c r="AF78" s="586"/>
      <c r="AG78" s="586"/>
      <c r="AH78" s="586"/>
      <c r="AI78" s="586"/>
      <c r="AJ78" s="586"/>
    </row>
    <row r="79" spans="1:38" ht="13.5" thickTop="1" x14ac:dyDescent="0.2">
      <c r="A79" s="44"/>
      <c r="B79" s="445"/>
      <c r="C79" s="586"/>
      <c r="D79" s="55"/>
      <c r="E79" s="586"/>
      <c r="F79" s="586"/>
      <c r="G79" s="586"/>
      <c r="H79" s="586"/>
      <c r="I79" s="586"/>
      <c r="J79" s="586"/>
      <c r="K79" s="586"/>
      <c r="L79" s="586"/>
      <c r="M79" s="586"/>
      <c r="N79" s="586"/>
      <c r="O79" s="586"/>
      <c r="P79" s="586"/>
      <c r="Q79" s="586"/>
      <c r="R79" s="586"/>
      <c r="S79" s="586"/>
      <c r="T79" s="586"/>
      <c r="U79" s="586"/>
      <c r="V79" s="586"/>
      <c r="W79" s="586"/>
      <c r="X79" s="586"/>
      <c r="Y79" s="586"/>
      <c r="Z79" s="586"/>
      <c r="AA79" s="586"/>
      <c r="AB79" s="586"/>
      <c r="AC79" s="586"/>
      <c r="AE79" s="586"/>
      <c r="AF79" s="586"/>
      <c r="AG79" s="586"/>
      <c r="AH79" s="586"/>
      <c r="AI79" s="586"/>
      <c r="AJ79" s="586"/>
    </row>
    <row r="80" spans="1:38" ht="13.5" thickBot="1" x14ac:dyDescent="0.25">
      <c r="A80" s="403" t="s">
        <v>579</v>
      </c>
      <c r="B80" s="580"/>
      <c r="C80" s="597"/>
      <c r="D80" s="157">
        <f>D78+D71+D53</f>
        <v>585507</v>
      </c>
      <c r="E80" s="157" t="e">
        <f t="shared" ref="E80:AC80" si="110">E78+E71+E53</f>
        <v>#REF!</v>
      </c>
      <c r="F80" s="157" t="e">
        <f t="shared" si="110"/>
        <v>#REF!</v>
      </c>
      <c r="G80" s="157" t="e">
        <f t="shared" si="110"/>
        <v>#REF!</v>
      </c>
      <c r="H80" s="157" t="e">
        <f t="shared" si="110"/>
        <v>#REF!</v>
      </c>
      <c r="I80" s="157">
        <f t="shared" si="110"/>
        <v>0</v>
      </c>
      <c r="J80" s="157" t="e">
        <f t="shared" si="110"/>
        <v>#REF!</v>
      </c>
      <c r="K80" s="157" t="e">
        <f t="shared" si="110"/>
        <v>#REF!</v>
      </c>
      <c r="L80" s="157" t="e">
        <f t="shared" si="110"/>
        <v>#REF!</v>
      </c>
      <c r="M80" s="157" t="e">
        <f t="shared" si="110"/>
        <v>#REF!</v>
      </c>
      <c r="N80" s="157">
        <f t="shared" si="110"/>
        <v>2997.3</v>
      </c>
      <c r="O80" s="157" t="e">
        <f t="shared" si="110"/>
        <v>#REF!</v>
      </c>
      <c r="P80" s="157" t="e">
        <f t="shared" si="110"/>
        <v>#REF!</v>
      </c>
      <c r="Q80" s="157" t="e">
        <f t="shared" si="110"/>
        <v>#REF!</v>
      </c>
      <c r="R80" s="157" t="e">
        <f t="shared" si="110"/>
        <v>#REF!</v>
      </c>
      <c r="S80" s="157" t="e">
        <f t="shared" si="110"/>
        <v>#REF!</v>
      </c>
      <c r="T80" s="157" t="e">
        <f t="shared" si="110"/>
        <v>#REF!</v>
      </c>
      <c r="U80" s="157" t="e">
        <f t="shared" si="110"/>
        <v>#REF!</v>
      </c>
      <c r="V80" s="157" t="e">
        <f t="shared" si="110"/>
        <v>#REF!</v>
      </c>
      <c r="W80" s="157" t="e">
        <f t="shared" si="110"/>
        <v>#REF!</v>
      </c>
      <c r="X80" s="157" t="e">
        <f t="shared" si="110"/>
        <v>#REF!</v>
      </c>
      <c r="Y80" s="157" t="e">
        <f t="shared" si="110"/>
        <v>#REF!</v>
      </c>
      <c r="Z80" s="157" t="e">
        <f t="shared" si="110"/>
        <v>#REF!</v>
      </c>
      <c r="AA80" s="157" t="e">
        <f t="shared" si="110"/>
        <v>#REF!</v>
      </c>
      <c r="AB80" s="157" t="e">
        <f t="shared" si="110"/>
        <v>#REF!</v>
      </c>
      <c r="AC80" s="157" t="e">
        <f t="shared" si="110"/>
        <v>#REF!</v>
      </c>
      <c r="AE80" s="157">
        <f>AE78+AE71+AE53</f>
        <v>585507</v>
      </c>
      <c r="AF80" s="586"/>
      <c r="AG80" s="586"/>
      <c r="AH80" s="586"/>
      <c r="AI80" s="586"/>
      <c r="AJ80" s="586"/>
    </row>
    <row r="81" spans="1:38" ht="13.5" thickTop="1" x14ac:dyDescent="0.2">
      <c r="A81" s="150"/>
      <c r="B81" s="592"/>
      <c r="C81" s="596"/>
      <c r="D81" s="58"/>
      <c r="E81" s="586"/>
      <c r="F81" s="586"/>
      <c r="G81" s="586"/>
      <c r="H81" s="586"/>
      <c r="I81" s="586"/>
      <c r="J81" s="586"/>
      <c r="K81" s="586"/>
      <c r="L81" s="586"/>
      <c r="M81" s="586"/>
      <c r="N81" s="586"/>
      <c r="O81" s="586"/>
      <c r="P81" s="586"/>
      <c r="Q81" s="586"/>
      <c r="R81" s="586"/>
      <c r="S81" s="586"/>
      <c r="T81" s="586"/>
      <c r="U81" s="586"/>
      <c r="V81" s="586"/>
      <c r="W81" s="586"/>
      <c r="X81" s="586"/>
      <c r="Y81" s="586"/>
      <c r="Z81" s="586"/>
      <c r="AA81" s="586"/>
      <c r="AB81" s="586"/>
      <c r="AC81" s="586"/>
      <c r="AE81" s="586"/>
      <c r="AF81" s="586"/>
      <c r="AG81" s="586"/>
      <c r="AH81" s="586"/>
      <c r="AI81" s="586"/>
      <c r="AJ81" s="586"/>
    </row>
    <row r="82" spans="1:38" x14ac:dyDescent="0.2">
      <c r="A82" s="194" t="s">
        <v>479</v>
      </c>
      <c r="B82" s="576"/>
      <c r="C82" s="586"/>
      <c r="D82" s="586"/>
      <c r="E82" s="586"/>
      <c r="F82" s="586"/>
      <c r="G82" s="586"/>
      <c r="H82" s="586"/>
      <c r="I82" s="586"/>
      <c r="J82" s="586"/>
      <c r="K82" s="586"/>
      <c r="L82" s="586"/>
      <c r="M82" s="586"/>
      <c r="N82" s="586"/>
      <c r="O82" s="586"/>
      <c r="P82" s="586"/>
      <c r="Q82" s="586"/>
      <c r="R82" s="586"/>
      <c r="S82" s="586"/>
      <c r="T82" s="586"/>
      <c r="U82" s="586"/>
      <c r="V82" s="586"/>
      <c r="W82" s="586"/>
      <c r="X82" s="586"/>
      <c r="Y82" s="586"/>
      <c r="Z82" s="586"/>
      <c r="AA82" s="586"/>
      <c r="AB82" s="586"/>
      <c r="AC82" s="586"/>
      <c r="AE82" s="586"/>
      <c r="AF82" s="586"/>
      <c r="AG82" s="586"/>
      <c r="AH82" s="586"/>
      <c r="AI82" s="586"/>
      <c r="AJ82" s="586"/>
    </row>
    <row r="83" spans="1:38" x14ac:dyDescent="0.2">
      <c r="A83" s="30" t="s">
        <v>112</v>
      </c>
      <c r="B83" s="581" t="s">
        <v>113</v>
      </c>
      <c r="C83" s="588" t="s">
        <v>575</v>
      </c>
      <c r="D83" s="57">
        <v>91915</v>
      </c>
      <c r="E83" s="586">
        <f>'Reg.3(1-15)'!K12+'Reg3(16-31)'!L12</f>
        <v>0</v>
      </c>
      <c r="F83" s="586" t="e">
        <f>#REF!+'Reg3(16-31)'!M12</f>
        <v>#REF!</v>
      </c>
      <c r="G83" s="586" t="e">
        <f>#REF!+'Reg3(16-31)'!N12</f>
        <v>#REF!</v>
      </c>
      <c r="H83" s="586" t="e">
        <f>#REF!+'Reg3(16-31)'!O12</f>
        <v>#REF!</v>
      </c>
      <c r="I83" s="586" t="e">
        <f>#REF!+'Reg3(16-31)'!P12</f>
        <v>#REF!</v>
      </c>
      <c r="J83" s="586" t="e">
        <f>#REF!+'Reg3(16-31)'!Q12</f>
        <v>#REF!</v>
      </c>
      <c r="K83" s="586" t="e">
        <f>#REF!+'Reg3(16-31)'!R12</f>
        <v>#REF!</v>
      </c>
      <c r="L83" s="586" t="e">
        <f>#REF!+'Reg3(16-31)'!S12</f>
        <v>#REF!</v>
      </c>
      <c r="M83" s="586" t="e">
        <f>#REF!+'Reg3(16-31)'!T12</f>
        <v>#REF!</v>
      </c>
      <c r="N83" s="586">
        <v>100</v>
      </c>
      <c r="O83" s="586" t="e">
        <f>#REF!</f>
        <v>#REF!</v>
      </c>
      <c r="P83" s="586" t="e">
        <f>#REF!</f>
        <v>#REF!</v>
      </c>
      <c r="Q83" s="586" t="e">
        <f t="shared" ref="Q83:Q93" si="111">SUM(E83:P83)</f>
        <v>#REF!</v>
      </c>
      <c r="R83" s="586" t="e">
        <f>#REF!</f>
        <v>#REF!</v>
      </c>
      <c r="S83" s="586" t="e">
        <f>#REF!</f>
        <v>#REF!</v>
      </c>
      <c r="T83" s="586" t="e">
        <f t="shared" ref="T83:T93" si="112">R83+S83</f>
        <v>#REF!</v>
      </c>
      <c r="U83" s="586" t="e">
        <f>#REF!+'Reg3(16-31)'!Z12</f>
        <v>#REF!</v>
      </c>
      <c r="V83" s="586">
        <f>'Reg3(16-31)'!X12</f>
        <v>2188.62</v>
      </c>
      <c r="W83" s="586">
        <f>'Reg3(16-31)'!Y12</f>
        <v>2188.62</v>
      </c>
      <c r="X83" s="586" t="e">
        <f t="shared" ref="X83:X93" si="113">SUM(U83:W83)</f>
        <v>#REF!</v>
      </c>
      <c r="Y83" s="602" t="e">
        <f>#REF!+'Reg3(16-31)'!AC12</f>
        <v>#REF!</v>
      </c>
      <c r="Z83" s="586" t="e">
        <f>#REF!+'Reg3(16-31)'!#REF!</f>
        <v>#REF!</v>
      </c>
      <c r="AA83" s="586" t="e">
        <f t="shared" ref="AA83:AA93" si="114">SUM(Y83:Z83)</f>
        <v>#REF!</v>
      </c>
      <c r="AB83" s="586">
        <f>'Reg3(16-31)'!W12</f>
        <v>6111.39</v>
      </c>
      <c r="AC83" s="586" t="e">
        <f t="shared" ref="AC83:AC93" si="115">Q83+T83+X83+AA83+AB83</f>
        <v>#REF!</v>
      </c>
      <c r="AE83" s="586">
        <f t="shared" ref="AE83:AE93" si="116">D83</f>
        <v>91915</v>
      </c>
      <c r="AF83" s="586" t="e">
        <f t="shared" ref="AF83:AF93" si="117">SUM(E83:M83)+O83+R83+U83+V83+AA83+AB83</f>
        <v>#REF!</v>
      </c>
      <c r="AG83" s="586" t="e">
        <f t="shared" ref="AG83:AG93" si="118">AE83-AF83</f>
        <v>#REF!</v>
      </c>
      <c r="AH83" s="586">
        <f t="shared" ref="AH83:AH93" si="119">AE83</f>
        <v>91915</v>
      </c>
      <c r="AI83" s="586" t="e">
        <f t="shared" ref="AI83:AI93" si="120">P83+S83+W83</f>
        <v>#REF!</v>
      </c>
      <c r="AJ83" s="586" t="e">
        <f t="shared" ref="AJ83:AJ93" si="121">AH83+AI83</f>
        <v>#REF!</v>
      </c>
      <c r="AL83" s="566" t="e">
        <f>#REF!+'Reg3(16-31)'!AE12</f>
        <v>#REF!</v>
      </c>
    </row>
    <row r="84" spans="1:38" x14ac:dyDescent="0.2">
      <c r="A84" s="30" t="s">
        <v>114</v>
      </c>
      <c r="B84" s="581" t="s">
        <v>115</v>
      </c>
      <c r="C84" s="589" t="s">
        <v>253</v>
      </c>
      <c r="D84" s="54">
        <v>36942</v>
      </c>
      <c r="E84" s="586">
        <f>'Reg.3(1-15)'!K13+'Reg3(16-31)'!L13</f>
        <v>5680.18</v>
      </c>
      <c r="F84" s="586" t="e">
        <f>#REF!+'Reg3(16-31)'!M13</f>
        <v>#REF!</v>
      </c>
      <c r="G84" s="586" t="e">
        <f>#REF!+'Reg3(16-31)'!N13</f>
        <v>#REF!</v>
      </c>
      <c r="H84" s="586" t="e">
        <f>#REF!+'Reg3(16-31)'!O13</f>
        <v>#REF!</v>
      </c>
      <c r="I84" s="586" t="e">
        <f>#REF!+'Reg3(16-31)'!P13</f>
        <v>#REF!</v>
      </c>
      <c r="J84" s="586" t="e">
        <f>#REF!+'Reg3(16-31)'!Q13</f>
        <v>#REF!</v>
      </c>
      <c r="K84" s="586" t="e">
        <f>#REF!+'Reg3(16-31)'!R13</f>
        <v>#REF!</v>
      </c>
      <c r="L84" s="586" t="e">
        <f>#REF!+'Reg3(16-31)'!S13</f>
        <v>#REF!</v>
      </c>
      <c r="M84" s="586" t="e">
        <f>#REF!+'Reg3(16-31)'!T13</f>
        <v>#REF!</v>
      </c>
      <c r="N84" s="586">
        <v>100</v>
      </c>
      <c r="O84" s="586" t="e">
        <f>#REF!</f>
        <v>#REF!</v>
      </c>
      <c r="P84" s="586" t="e">
        <f>#REF!</f>
        <v>#REF!</v>
      </c>
      <c r="Q84" s="586" t="e">
        <f t="shared" si="111"/>
        <v>#REF!</v>
      </c>
      <c r="R84" s="586" t="e">
        <f>#REF!</f>
        <v>#REF!</v>
      </c>
      <c r="S84" s="586" t="e">
        <f>#REF!</f>
        <v>#REF!</v>
      </c>
      <c r="T84" s="586" t="e">
        <f t="shared" si="112"/>
        <v>#REF!</v>
      </c>
      <c r="U84" s="586" t="e">
        <f>#REF!+'Reg3(16-31)'!Z13</f>
        <v>#REF!</v>
      </c>
      <c r="V84" s="586">
        <f>'Reg3(16-31)'!X13</f>
        <v>1014.7</v>
      </c>
      <c r="W84" s="586">
        <f>'Reg3(16-31)'!Y13</f>
        <v>1014.7</v>
      </c>
      <c r="X84" s="586" t="e">
        <f t="shared" si="113"/>
        <v>#REF!</v>
      </c>
      <c r="Y84" s="586" t="e">
        <f>#REF!+'Reg3(16-31)'!AC13</f>
        <v>#REF!</v>
      </c>
      <c r="Z84" s="586" t="e">
        <f>#REF!+'Reg3(16-31)'!#REF!</f>
        <v>#REF!</v>
      </c>
      <c r="AA84" s="586" t="e">
        <f t="shared" si="114"/>
        <v>#REF!</v>
      </c>
      <c r="AB84" s="586">
        <f>'Reg3(16-31)'!W13</f>
        <v>2174.08</v>
      </c>
      <c r="AC84" s="586" t="e">
        <f t="shared" si="115"/>
        <v>#REF!</v>
      </c>
      <c r="AE84" s="586">
        <f t="shared" si="116"/>
        <v>36942</v>
      </c>
      <c r="AF84" s="586" t="e">
        <f t="shared" si="117"/>
        <v>#REF!</v>
      </c>
      <c r="AG84" s="586" t="e">
        <f t="shared" si="118"/>
        <v>#REF!</v>
      </c>
      <c r="AH84" s="586">
        <f t="shared" si="119"/>
        <v>36942</v>
      </c>
      <c r="AI84" s="586" t="e">
        <f t="shared" si="120"/>
        <v>#REF!</v>
      </c>
      <c r="AJ84" s="586" t="e">
        <f t="shared" si="121"/>
        <v>#REF!</v>
      </c>
      <c r="AL84" s="566" t="e">
        <f>#REF!+'Reg3(16-31)'!AE13</f>
        <v>#REF!</v>
      </c>
    </row>
    <row r="85" spans="1:38" x14ac:dyDescent="0.2">
      <c r="A85" s="30" t="s">
        <v>117</v>
      </c>
      <c r="B85" s="576" t="s">
        <v>116</v>
      </c>
      <c r="C85" s="589" t="s">
        <v>253</v>
      </c>
      <c r="D85" s="54">
        <v>22829</v>
      </c>
      <c r="E85" s="586" t="e">
        <f>'Reg.3(1-15)'!#REF!+'Reg3(16-31)'!#REF!</f>
        <v>#REF!</v>
      </c>
      <c r="F85" s="586" t="e">
        <f>#REF!+'Reg3(16-31)'!#REF!</f>
        <v>#REF!</v>
      </c>
      <c r="G85" s="586" t="e">
        <f>#REF!+'Reg3(16-31)'!#REF!</f>
        <v>#REF!</v>
      </c>
      <c r="H85" s="586" t="e">
        <f>#REF!+'Reg3(16-31)'!#REF!</f>
        <v>#REF!</v>
      </c>
      <c r="I85" s="586" t="e">
        <f>#REF!+'Reg3(16-31)'!#REF!</f>
        <v>#REF!</v>
      </c>
      <c r="J85" s="586" t="e">
        <f>#REF!+'Reg3(16-31)'!#REF!</f>
        <v>#REF!</v>
      </c>
      <c r="K85" s="586" t="e">
        <f>#REF!+'Reg3(16-31)'!#REF!</f>
        <v>#REF!</v>
      </c>
      <c r="L85" s="586" t="e">
        <f>#REF!+'Reg3(16-31)'!#REF!</f>
        <v>#REF!</v>
      </c>
      <c r="M85" s="586" t="e">
        <f>#REF!+'Reg3(16-31)'!#REF!</f>
        <v>#REF!</v>
      </c>
      <c r="N85" s="586">
        <v>100</v>
      </c>
      <c r="O85" s="586" t="e">
        <f>#REF!</f>
        <v>#REF!</v>
      </c>
      <c r="P85" s="586" t="e">
        <f>#REF!</f>
        <v>#REF!</v>
      </c>
      <c r="Q85" s="586" t="e">
        <f t="shared" si="111"/>
        <v>#REF!</v>
      </c>
      <c r="R85" s="586" t="e">
        <f>#REF!</f>
        <v>#REF!</v>
      </c>
      <c r="S85" s="586" t="e">
        <f>#REF!</f>
        <v>#REF!</v>
      </c>
      <c r="T85" s="586" t="e">
        <f t="shared" si="112"/>
        <v>#REF!</v>
      </c>
      <c r="U85" s="586" t="e">
        <f>#REF!+'Reg3(16-31)'!#REF!</f>
        <v>#REF!</v>
      </c>
      <c r="V85" s="586" t="e">
        <f>'Reg3(16-31)'!#REF!</f>
        <v>#REF!</v>
      </c>
      <c r="W85" s="586" t="e">
        <f>'Reg3(16-31)'!#REF!</f>
        <v>#REF!</v>
      </c>
      <c r="X85" s="586" t="e">
        <f t="shared" si="113"/>
        <v>#REF!</v>
      </c>
      <c r="Y85" s="586" t="e">
        <f>#REF!+'Reg3(16-31)'!#REF!</f>
        <v>#REF!</v>
      </c>
      <c r="Z85" s="586" t="e">
        <f>#REF!+'Reg3(16-31)'!#REF!</f>
        <v>#REF!</v>
      </c>
      <c r="AA85" s="586" t="e">
        <f t="shared" si="114"/>
        <v>#REF!</v>
      </c>
      <c r="AB85" s="586"/>
      <c r="AC85" s="586" t="e">
        <f t="shared" si="115"/>
        <v>#REF!</v>
      </c>
      <c r="AE85" s="586">
        <f t="shared" si="116"/>
        <v>22829</v>
      </c>
      <c r="AF85" s="586" t="e">
        <f t="shared" si="117"/>
        <v>#REF!</v>
      </c>
      <c r="AG85" s="586" t="e">
        <f t="shared" si="118"/>
        <v>#REF!</v>
      </c>
      <c r="AH85" s="586">
        <f t="shared" si="119"/>
        <v>22829</v>
      </c>
      <c r="AI85" s="586" t="e">
        <f t="shared" si="120"/>
        <v>#REF!</v>
      </c>
      <c r="AJ85" s="586" t="e">
        <f t="shared" si="121"/>
        <v>#REF!</v>
      </c>
      <c r="AL85" s="566" t="e">
        <f>#REF!+'Reg3(16-31)'!#REF!</f>
        <v>#REF!</v>
      </c>
    </row>
    <row r="86" spans="1:38" x14ac:dyDescent="0.2">
      <c r="A86" s="30" t="s">
        <v>119</v>
      </c>
      <c r="B86" s="576" t="s">
        <v>116</v>
      </c>
      <c r="C86" s="589" t="s">
        <v>253</v>
      </c>
      <c r="D86" s="59">
        <v>21038</v>
      </c>
      <c r="E86" s="586">
        <f>'Reg.3(1-15)'!K20+'Reg3(16-31)'!L20</f>
        <v>3309.04</v>
      </c>
      <c r="F86" s="586" t="e">
        <f>#REF!+'Reg3(16-31)'!M20</f>
        <v>#REF!</v>
      </c>
      <c r="G86" s="586" t="e">
        <f>#REF!+'Reg3(16-31)'!N20</f>
        <v>#REF!</v>
      </c>
      <c r="H86" s="586" t="e">
        <f>#REF!+'Reg3(16-31)'!O20</f>
        <v>#REF!</v>
      </c>
      <c r="I86" s="586" t="e">
        <f>#REF!+'Reg3(16-31)'!P20</f>
        <v>#REF!</v>
      </c>
      <c r="J86" s="586" t="e">
        <f>#REF!+'Reg3(16-31)'!Q20</f>
        <v>#REF!</v>
      </c>
      <c r="K86" s="586" t="e">
        <f>#REF!+'Reg3(16-31)'!R20</f>
        <v>#REF!</v>
      </c>
      <c r="L86" s="586" t="e">
        <f>#REF!+'Reg3(16-31)'!S20</f>
        <v>#REF!</v>
      </c>
      <c r="M86" s="586" t="e">
        <f>#REF!+'Reg3(16-31)'!T20</f>
        <v>#REF!</v>
      </c>
      <c r="N86" s="586">
        <v>100</v>
      </c>
      <c r="O86" s="586" t="e">
        <f>#REF!</f>
        <v>#REF!</v>
      </c>
      <c r="P86" s="586" t="e">
        <f>#REF!</f>
        <v>#REF!</v>
      </c>
      <c r="Q86" s="586" t="e">
        <f t="shared" si="111"/>
        <v>#REF!</v>
      </c>
      <c r="R86" s="586" t="e">
        <f>#REF!</f>
        <v>#REF!</v>
      </c>
      <c r="S86" s="586" t="e">
        <f>#REF!</f>
        <v>#REF!</v>
      </c>
      <c r="T86" s="586" t="e">
        <f t="shared" si="112"/>
        <v>#REF!</v>
      </c>
      <c r="U86" s="586" t="e">
        <f>#REF!+'Reg3(16-31)'!Z20</f>
        <v>#REF!</v>
      </c>
      <c r="V86" s="586">
        <f>'Reg3(16-31)'!X20</f>
        <v>688.42</v>
      </c>
      <c r="W86" s="586">
        <f>'Reg3(16-31)'!Y20</f>
        <v>688.42</v>
      </c>
      <c r="X86" s="586" t="e">
        <f t="shared" si="113"/>
        <v>#REF!</v>
      </c>
      <c r="Y86" s="586" t="e">
        <f>#REF!+'Reg3(16-31)'!AC20</f>
        <v>#REF!</v>
      </c>
      <c r="Z86" s="586" t="e">
        <f>#REF!+'Reg3(16-31)'!#REF!</f>
        <v>#REF!</v>
      </c>
      <c r="AA86" s="586" t="e">
        <f t="shared" si="114"/>
        <v>#REF!</v>
      </c>
      <c r="AB86" s="586"/>
      <c r="AC86" s="586" t="e">
        <f t="shared" si="115"/>
        <v>#REF!</v>
      </c>
      <c r="AE86" s="586">
        <f t="shared" si="116"/>
        <v>21038</v>
      </c>
      <c r="AF86" s="586" t="e">
        <f t="shared" si="117"/>
        <v>#REF!</v>
      </c>
      <c r="AG86" s="586" t="e">
        <f t="shared" si="118"/>
        <v>#REF!</v>
      </c>
      <c r="AH86" s="586">
        <f t="shared" si="119"/>
        <v>21038</v>
      </c>
      <c r="AI86" s="586" t="e">
        <f t="shared" si="120"/>
        <v>#REF!</v>
      </c>
      <c r="AJ86" s="586" t="e">
        <f t="shared" si="121"/>
        <v>#REF!</v>
      </c>
      <c r="AL86" s="566" t="e">
        <f>#REF!+'Reg3(16-31)'!AE20</f>
        <v>#REF!</v>
      </c>
    </row>
    <row r="87" spans="1:38" x14ac:dyDescent="0.2">
      <c r="A87" s="44" t="s">
        <v>491</v>
      </c>
      <c r="B87" s="445" t="s">
        <v>116</v>
      </c>
      <c r="C87" s="589" t="s">
        <v>253</v>
      </c>
      <c r="D87" s="54">
        <v>20754</v>
      </c>
      <c r="E87" s="586">
        <f>'Reg.3(1-15)'!K21+'Reg3(16-31)'!L21</f>
        <v>0</v>
      </c>
      <c r="F87" s="586" t="e">
        <f>#REF!+'Reg3(16-31)'!M21</f>
        <v>#REF!</v>
      </c>
      <c r="G87" s="586" t="e">
        <f>#REF!+'Reg3(16-31)'!N21</f>
        <v>#REF!</v>
      </c>
      <c r="H87" s="586" t="e">
        <f>#REF!+'Reg3(16-31)'!O21</f>
        <v>#REF!</v>
      </c>
      <c r="I87" s="586" t="e">
        <f>#REF!+'Reg3(16-31)'!P21</f>
        <v>#REF!</v>
      </c>
      <c r="J87" s="586" t="e">
        <f>#REF!+'Reg3(16-31)'!Q21</f>
        <v>#REF!</v>
      </c>
      <c r="K87" s="586" t="e">
        <f>#REF!+'Reg3(16-31)'!R21</f>
        <v>#REF!</v>
      </c>
      <c r="L87" s="586" t="e">
        <f>#REF!+'Reg3(16-31)'!S21</f>
        <v>#REF!</v>
      </c>
      <c r="M87" s="586" t="e">
        <f>#REF!+'Reg3(16-31)'!T21</f>
        <v>#REF!</v>
      </c>
      <c r="N87" s="586">
        <v>100</v>
      </c>
      <c r="O87" s="586" t="e">
        <f>#REF!</f>
        <v>#REF!</v>
      </c>
      <c r="P87" s="586" t="e">
        <f>#REF!</f>
        <v>#REF!</v>
      </c>
      <c r="Q87" s="586" t="e">
        <f t="shared" si="111"/>
        <v>#REF!</v>
      </c>
      <c r="R87" s="586" t="e">
        <f>#REF!</f>
        <v>#REF!</v>
      </c>
      <c r="S87" s="586" t="e">
        <f>#REF!</f>
        <v>#REF!</v>
      </c>
      <c r="T87" s="586" t="e">
        <f t="shared" si="112"/>
        <v>#REF!</v>
      </c>
      <c r="U87" s="586" t="e">
        <f>#REF!+'Reg3(16-31)'!Z21</f>
        <v>#REF!</v>
      </c>
      <c r="V87" s="586">
        <f>'Reg3(16-31)'!X21</f>
        <v>606.16</v>
      </c>
      <c r="W87" s="586">
        <f>'Reg3(16-31)'!Y21</f>
        <v>606.16</v>
      </c>
      <c r="X87" s="586" t="e">
        <f t="shared" si="113"/>
        <v>#REF!</v>
      </c>
      <c r="Y87" s="586" t="e">
        <f>#REF!+'Reg3(16-31)'!AC21</f>
        <v>#REF!</v>
      </c>
      <c r="Z87" s="586" t="e">
        <f>#REF!+'Reg3(16-31)'!#REF!</f>
        <v>#REF!</v>
      </c>
      <c r="AA87" s="586" t="e">
        <f t="shared" si="114"/>
        <v>#REF!</v>
      </c>
      <c r="AB87" s="586"/>
      <c r="AC87" s="586" t="e">
        <f t="shared" si="115"/>
        <v>#REF!</v>
      </c>
      <c r="AE87" s="586">
        <f t="shared" si="116"/>
        <v>20754</v>
      </c>
      <c r="AF87" s="586" t="e">
        <f t="shared" si="117"/>
        <v>#REF!</v>
      </c>
      <c r="AG87" s="586" t="e">
        <f t="shared" si="118"/>
        <v>#REF!</v>
      </c>
      <c r="AH87" s="586">
        <f t="shared" si="119"/>
        <v>20754</v>
      </c>
      <c r="AI87" s="586" t="e">
        <f t="shared" si="120"/>
        <v>#REF!</v>
      </c>
      <c r="AJ87" s="586" t="e">
        <f t="shared" si="121"/>
        <v>#REF!</v>
      </c>
      <c r="AL87" s="566" t="e">
        <f>#REF!+'Reg3(16-31)'!AE21</f>
        <v>#REF!</v>
      </c>
    </row>
    <row r="88" spans="1:38" x14ac:dyDescent="0.2">
      <c r="A88" s="30" t="s">
        <v>275</v>
      </c>
      <c r="B88" s="576" t="s">
        <v>118</v>
      </c>
      <c r="C88" s="589" t="s">
        <v>253</v>
      </c>
      <c r="D88" s="59">
        <v>16910</v>
      </c>
      <c r="E88" s="586">
        <f>'Reg.3(1-15)'!K26+'Reg3(16-31)'!L26</f>
        <v>0</v>
      </c>
      <c r="F88" s="586" t="e">
        <f>#REF!+'Reg3(16-31)'!M26</f>
        <v>#REF!</v>
      </c>
      <c r="G88" s="586" t="e">
        <f>#REF!+'Reg3(16-31)'!N26</f>
        <v>#REF!</v>
      </c>
      <c r="H88" s="586" t="e">
        <f>#REF!+'Reg3(16-31)'!O26</f>
        <v>#REF!</v>
      </c>
      <c r="I88" s="586" t="e">
        <f>#REF!+'Reg3(16-31)'!P26</f>
        <v>#REF!</v>
      </c>
      <c r="J88" s="586" t="e">
        <f>#REF!+'Reg3(16-31)'!Q26</f>
        <v>#REF!</v>
      </c>
      <c r="K88" s="586" t="e">
        <f>#REF!+'Reg3(16-31)'!R26</f>
        <v>#REF!</v>
      </c>
      <c r="L88" s="586" t="e">
        <f>#REF!+'Reg3(16-31)'!S26</f>
        <v>#REF!</v>
      </c>
      <c r="M88" s="586" t="e">
        <f>#REF!+'Reg3(16-31)'!T26</f>
        <v>#REF!</v>
      </c>
      <c r="N88" s="586">
        <v>100</v>
      </c>
      <c r="O88" s="586" t="e">
        <f>#REF!</f>
        <v>#REF!</v>
      </c>
      <c r="P88" s="586" t="e">
        <f>#REF!</f>
        <v>#REF!</v>
      </c>
      <c r="Q88" s="586" t="e">
        <f t="shared" si="111"/>
        <v>#REF!</v>
      </c>
      <c r="R88" s="586" t="e">
        <f>#REF!</f>
        <v>#REF!</v>
      </c>
      <c r="S88" s="586" t="e">
        <f>#REF!</f>
        <v>#REF!</v>
      </c>
      <c r="T88" s="586" t="e">
        <f t="shared" si="112"/>
        <v>#REF!</v>
      </c>
      <c r="U88" s="586" t="e">
        <f>#REF!+'Reg3(16-31)'!Z26</f>
        <v>#REF!</v>
      </c>
      <c r="V88" s="586">
        <f>'Reg3(16-31)'!X26</f>
        <v>440.7</v>
      </c>
      <c r="W88" s="586">
        <f>'Reg3(16-31)'!Y26</f>
        <v>440.7</v>
      </c>
      <c r="X88" s="586" t="e">
        <f t="shared" si="113"/>
        <v>#REF!</v>
      </c>
      <c r="Y88" s="602" t="e">
        <f>#REF!+'Reg3(16-31)'!AC26</f>
        <v>#REF!</v>
      </c>
      <c r="Z88" s="586" t="e">
        <f>#REF!+'Reg3(16-31)'!#REF!</f>
        <v>#REF!</v>
      </c>
      <c r="AA88" s="586" t="e">
        <f t="shared" si="114"/>
        <v>#REF!</v>
      </c>
      <c r="AB88" s="586"/>
      <c r="AC88" s="586" t="e">
        <f t="shared" si="115"/>
        <v>#REF!</v>
      </c>
      <c r="AE88" s="586">
        <f t="shared" si="116"/>
        <v>16910</v>
      </c>
      <c r="AF88" s="586" t="e">
        <f t="shared" si="117"/>
        <v>#REF!</v>
      </c>
      <c r="AG88" s="586" t="e">
        <f t="shared" si="118"/>
        <v>#REF!</v>
      </c>
      <c r="AH88" s="586">
        <f t="shared" si="119"/>
        <v>16910</v>
      </c>
      <c r="AI88" s="586" t="e">
        <f t="shared" si="120"/>
        <v>#REF!</v>
      </c>
      <c r="AJ88" s="586" t="e">
        <f t="shared" si="121"/>
        <v>#REF!</v>
      </c>
      <c r="AL88" s="566" t="e">
        <f>#REF!+'Reg3(16-31)'!AE26</f>
        <v>#REF!</v>
      </c>
    </row>
    <row r="89" spans="1:38" x14ac:dyDescent="0.2">
      <c r="A89" s="30" t="s">
        <v>255</v>
      </c>
      <c r="B89" s="576" t="s">
        <v>42</v>
      </c>
      <c r="C89" s="589" t="s">
        <v>253</v>
      </c>
      <c r="D89" s="59">
        <v>16910</v>
      </c>
      <c r="E89" s="586">
        <f>'Reg.3(1-15)'!K15+'Reg3(16-31)'!L15</f>
        <v>0</v>
      </c>
      <c r="F89" s="586" t="e">
        <f>#REF!+'Reg3(16-31)'!M15</f>
        <v>#REF!</v>
      </c>
      <c r="G89" s="586" t="e">
        <f>#REF!+'Reg3(16-31)'!N15</f>
        <v>#REF!</v>
      </c>
      <c r="H89" s="586" t="e">
        <f>#REF!+'Reg3(16-31)'!O16</f>
        <v>#REF!</v>
      </c>
      <c r="I89" s="586" t="e">
        <f>#REF!+'Reg3(16-31)'!P15</f>
        <v>#REF!</v>
      </c>
      <c r="J89" s="586" t="e">
        <f>#REF!+'Reg3(16-31)'!Q15</f>
        <v>#REF!</v>
      </c>
      <c r="K89" s="586" t="e">
        <f>#REF!+'Reg3(16-31)'!R15</f>
        <v>#REF!</v>
      </c>
      <c r="L89" s="586" t="e">
        <f>#REF!+'Reg3(16-31)'!S15</f>
        <v>#REF!</v>
      </c>
      <c r="M89" s="586" t="e">
        <f>#REF!+'Reg3(16-31)'!T15</f>
        <v>#REF!</v>
      </c>
      <c r="N89" s="586">
        <v>100</v>
      </c>
      <c r="O89" s="586" t="e">
        <f>#REF!</f>
        <v>#REF!</v>
      </c>
      <c r="P89" s="586" t="e">
        <f>#REF!</f>
        <v>#REF!</v>
      </c>
      <c r="Q89" s="586" t="e">
        <f t="shared" si="111"/>
        <v>#REF!</v>
      </c>
      <c r="R89" s="586" t="e">
        <f>#REF!</f>
        <v>#REF!</v>
      </c>
      <c r="S89" s="586" t="e">
        <f>#REF!</f>
        <v>#REF!</v>
      </c>
      <c r="T89" s="586" t="e">
        <f t="shared" si="112"/>
        <v>#REF!</v>
      </c>
      <c r="U89" s="586" t="e">
        <f>#REF!+'Reg3(16-31)'!Z15</f>
        <v>#REF!</v>
      </c>
      <c r="V89" s="586">
        <f>'Reg3(16-31)'!X15</f>
        <v>812.08</v>
      </c>
      <c r="W89" s="586">
        <f>'Reg3(16-31)'!Y15</f>
        <v>812.08</v>
      </c>
      <c r="X89" s="586" t="e">
        <f t="shared" si="113"/>
        <v>#REF!</v>
      </c>
      <c r="Y89" s="586" t="e">
        <f>#REF!+'Reg3(16-31)'!AC15</f>
        <v>#REF!</v>
      </c>
      <c r="Z89" s="586" t="e">
        <f>#REF!+'Reg3(16-31)'!#REF!</f>
        <v>#REF!</v>
      </c>
      <c r="AA89" s="586" t="e">
        <f t="shared" si="114"/>
        <v>#REF!</v>
      </c>
      <c r="AB89" s="586"/>
      <c r="AC89" s="586" t="e">
        <f t="shared" si="115"/>
        <v>#REF!</v>
      </c>
      <c r="AE89" s="586">
        <f t="shared" si="116"/>
        <v>16910</v>
      </c>
      <c r="AF89" s="586" t="e">
        <f t="shared" si="117"/>
        <v>#REF!</v>
      </c>
      <c r="AG89" s="586" t="e">
        <f t="shared" si="118"/>
        <v>#REF!</v>
      </c>
      <c r="AH89" s="586">
        <f t="shared" si="119"/>
        <v>16910</v>
      </c>
      <c r="AI89" s="586" t="e">
        <f t="shared" si="120"/>
        <v>#REF!</v>
      </c>
      <c r="AJ89" s="586" t="e">
        <f t="shared" si="121"/>
        <v>#REF!</v>
      </c>
      <c r="AL89" s="566" t="e">
        <f>#REF!+'Reg3(16-31)'!AE15</f>
        <v>#REF!</v>
      </c>
    </row>
    <row r="90" spans="1:38" x14ac:dyDescent="0.2">
      <c r="A90" s="30" t="s">
        <v>502</v>
      </c>
      <c r="B90" s="576" t="s">
        <v>446</v>
      </c>
      <c r="C90" s="589" t="s">
        <v>253</v>
      </c>
      <c r="D90" s="59">
        <v>13418</v>
      </c>
      <c r="E90" s="586">
        <f>'Reg.3(1-15)'!K30+'Reg3(16-31)'!L30</f>
        <v>0</v>
      </c>
      <c r="F90" s="586" t="e">
        <f>#REF!+'Reg3(16-31)'!M30</f>
        <v>#REF!</v>
      </c>
      <c r="G90" s="586" t="e">
        <f>#REF!+'Reg3(16-31)'!N30</f>
        <v>#REF!</v>
      </c>
      <c r="H90" s="586" t="e">
        <f>#REF!+'Reg3(16-31)'!O30</f>
        <v>#REF!</v>
      </c>
      <c r="I90" s="586" t="e">
        <f>#REF!+'Reg3(16-31)'!P30</f>
        <v>#REF!</v>
      </c>
      <c r="J90" s="586" t="e">
        <f>#REF!+'Reg3(16-31)'!Q30</f>
        <v>#REF!</v>
      </c>
      <c r="K90" s="586" t="e">
        <f>#REF!+'Reg3(16-31)'!R30</f>
        <v>#REF!</v>
      </c>
      <c r="L90" s="586" t="e">
        <f>#REF!+'Reg3(16-31)'!S30</f>
        <v>#REF!</v>
      </c>
      <c r="M90" s="586" t="e">
        <f>#REF!+'Reg3(16-31)'!T30</f>
        <v>#REF!</v>
      </c>
      <c r="N90" s="586">
        <v>100</v>
      </c>
      <c r="O90" s="586" t="e">
        <f>#REF!</f>
        <v>#REF!</v>
      </c>
      <c r="P90" s="586" t="e">
        <f>#REF!</f>
        <v>#REF!</v>
      </c>
      <c r="Q90" s="586" t="e">
        <f t="shared" si="111"/>
        <v>#REF!</v>
      </c>
      <c r="R90" s="586" t="e">
        <f>#REF!</f>
        <v>#REF!</v>
      </c>
      <c r="S90" s="586" t="e">
        <f>#REF!</f>
        <v>#REF!</v>
      </c>
      <c r="T90" s="586" t="e">
        <f t="shared" si="112"/>
        <v>#REF!</v>
      </c>
      <c r="U90" s="586" t="e">
        <f>#REF!+'Reg3(16-31)'!Z30</f>
        <v>#REF!</v>
      </c>
      <c r="V90" s="586">
        <f>'Reg3(16-31)'!X30</f>
        <v>344.18</v>
      </c>
      <c r="W90" s="586">
        <f>'Reg3(16-31)'!Y30</f>
        <v>344.18</v>
      </c>
      <c r="X90" s="586" t="e">
        <f t="shared" si="113"/>
        <v>#REF!</v>
      </c>
      <c r="Y90" s="586" t="e">
        <f>#REF!+'Reg3(16-31)'!AC30</f>
        <v>#REF!</v>
      </c>
      <c r="Z90" s="586" t="e">
        <f>#REF!+'Reg3(16-31)'!#REF!</f>
        <v>#REF!</v>
      </c>
      <c r="AA90" s="586" t="e">
        <f t="shared" si="114"/>
        <v>#REF!</v>
      </c>
      <c r="AB90" s="586"/>
      <c r="AC90" s="586" t="e">
        <f t="shared" si="115"/>
        <v>#REF!</v>
      </c>
      <c r="AE90" s="586">
        <f t="shared" si="116"/>
        <v>13418</v>
      </c>
      <c r="AF90" s="586" t="e">
        <f t="shared" si="117"/>
        <v>#REF!</v>
      </c>
      <c r="AG90" s="586" t="e">
        <f t="shared" si="118"/>
        <v>#REF!</v>
      </c>
      <c r="AH90" s="586">
        <f t="shared" si="119"/>
        <v>13418</v>
      </c>
      <c r="AI90" s="586" t="e">
        <f t="shared" si="120"/>
        <v>#REF!</v>
      </c>
      <c r="AJ90" s="586" t="e">
        <f t="shared" si="121"/>
        <v>#REF!</v>
      </c>
      <c r="AL90" s="566" t="e">
        <f>#REF!+'Reg3(16-31)'!AE30</f>
        <v>#REF!</v>
      </c>
    </row>
    <row r="91" spans="1:38" x14ac:dyDescent="0.2">
      <c r="A91" s="30" t="s">
        <v>454</v>
      </c>
      <c r="B91" s="576" t="s">
        <v>446</v>
      </c>
      <c r="C91" s="589" t="s">
        <v>253</v>
      </c>
      <c r="D91" s="59">
        <v>12466</v>
      </c>
      <c r="E91" s="586">
        <f>'Reg.3(1-15)'!K16+'Reg3(16-31)'!L16</f>
        <v>0</v>
      </c>
      <c r="F91" s="586" t="e">
        <f>#REF!+'Reg3(16-31)'!M16</f>
        <v>#REF!</v>
      </c>
      <c r="G91" s="586" t="e">
        <f>#REF!+'Reg3(16-31)'!N16</f>
        <v>#REF!</v>
      </c>
      <c r="H91" s="586" t="e">
        <f>#REF!+'Reg3(16-31)'!#REF!</f>
        <v>#REF!</v>
      </c>
      <c r="I91" s="586" t="e">
        <f>#REF!+'Reg3(16-31)'!P16</f>
        <v>#REF!</v>
      </c>
      <c r="J91" s="586" t="e">
        <f>#REF!+'Reg3(16-31)'!Q16</f>
        <v>#REF!</v>
      </c>
      <c r="K91" s="586" t="e">
        <f>#REF!+'Reg3(16-31)'!R16</f>
        <v>#REF!</v>
      </c>
      <c r="L91" s="586" t="e">
        <f>#REF!+'Reg3(16-31)'!S16</f>
        <v>#REF!</v>
      </c>
      <c r="M91" s="586" t="e">
        <f>#REF!+'Reg3(16-31)'!T16</f>
        <v>#REF!</v>
      </c>
      <c r="N91" s="586">
        <v>100</v>
      </c>
      <c r="O91" s="586" t="e">
        <f>#REF!</f>
        <v>#REF!</v>
      </c>
      <c r="P91" s="586" t="e">
        <f>#REF!</f>
        <v>#REF!</v>
      </c>
      <c r="Q91" s="586" t="e">
        <f t="shared" si="111"/>
        <v>#REF!</v>
      </c>
      <c r="R91" s="586" t="e">
        <f>#REF!</f>
        <v>#REF!</v>
      </c>
      <c r="S91" s="586" t="e">
        <f>#REF!</f>
        <v>#REF!</v>
      </c>
      <c r="T91" s="586" t="e">
        <f t="shared" si="112"/>
        <v>#REF!</v>
      </c>
      <c r="U91" s="586" t="e">
        <f>#REF!+'Reg3(16-31)'!Z16</f>
        <v>#REF!</v>
      </c>
      <c r="V91" s="586">
        <f>'Reg3(16-31)'!X16</f>
        <v>812.08</v>
      </c>
      <c r="W91" s="586">
        <f>'Reg3(16-31)'!Y16</f>
        <v>812.08</v>
      </c>
      <c r="X91" s="586" t="e">
        <f t="shared" si="113"/>
        <v>#REF!</v>
      </c>
      <c r="Y91" s="602" t="e">
        <f>#REF!+'Reg3(16-31)'!AC16</f>
        <v>#REF!</v>
      </c>
      <c r="Z91" s="586" t="e">
        <f>#REF!+'Reg3(16-31)'!#REF!</f>
        <v>#REF!</v>
      </c>
      <c r="AA91" s="586" t="e">
        <f t="shared" si="114"/>
        <v>#REF!</v>
      </c>
      <c r="AB91" s="586"/>
      <c r="AC91" s="586" t="e">
        <f t="shared" si="115"/>
        <v>#REF!</v>
      </c>
      <c r="AE91" s="586">
        <f t="shared" si="116"/>
        <v>12466</v>
      </c>
      <c r="AF91" s="586" t="e">
        <f t="shared" si="117"/>
        <v>#REF!</v>
      </c>
      <c r="AG91" s="586" t="e">
        <f t="shared" si="118"/>
        <v>#REF!</v>
      </c>
      <c r="AH91" s="586">
        <f t="shared" si="119"/>
        <v>12466</v>
      </c>
      <c r="AI91" s="586" t="e">
        <f t="shared" si="120"/>
        <v>#REF!</v>
      </c>
      <c r="AJ91" s="586" t="e">
        <f t="shared" si="121"/>
        <v>#REF!</v>
      </c>
      <c r="AL91" s="566" t="e">
        <f>#REF!+'Reg3(16-31)'!AE16</f>
        <v>#REF!</v>
      </c>
    </row>
    <row r="92" spans="1:38" x14ac:dyDescent="0.2">
      <c r="A92" s="30" t="s">
        <v>534</v>
      </c>
      <c r="B92" s="575" t="s">
        <v>535</v>
      </c>
      <c r="C92" s="589" t="s">
        <v>253</v>
      </c>
      <c r="D92" s="59">
        <v>12466</v>
      </c>
      <c r="E92" s="586">
        <f>'Reg.3(1-15)'!K17+'Reg3(16-31)'!L17</f>
        <v>0</v>
      </c>
      <c r="F92" s="586" t="e">
        <f>#REF!+'Reg3(16-31)'!M17</f>
        <v>#REF!</v>
      </c>
      <c r="G92" s="586" t="e">
        <f>#REF!+'Reg3(16-31)'!N17</f>
        <v>#REF!</v>
      </c>
      <c r="H92" s="586" t="e">
        <f>#REF!+'Reg3(16-31)'!O17</f>
        <v>#REF!</v>
      </c>
      <c r="I92" s="586" t="e">
        <f>#REF!+'Reg3(16-31)'!P17</f>
        <v>#REF!</v>
      </c>
      <c r="J92" s="586" t="e">
        <f>#REF!+'Reg3(16-31)'!Q17</f>
        <v>#REF!</v>
      </c>
      <c r="K92" s="586" t="e">
        <f>#REF!+'Reg3(16-31)'!R17</f>
        <v>#REF!</v>
      </c>
      <c r="L92" s="586" t="e">
        <f>#REF!+'Reg3(16-31)'!S17</f>
        <v>#REF!</v>
      </c>
      <c r="M92" s="586" t="e">
        <f>#REF!+'Reg3(16-31)'!T17</f>
        <v>#REF!</v>
      </c>
      <c r="N92" s="586">
        <v>100</v>
      </c>
      <c r="O92" s="586" t="e">
        <f>#REF!</f>
        <v>#REF!</v>
      </c>
      <c r="P92" s="586" t="e">
        <f>#REF!</f>
        <v>#REF!</v>
      </c>
      <c r="Q92" s="586" t="e">
        <f t="shared" si="111"/>
        <v>#REF!</v>
      </c>
      <c r="R92" s="586" t="e">
        <f>#REF!</f>
        <v>#REF!</v>
      </c>
      <c r="S92" s="586" t="e">
        <f>#REF!</f>
        <v>#REF!</v>
      </c>
      <c r="T92" s="586" t="e">
        <f t="shared" si="112"/>
        <v>#REF!</v>
      </c>
      <c r="U92" s="586" t="e">
        <f>#REF!+'Reg3(16-31)'!Z17</f>
        <v>#REF!</v>
      </c>
      <c r="V92" s="586">
        <f>'Reg3(16-31)'!X17</f>
        <v>812.08</v>
      </c>
      <c r="W92" s="586">
        <f>'Reg3(16-31)'!Y17</f>
        <v>812.08</v>
      </c>
      <c r="X92" s="586" t="e">
        <f t="shared" si="113"/>
        <v>#REF!</v>
      </c>
      <c r="Y92" s="586" t="e">
        <f>#REF!+'Reg3(16-31)'!AC17</f>
        <v>#REF!</v>
      </c>
      <c r="Z92" s="586" t="e">
        <f>#REF!+'Reg3(16-31)'!#REF!</f>
        <v>#REF!</v>
      </c>
      <c r="AA92" s="586" t="e">
        <f t="shared" si="114"/>
        <v>#REF!</v>
      </c>
      <c r="AB92" s="586"/>
      <c r="AC92" s="586" t="e">
        <f t="shared" si="115"/>
        <v>#REF!</v>
      </c>
      <c r="AE92" s="586">
        <f t="shared" si="116"/>
        <v>12466</v>
      </c>
      <c r="AF92" s="586" t="e">
        <f t="shared" si="117"/>
        <v>#REF!</v>
      </c>
      <c r="AG92" s="586" t="e">
        <f t="shared" si="118"/>
        <v>#REF!</v>
      </c>
      <c r="AH92" s="586">
        <f t="shared" si="119"/>
        <v>12466</v>
      </c>
      <c r="AI92" s="586" t="e">
        <f t="shared" si="120"/>
        <v>#REF!</v>
      </c>
      <c r="AJ92" s="586" t="e">
        <f t="shared" si="121"/>
        <v>#REF!</v>
      </c>
      <c r="AL92" s="566" t="e">
        <f>#REF!+'Reg3(16-31)'!AE17</f>
        <v>#REF!</v>
      </c>
    </row>
    <row r="93" spans="1:38" x14ac:dyDescent="0.2">
      <c r="A93" s="30" t="s">
        <v>455</v>
      </c>
      <c r="B93" s="576" t="s">
        <v>446</v>
      </c>
      <c r="C93" s="589" t="s">
        <v>253</v>
      </c>
      <c r="D93" s="59">
        <v>12466</v>
      </c>
      <c r="E93" s="586">
        <f>'Reg.3(1-15)'!K32+'Reg3(16-31)'!L32</f>
        <v>0</v>
      </c>
      <c r="F93" s="586" t="e">
        <f>#REF!+'Reg3(16-31)'!M32</f>
        <v>#REF!</v>
      </c>
      <c r="G93" s="586" t="e">
        <f>#REF!+'Reg3(16-31)'!N32</f>
        <v>#REF!</v>
      </c>
      <c r="H93" s="586" t="e">
        <f>#REF!+'Reg3(16-31)'!O32</f>
        <v>#REF!</v>
      </c>
      <c r="I93" s="586" t="e">
        <f>#REF!+'Reg3(16-31)'!P32</f>
        <v>#REF!</v>
      </c>
      <c r="J93" s="586" t="e">
        <f>#REF!+'Reg3(16-31)'!Q32</f>
        <v>#REF!</v>
      </c>
      <c r="K93" s="586" t="e">
        <f>#REF!+'Reg3(16-31)'!R32</f>
        <v>#REF!</v>
      </c>
      <c r="L93" s="586" t="e">
        <f>#REF!+'Reg3(16-31)'!S32</f>
        <v>#REF!</v>
      </c>
      <c r="M93" s="586" t="e">
        <f>#REF!+'Reg3(16-31)'!T32</f>
        <v>#REF!</v>
      </c>
      <c r="N93" s="586">
        <v>100</v>
      </c>
      <c r="O93" s="586" t="e">
        <f>#REF!</f>
        <v>#REF!</v>
      </c>
      <c r="P93" s="586" t="e">
        <f>#REF!</f>
        <v>#REF!</v>
      </c>
      <c r="Q93" s="586" t="e">
        <f t="shared" si="111"/>
        <v>#REF!</v>
      </c>
      <c r="R93" s="586" t="e">
        <f>#REF!</f>
        <v>#REF!</v>
      </c>
      <c r="S93" s="586" t="e">
        <f>#REF!</f>
        <v>#REF!</v>
      </c>
      <c r="T93" s="586" t="e">
        <f t="shared" si="112"/>
        <v>#REF!</v>
      </c>
      <c r="U93" s="586" t="e">
        <f>#REF!+'Reg3(16-31)'!Z32</f>
        <v>#REF!</v>
      </c>
      <c r="V93" s="586">
        <f>'Reg3(16-31)'!X32</f>
        <v>321.76</v>
      </c>
      <c r="W93" s="586">
        <f>'Reg3(16-31)'!Y32</f>
        <v>321.76</v>
      </c>
      <c r="X93" s="586" t="e">
        <f t="shared" si="113"/>
        <v>#REF!</v>
      </c>
      <c r="Y93" s="586" t="e">
        <f>#REF!+'Reg3(16-31)'!AC32</f>
        <v>#REF!</v>
      </c>
      <c r="Z93" s="586" t="e">
        <f>#REF!+'Reg3(16-31)'!#REF!</f>
        <v>#REF!</v>
      </c>
      <c r="AA93" s="586" t="e">
        <f t="shared" si="114"/>
        <v>#REF!</v>
      </c>
      <c r="AB93" s="586"/>
      <c r="AC93" s="586" t="e">
        <f t="shared" si="115"/>
        <v>#REF!</v>
      </c>
      <c r="AE93" s="586">
        <f t="shared" si="116"/>
        <v>12466</v>
      </c>
      <c r="AF93" s="586" t="e">
        <f t="shared" si="117"/>
        <v>#REF!</v>
      </c>
      <c r="AG93" s="586" t="e">
        <f t="shared" si="118"/>
        <v>#REF!</v>
      </c>
      <c r="AH93" s="586">
        <f t="shared" si="119"/>
        <v>12466</v>
      </c>
      <c r="AI93" s="586" t="e">
        <f t="shared" si="120"/>
        <v>#REF!</v>
      </c>
      <c r="AJ93" s="586" t="e">
        <f t="shared" si="121"/>
        <v>#REF!</v>
      </c>
      <c r="AL93" s="566" t="e">
        <f>#REF!+'Reg3(16-31)'!AE32</f>
        <v>#REF!</v>
      </c>
    </row>
    <row r="94" spans="1:38" ht="13.5" thickBot="1" x14ac:dyDescent="0.25">
      <c r="A94" s="30"/>
      <c r="B94" s="576"/>
      <c r="C94" s="586"/>
      <c r="D94" s="157">
        <f>SUM(D83:D93)</f>
        <v>278114</v>
      </c>
      <c r="E94" s="157" t="e">
        <f t="shared" ref="E94:AC94" si="122">SUM(E83:E93)</f>
        <v>#REF!</v>
      </c>
      <c r="F94" s="157" t="e">
        <f t="shared" si="122"/>
        <v>#REF!</v>
      </c>
      <c r="G94" s="157" t="e">
        <f t="shared" si="122"/>
        <v>#REF!</v>
      </c>
      <c r="H94" s="157" t="e">
        <f t="shared" si="122"/>
        <v>#REF!</v>
      </c>
      <c r="I94" s="157" t="e">
        <f t="shared" si="122"/>
        <v>#REF!</v>
      </c>
      <c r="J94" s="157" t="e">
        <f t="shared" si="122"/>
        <v>#REF!</v>
      </c>
      <c r="K94" s="157" t="e">
        <f t="shared" si="122"/>
        <v>#REF!</v>
      </c>
      <c r="L94" s="157" t="e">
        <f t="shared" si="122"/>
        <v>#REF!</v>
      </c>
      <c r="M94" s="157" t="e">
        <f t="shared" si="122"/>
        <v>#REF!</v>
      </c>
      <c r="N94" s="157">
        <f t="shared" si="122"/>
        <v>1100</v>
      </c>
      <c r="O94" s="157" t="e">
        <f t="shared" si="122"/>
        <v>#REF!</v>
      </c>
      <c r="P94" s="157" t="e">
        <f t="shared" si="122"/>
        <v>#REF!</v>
      </c>
      <c r="Q94" s="157" t="e">
        <f t="shared" si="122"/>
        <v>#REF!</v>
      </c>
      <c r="R94" s="157" t="e">
        <f t="shared" si="122"/>
        <v>#REF!</v>
      </c>
      <c r="S94" s="157" t="e">
        <f t="shared" si="122"/>
        <v>#REF!</v>
      </c>
      <c r="T94" s="157" t="e">
        <f t="shared" si="122"/>
        <v>#REF!</v>
      </c>
      <c r="U94" s="157" t="e">
        <f t="shared" si="122"/>
        <v>#REF!</v>
      </c>
      <c r="V94" s="157" t="e">
        <f t="shared" si="122"/>
        <v>#REF!</v>
      </c>
      <c r="W94" s="157" t="e">
        <f t="shared" si="122"/>
        <v>#REF!</v>
      </c>
      <c r="X94" s="157" t="e">
        <f t="shared" si="122"/>
        <v>#REF!</v>
      </c>
      <c r="Y94" s="157" t="e">
        <f t="shared" si="122"/>
        <v>#REF!</v>
      </c>
      <c r="Z94" s="157" t="e">
        <f t="shared" si="122"/>
        <v>#REF!</v>
      </c>
      <c r="AA94" s="157" t="e">
        <f t="shared" si="122"/>
        <v>#REF!</v>
      </c>
      <c r="AB94" s="157">
        <f t="shared" si="122"/>
        <v>8285.4700000000012</v>
      </c>
      <c r="AC94" s="157" t="e">
        <f t="shared" si="122"/>
        <v>#REF!</v>
      </c>
      <c r="AE94" s="601">
        <f>SUM(AE83:AE93)</f>
        <v>278114</v>
      </c>
      <c r="AF94" s="586"/>
      <c r="AG94" s="586"/>
      <c r="AH94" s="586"/>
      <c r="AI94" s="586"/>
      <c r="AJ94" s="586"/>
    </row>
    <row r="95" spans="1:38" ht="13.5" thickTop="1" x14ac:dyDescent="0.2">
      <c r="A95" s="194" t="s">
        <v>503</v>
      </c>
      <c r="B95" s="576"/>
      <c r="C95" s="586"/>
      <c r="D95" s="55"/>
      <c r="E95" s="586"/>
      <c r="F95" s="586"/>
      <c r="G95" s="586"/>
      <c r="H95" s="586"/>
      <c r="I95" s="586"/>
      <c r="J95" s="586"/>
      <c r="K95" s="586"/>
      <c r="L95" s="586"/>
      <c r="M95" s="586"/>
      <c r="N95" s="586"/>
      <c r="O95" s="586"/>
      <c r="P95" s="586"/>
      <c r="Q95" s="586"/>
      <c r="R95" s="586"/>
      <c r="S95" s="586"/>
      <c r="T95" s="586"/>
      <c r="U95" s="586"/>
      <c r="V95" s="586"/>
      <c r="W95" s="586"/>
      <c r="X95" s="586"/>
      <c r="Y95" s="586"/>
      <c r="Z95" s="586"/>
      <c r="AA95" s="586"/>
      <c r="AB95" s="586"/>
      <c r="AC95" s="586"/>
      <c r="AE95" s="586"/>
      <c r="AF95" s="586"/>
      <c r="AG95" s="586"/>
      <c r="AH95" s="586"/>
      <c r="AI95" s="586"/>
      <c r="AJ95" s="586"/>
    </row>
    <row r="96" spans="1:38" x14ac:dyDescent="0.2">
      <c r="A96" s="30" t="s">
        <v>163</v>
      </c>
      <c r="B96" s="576" t="s">
        <v>83</v>
      </c>
      <c r="C96" s="588" t="s">
        <v>575</v>
      </c>
      <c r="D96" s="59">
        <v>10126</v>
      </c>
      <c r="E96" s="586" t="e">
        <f>'Reg.3(1-15)'!#REF!+'Reg3(16-31)'!#REF!</f>
        <v>#REF!</v>
      </c>
      <c r="F96" s="586" t="e">
        <f>#REF!+'Reg3(16-31)'!#REF!</f>
        <v>#REF!</v>
      </c>
      <c r="G96" s="586" t="e">
        <f>#REF!+'Reg3(16-31)'!#REF!</f>
        <v>#REF!</v>
      </c>
      <c r="H96" s="586" t="e">
        <f>#REF!+'Reg3(16-31)'!#REF!</f>
        <v>#REF!</v>
      </c>
      <c r="I96" s="586" t="e">
        <f>#REF!+'Reg3(16-31)'!#REF!</f>
        <v>#REF!</v>
      </c>
      <c r="J96" s="586" t="e">
        <f>#REF!+'Reg3(16-31)'!#REF!</f>
        <v>#REF!</v>
      </c>
      <c r="K96" s="586" t="e">
        <f>#REF!+'Reg3(16-31)'!#REF!</f>
        <v>#REF!</v>
      </c>
      <c r="L96" s="586" t="e">
        <f>#REF!+'Reg3(16-31)'!#REF!</f>
        <v>#REF!</v>
      </c>
      <c r="M96" s="586" t="e">
        <f>#REF!+'Reg3(16-31)'!#REF!</f>
        <v>#REF!</v>
      </c>
      <c r="N96" s="586">
        <v>100</v>
      </c>
      <c r="O96" s="586" t="e">
        <f>#REF!</f>
        <v>#REF!</v>
      </c>
      <c r="P96" s="586" t="e">
        <f>#REF!</f>
        <v>#REF!</v>
      </c>
      <c r="Q96" s="586" t="e">
        <f t="shared" ref="Q96:Q97" si="123">SUM(E96:P96)</f>
        <v>#REF!</v>
      </c>
      <c r="R96" s="586" t="e">
        <f>#REF!</f>
        <v>#REF!</v>
      </c>
      <c r="S96" s="586" t="e">
        <f>#REF!</f>
        <v>#REF!</v>
      </c>
      <c r="T96" s="586" t="e">
        <f t="shared" ref="T96:T97" si="124">R96+S96</f>
        <v>#REF!</v>
      </c>
      <c r="U96" s="586" t="e">
        <f>#REF!+'Reg3(16-31)'!#REF!</f>
        <v>#REF!</v>
      </c>
      <c r="V96" s="586" t="e">
        <f>'Reg3(16-31)'!#REF!</f>
        <v>#REF!</v>
      </c>
      <c r="W96" s="586" t="e">
        <f>'Reg3(16-31)'!#REF!</f>
        <v>#REF!</v>
      </c>
      <c r="X96" s="586" t="e">
        <f t="shared" ref="X96:X97" si="125">SUM(U96:W96)</f>
        <v>#REF!</v>
      </c>
      <c r="Y96" s="586" t="e">
        <f>#REF!+'Reg3(16-31)'!#REF!</f>
        <v>#REF!</v>
      </c>
      <c r="Z96" s="586" t="e">
        <f>#REF!+'Reg3(16-31)'!#REF!</f>
        <v>#REF!</v>
      </c>
      <c r="AA96" s="586" t="e">
        <f t="shared" ref="AA96:AA97" si="126">SUM(Y96:Z96)</f>
        <v>#REF!</v>
      </c>
      <c r="AB96" s="586"/>
      <c r="AC96" s="586" t="e">
        <f t="shared" ref="AC96:AC97" si="127">Q96+T96+X96+AA96+AB96</f>
        <v>#REF!</v>
      </c>
      <c r="AE96" s="586">
        <f t="shared" ref="AE96:AE97" si="128">D96</f>
        <v>10126</v>
      </c>
      <c r="AF96" s="586" t="e">
        <f t="shared" ref="AF96:AF97" si="129">SUM(E96:M96)+O96+R96+U96+V96+AA96+AB96</f>
        <v>#REF!</v>
      </c>
      <c r="AG96" s="586" t="e">
        <f t="shared" ref="AG96:AG97" si="130">AE96-AF96</f>
        <v>#REF!</v>
      </c>
      <c r="AH96" s="586">
        <f t="shared" ref="AH96:AH97" si="131">AE96</f>
        <v>10126</v>
      </c>
      <c r="AI96" s="586" t="e">
        <f t="shared" ref="AI96:AI97" si="132">P96+S96+W96</f>
        <v>#REF!</v>
      </c>
      <c r="AJ96" s="586" t="e">
        <f t="shared" ref="AJ96:AJ97" si="133">AH96+AI96</f>
        <v>#REF!</v>
      </c>
      <c r="AL96" s="566" t="e">
        <f>#REF!+'Reg3(16-31)'!#REF!</f>
        <v>#REF!</v>
      </c>
    </row>
    <row r="97" spans="1:38" x14ac:dyDescent="0.2">
      <c r="A97" s="30" t="s">
        <v>456</v>
      </c>
      <c r="B97" s="576" t="s">
        <v>446</v>
      </c>
      <c r="C97" s="589" t="s">
        <v>253</v>
      </c>
      <c r="D97" s="59">
        <v>9973</v>
      </c>
      <c r="E97" s="586">
        <f>'Reg.3(1-15)'!K39+'Reg3(16-31)'!L39</f>
        <v>0</v>
      </c>
      <c r="F97" s="586" t="e">
        <f>#REF!+'Reg3(16-31)'!M39</f>
        <v>#REF!</v>
      </c>
      <c r="G97" s="586" t="e">
        <f>#REF!+'Reg3(16-31)'!N39</f>
        <v>#REF!</v>
      </c>
      <c r="H97" s="586" t="e">
        <f>#REF!+'Reg3(16-31)'!O39</f>
        <v>#REF!</v>
      </c>
      <c r="I97" s="586" t="e">
        <f>#REF!+'Reg3(16-31)'!P39</f>
        <v>#REF!</v>
      </c>
      <c r="J97" s="586" t="e">
        <f>#REF!+'Reg3(16-31)'!Q39</f>
        <v>#REF!</v>
      </c>
      <c r="K97" s="586" t="e">
        <f>#REF!+'Reg3(16-31)'!R39</f>
        <v>#REF!</v>
      </c>
      <c r="L97" s="586" t="e">
        <f>#REF!+'Reg3(16-31)'!S39</f>
        <v>#REF!</v>
      </c>
      <c r="M97" s="586" t="e">
        <f>#REF!+'Reg3(16-31)'!T39</f>
        <v>#REF!</v>
      </c>
      <c r="N97" s="586">
        <v>99.73</v>
      </c>
      <c r="O97" s="586" t="e">
        <f>#REF!</f>
        <v>#REF!</v>
      </c>
      <c r="P97" s="586" t="e">
        <f>#REF!</f>
        <v>#REF!</v>
      </c>
      <c r="Q97" s="586" t="e">
        <f t="shared" si="123"/>
        <v>#REF!</v>
      </c>
      <c r="R97" s="586" t="e">
        <f>#REF!</f>
        <v>#REF!</v>
      </c>
      <c r="S97" s="586" t="e">
        <f>#REF!</f>
        <v>#REF!</v>
      </c>
      <c r="T97" s="586" t="e">
        <f t="shared" si="124"/>
        <v>#REF!</v>
      </c>
      <c r="U97" s="586" t="e">
        <f>#REF!+'Reg3(16-31)'!Z39</f>
        <v>#REF!</v>
      </c>
      <c r="V97" s="586">
        <f>'Reg3(16-31)'!X39</f>
        <v>273.5</v>
      </c>
      <c r="W97" s="586">
        <f>'Reg3(16-31)'!Y39</f>
        <v>273.5</v>
      </c>
      <c r="X97" s="586" t="e">
        <f t="shared" si="125"/>
        <v>#REF!</v>
      </c>
      <c r="Y97" s="602" t="e">
        <f>#REF!+'Reg3(16-31)'!AC39</f>
        <v>#REF!</v>
      </c>
      <c r="Z97" s="586" t="e">
        <f>#REF!+'Reg3(16-31)'!#REF!</f>
        <v>#REF!</v>
      </c>
      <c r="AA97" s="586" t="e">
        <f t="shared" si="126"/>
        <v>#REF!</v>
      </c>
      <c r="AB97" s="586"/>
      <c r="AC97" s="586" t="e">
        <f t="shared" si="127"/>
        <v>#REF!</v>
      </c>
      <c r="AE97" s="586">
        <f t="shared" si="128"/>
        <v>9973</v>
      </c>
      <c r="AF97" s="586" t="e">
        <f t="shared" si="129"/>
        <v>#REF!</v>
      </c>
      <c r="AG97" s="586" t="e">
        <f t="shared" si="130"/>
        <v>#REF!</v>
      </c>
      <c r="AH97" s="586">
        <f t="shared" si="131"/>
        <v>9973</v>
      </c>
      <c r="AI97" s="586" t="e">
        <f t="shared" si="132"/>
        <v>#REF!</v>
      </c>
      <c r="AJ97" s="586" t="e">
        <f t="shared" si="133"/>
        <v>#REF!</v>
      </c>
      <c r="AL97" s="566" t="e">
        <f>#REF!+'Reg3(16-31)'!AE39</f>
        <v>#REF!</v>
      </c>
    </row>
    <row r="98" spans="1:38" ht="13.5" thickBot="1" x14ac:dyDescent="0.25">
      <c r="A98" s="30"/>
      <c r="B98" s="576"/>
      <c r="C98" s="586"/>
      <c r="D98" s="439">
        <f>SUM(D96:D97)</f>
        <v>20099</v>
      </c>
      <c r="E98" s="439" t="e">
        <f t="shared" ref="E98:AC98" si="134">SUM(E96:E97)</f>
        <v>#REF!</v>
      </c>
      <c r="F98" s="439" t="e">
        <f t="shared" si="134"/>
        <v>#REF!</v>
      </c>
      <c r="G98" s="439" t="e">
        <f t="shared" si="134"/>
        <v>#REF!</v>
      </c>
      <c r="H98" s="439" t="e">
        <f t="shared" si="134"/>
        <v>#REF!</v>
      </c>
      <c r="I98" s="439" t="e">
        <f t="shared" si="134"/>
        <v>#REF!</v>
      </c>
      <c r="J98" s="439" t="e">
        <f t="shared" si="134"/>
        <v>#REF!</v>
      </c>
      <c r="K98" s="439" t="e">
        <f t="shared" si="134"/>
        <v>#REF!</v>
      </c>
      <c r="L98" s="439" t="e">
        <f t="shared" si="134"/>
        <v>#REF!</v>
      </c>
      <c r="M98" s="439" t="e">
        <f t="shared" si="134"/>
        <v>#REF!</v>
      </c>
      <c r="N98" s="439"/>
      <c r="O98" s="439" t="e">
        <f t="shared" si="134"/>
        <v>#REF!</v>
      </c>
      <c r="P98" s="439" t="e">
        <f t="shared" si="134"/>
        <v>#REF!</v>
      </c>
      <c r="Q98" s="439" t="e">
        <f t="shared" si="134"/>
        <v>#REF!</v>
      </c>
      <c r="R98" s="439" t="e">
        <f t="shared" si="134"/>
        <v>#REF!</v>
      </c>
      <c r="S98" s="439" t="e">
        <f t="shared" si="134"/>
        <v>#REF!</v>
      </c>
      <c r="T98" s="439" t="e">
        <f t="shared" si="134"/>
        <v>#REF!</v>
      </c>
      <c r="U98" s="439" t="e">
        <f t="shared" si="134"/>
        <v>#REF!</v>
      </c>
      <c r="V98" s="439" t="e">
        <f t="shared" si="134"/>
        <v>#REF!</v>
      </c>
      <c r="W98" s="439" t="e">
        <f t="shared" si="134"/>
        <v>#REF!</v>
      </c>
      <c r="X98" s="439" t="e">
        <f t="shared" si="134"/>
        <v>#REF!</v>
      </c>
      <c r="Y98" s="439" t="e">
        <f t="shared" si="134"/>
        <v>#REF!</v>
      </c>
      <c r="Z98" s="439" t="e">
        <f t="shared" si="134"/>
        <v>#REF!</v>
      </c>
      <c r="AA98" s="439" t="e">
        <f t="shared" si="134"/>
        <v>#REF!</v>
      </c>
      <c r="AB98" s="439">
        <f t="shared" si="134"/>
        <v>0</v>
      </c>
      <c r="AC98" s="439" t="e">
        <f t="shared" si="134"/>
        <v>#REF!</v>
      </c>
      <c r="AE98" s="586"/>
      <c r="AF98" s="586"/>
      <c r="AG98" s="586"/>
      <c r="AH98" s="586"/>
      <c r="AI98" s="586"/>
      <c r="AJ98" s="586"/>
    </row>
    <row r="99" spans="1:38" ht="13.5" thickTop="1" x14ac:dyDescent="0.2">
      <c r="A99" s="194" t="s">
        <v>485</v>
      </c>
      <c r="B99" s="576"/>
      <c r="C99" s="586"/>
      <c r="D99" s="56"/>
      <c r="E99" s="586"/>
      <c r="F99" s="586"/>
      <c r="G99" s="586"/>
      <c r="H99" s="586"/>
      <c r="I99" s="586"/>
      <c r="J99" s="586"/>
      <c r="K99" s="586"/>
      <c r="L99" s="586"/>
      <c r="M99" s="586"/>
      <c r="N99" s="586"/>
      <c r="O99" s="586"/>
      <c r="P99" s="586"/>
      <c r="Q99" s="586"/>
      <c r="R99" s="586"/>
      <c r="S99" s="586"/>
      <c r="T99" s="586"/>
      <c r="U99" s="586"/>
      <c r="V99" s="586"/>
      <c r="W99" s="586"/>
      <c r="X99" s="586"/>
      <c r="Y99" s="586"/>
      <c r="Z99" s="586"/>
      <c r="AA99" s="586"/>
      <c r="AB99" s="586"/>
      <c r="AC99" s="586"/>
      <c r="AE99" s="586"/>
      <c r="AF99" s="586"/>
      <c r="AG99" s="586"/>
      <c r="AH99" s="586"/>
      <c r="AI99" s="586"/>
      <c r="AJ99" s="586"/>
    </row>
    <row r="100" spans="1:38" x14ac:dyDescent="0.2">
      <c r="A100" s="30" t="s">
        <v>120</v>
      </c>
      <c r="B100" s="576" t="s">
        <v>121</v>
      </c>
      <c r="C100" s="588" t="s">
        <v>575</v>
      </c>
      <c r="D100" s="57">
        <v>74732</v>
      </c>
      <c r="E100" s="586" t="e">
        <f>'Reg.3(1-15)'!#REF!+'Reg3(16-31)'!#REF!</f>
        <v>#REF!</v>
      </c>
      <c r="F100" s="586" t="e">
        <f>#REF!+'Reg3(16-31)'!#REF!</f>
        <v>#REF!</v>
      </c>
      <c r="G100" s="586" t="e">
        <f>#REF!+'Reg3(16-31)'!#REF!</f>
        <v>#REF!</v>
      </c>
      <c r="H100" s="586" t="e">
        <f>#REF!+'Reg3(16-31)'!#REF!</f>
        <v>#REF!</v>
      </c>
      <c r="I100" s="586" t="e">
        <f>#REF!+'Reg3(16-31)'!#REF!</f>
        <v>#REF!</v>
      </c>
      <c r="J100" s="586" t="e">
        <f>#REF!+'Reg3(16-31)'!#REF!</f>
        <v>#REF!</v>
      </c>
      <c r="K100" s="586" t="e">
        <f>#REF!+'Reg3(16-31)'!#REF!</f>
        <v>#REF!</v>
      </c>
      <c r="L100" s="586" t="e">
        <f>#REF!+'Reg3(16-31)'!#REF!</f>
        <v>#REF!</v>
      </c>
      <c r="M100" s="586" t="e">
        <f>#REF!+'Reg3(16-31)'!#REF!</f>
        <v>#REF!</v>
      </c>
      <c r="N100" s="586">
        <v>100</v>
      </c>
      <c r="O100" s="586" t="e">
        <f>#REF!</f>
        <v>#REF!</v>
      </c>
      <c r="P100" s="586" t="e">
        <f>#REF!</f>
        <v>#REF!</v>
      </c>
      <c r="Q100" s="586" t="e">
        <f t="shared" ref="Q100:Q111" si="135">SUM(E100:P100)</f>
        <v>#REF!</v>
      </c>
      <c r="R100" s="586" t="e">
        <f>#REF!</f>
        <v>#REF!</v>
      </c>
      <c r="S100" s="586" t="e">
        <f>#REF!</f>
        <v>#REF!</v>
      </c>
      <c r="T100" s="586" t="e">
        <f t="shared" ref="T100:T111" si="136">R100+S100</f>
        <v>#REF!</v>
      </c>
      <c r="U100" s="586" t="e">
        <f>#REF!+'Reg3(16-31)'!#REF!</f>
        <v>#REF!</v>
      </c>
      <c r="V100" s="586" t="e">
        <f>'Reg3(16-31)'!#REF!</f>
        <v>#REF!</v>
      </c>
      <c r="W100" s="586" t="e">
        <f>'Reg3(16-31)'!#REF!</f>
        <v>#REF!</v>
      </c>
      <c r="X100" s="586" t="e">
        <f t="shared" ref="X100:X111" si="137">SUM(U100:W100)</f>
        <v>#REF!</v>
      </c>
      <c r="Y100" s="602" t="e">
        <f>#REF!+'Reg3(16-31)'!#REF!</f>
        <v>#REF!</v>
      </c>
      <c r="Z100" s="586" t="e">
        <f>#REF!+'Reg3(16-31)'!#REF!</f>
        <v>#REF!</v>
      </c>
      <c r="AA100" s="586" t="e">
        <f t="shared" ref="AA100:AA111" si="138">SUM(Y100:Z100)</f>
        <v>#REF!</v>
      </c>
      <c r="AB100" s="586" t="e">
        <f>'Reg3(16-31)'!#REF!</f>
        <v>#REF!</v>
      </c>
      <c r="AC100" s="586" t="e">
        <f t="shared" ref="AC100:AC111" si="139">Q100+T100+X100+AA100+AB100</f>
        <v>#REF!</v>
      </c>
      <c r="AE100" s="586">
        <f t="shared" ref="AE100:AE111" si="140">D100</f>
        <v>74732</v>
      </c>
      <c r="AF100" s="586" t="e">
        <f t="shared" ref="AF100:AF111" si="141">SUM(E100:M100)+O100+R100+U100+V100+AA100+AB100</f>
        <v>#REF!</v>
      </c>
      <c r="AG100" s="586" t="e">
        <f t="shared" ref="AG100:AG111" si="142">AE100-AF100</f>
        <v>#REF!</v>
      </c>
      <c r="AH100" s="586">
        <f t="shared" ref="AH100:AH111" si="143">AE100</f>
        <v>74732</v>
      </c>
      <c r="AI100" s="586" t="e">
        <f t="shared" ref="AI100:AI111" si="144">P100+S100+W100</f>
        <v>#REF!</v>
      </c>
      <c r="AJ100" s="586" t="e">
        <f t="shared" ref="AJ100:AJ111" si="145">AH100+AI100</f>
        <v>#REF!</v>
      </c>
      <c r="AL100" s="566" t="e">
        <f>#REF!+'Reg3(16-31)'!#REF!</f>
        <v>#REF!</v>
      </c>
    </row>
    <row r="101" spans="1:38" x14ac:dyDescent="0.2">
      <c r="A101" s="30" t="s">
        <v>420</v>
      </c>
      <c r="B101" s="576" t="s">
        <v>421</v>
      </c>
      <c r="C101" s="589" t="s">
        <v>253</v>
      </c>
      <c r="D101" s="571">
        <v>24727</v>
      </c>
      <c r="E101" s="586">
        <f>'Reg.3(1-15)'!K42+'Reg3(16-31)'!L42</f>
        <v>0</v>
      </c>
      <c r="F101" s="586" t="e">
        <f>#REF!+'Reg3(16-31)'!M42</f>
        <v>#REF!</v>
      </c>
      <c r="G101" s="586" t="e">
        <f>#REF!+'Reg3(16-31)'!N42</f>
        <v>#REF!</v>
      </c>
      <c r="H101" s="586" t="e">
        <f>#REF!+'Reg3(16-31)'!O42</f>
        <v>#REF!</v>
      </c>
      <c r="I101" s="586" t="e">
        <f>#REF!+'Reg3(16-31)'!P42</f>
        <v>#REF!</v>
      </c>
      <c r="J101" s="586" t="e">
        <f>#REF!+'Reg3(16-31)'!Q42</f>
        <v>#REF!</v>
      </c>
      <c r="K101" s="586" t="e">
        <f>#REF!+'Reg3(16-31)'!R42</f>
        <v>#REF!</v>
      </c>
      <c r="L101" s="586" t="e">
        <f>#REF!+'Reg3(16-31)'!S42</f>
        <v>#REF!</v>
      </c>
      <c r="M101" s="586" t="e">
        <f>#REF!+'Reg3(16-31)'!T42</f>
        <v>#REF!</v>
      </c>
      <c r="N101" s="586">
        <v>100</v>
      </c>
      <c r="O101" s="586" t="e">
        <f>#REF!</f>
        <v>#REF!</v>
      </c>
      <c r="P101" s="586" t="e">
        <f>#REF!</f>
        <v>#REF!</v>
      </c>
      <c r="Q101" s="586" t="e">
        <f t="shared" si="135"/>
        <v>#REF!</v>
      </c>
      <c r="R101" s="586" t="e">
        <f>#REF!</f>
        <v>#REF!</v>
      </c>
      <c r="S101" s="586" t="e">
        <f>#REF!</f>
        <v>#REF!</v>
      </c>
      <c r="T101" s="586" t="e">
        <f t="shared" si="136"/>
        <v>#REF!</v>
      </c>
      <c r="U101" s="586" t="e">
        <f>#REF!+'Reg3(16-31)'!Z42</f>
        <v>#REF!</v>
      </c>
      <c r="V101" s="586">
        <f>'Reg3(16-31)'!X42</f>
        <v>697.1</v>
      </c>
      <c r="W101" s="586">
        <f>'Reg3(16-31)'!Y42</f>
        <v>697.1</v>
      </c>
      <c r="X101" s="586" t="e">
        <f t="shared" si="137"/>
        <v>#REF!</v>
      </c>
      <c r="Y101" s="586" t="e">
        <f>#REF!+'Reg3(16-31)'!AC42</f>
        <v>#REF!</v>
      </c>
      <c r="Z101" s="586" t="e">
        <f>#REF!+'Reg3(16-31)'!#REF!</f>
        <v>#REF!</v>
      </c>
      <c r="AA101" s="586" t="e">
        <f t="shared" si="138"/>
        <v>#REF!</v>
      </c>
      <c r="AB101" s="586">
        <f>'Reg3(16-31)'!W42</f>
        <v>2632.45</v>
      </c>
      <c r="AC101" s="586" t="e">
        <f t="shared" si="139"/>
        <v>#REF!</v>
      </c>
      <c r="AE101" s="586">
        <f t="shared" si="140"/>
        <v>24727</v>
      </c>
      <c r="AF101" s="586" t="e">
        <f t="shared" si="141"/>
        <v>#REF!</v>
      </c>
      <c r="AG101" s="586" t="e">
        <f t="shared" si="142"/>
        <v>#REF!</v>
      </c>
      <c r="AH101" s="586">
        <f t="shared" si="143"/>
        <v>24727</v>
      </c>
      <c r="AI101" s="586" t="e">
        <f t="shared" si="144"/>
        <v>#REF!</v>
      </c>
      <c r="AJ101" s="586" t="e">
        <f t="shared" si="145"/>
        <v>#REF!</v>
      </c>
      <c r="AL101" s="566" t="e">
        <f>#REF!+'Reg3(16-31)'!AE42</f>
        <v>#REF!</v>
      </c>
    </row>
    <row r="102" spans="1:38" ht="12.95" customHeight="1" x14ac:dyDescent="0.2">
      <c r="A102" s="30" t="s">
        <v>553</v>
      </c>
      <c r="B102" s="576" t="s">
        <v>554</v>
      </c>
      <c r="C102" s="589" t="s">
        <v>253</v>
      </c>
      <c r="D102" s="600">
        <v>13406</v>
      </c>
      <c r="E102" s="586">
        <f>'Reg.3(1-15)'!K45+'Reg3(16-31)'!L45</f>
        <v>0</v>
      </c>
      <c r="F102" s="586" t="e">
        <f>#REF!+'Reg3(16-31)'!M45</f>
        <v>#REF!</v>
      </c>
      <c r="G102" s="586" t="e">
        <f>#REF!+'Reg3(16-31)'!N45</f>
        <v>#REF!</v>
      </c>
      <c r="H102" s="586" t="e">
        <f>#REF!+'Reg3(16-31)'!O45</f>
        <v>#REF!</v>
      </c>
      <c r="I102" s="586" t="e">
        <f>#REF!+'Reg3(16-31)'!P45</f>
        <v>#REF!</v>
      </c>
      <c r="J102" s="586" t="e">
        <f>#REF!+'Reg3(16-31)'!Q45</f>
        <v>#REF!</v>
      </c>
      <c r="K102" s="586" t="e">
        <f>#REF!+'Reg3(16-31)'!R45</f>
        <v>#REF!</v>
      </c>
      <c r="L102" s="586" t="e">
        <f>#REF!+'Reg3(16-31)'!S45</f>
        <v>#REF!</v>
      </c>
      <c r="M102" s="586" t="e">
        <f>#REF!+'Reg3(16-31)'!T45</f>
        <v>#REF!</v>
      </c>
      <c r="N102" s="586">
        <v>100</v>
      </c>
      <c r="O102" s="586" t="e">
        <f>#REF!</f>
        <v>#REF!</v>
      </c>
      <c r="P102" s="586" t="e">
        <f>#REF!</f>
        <v>#REF!</v>
      </c>
      <c r="Q102" s="586" t="e">
        <f t="shared" si="135"/>
        <v>#REF!</v>
      </c>
      <c r="R102" s="586" t="e">
        <f>#REF!</f>
        <v>#REF!</v>
      </c>
      <c r="S102" s="586" t="e">
        <f>#REF!</f>
        <v>#REF!</v>
      </c>
      <c r="T102" s="586" t="e">
        <f t="shared" si="136"/>
        <v>#REF!</v>
      </c>
      <c r="U102" s="586" t="e">
        <f>#REF!+'Reg3(16-31)'!Z45</f>
        <v>#REF!</v>
      </c>
      <c r="V102" s="586">
        <f>'Reg3(16-31)'!X45</f>
        <v>367.92</v>
      </c>
      <c r="W102" s="586">
        <f>'Reg3(16-31)'!Y45</f>
        <v>367.92</v>
      </c>
      <c r="X102" s="586" t="e">
        <f t="shared" si="137"/>
        <v>#REF!</v>
      </c>
      <c r="Y102" s="586" t="e">
        <f>#REF!+'Reg3(16-31)'!AC45</f>
        <v>#REF!</v>
      </c>
      <c r="Z102" s="586" t="e">
        <f>#REF!+'Reg3(16-31)'!#REF!</f>
        <v>#REF!</v>
      </c>
      <c r="AA102" s="586" t="e">
        <f t="shared" si="138"/>
        <v>#REF!</v>
      </c>
      <c r="AB102" s="586"/>
      <c r="AC102" s="586" t="e">
        <f t="shared" si="139"/>
        <v>#REF!</v>
      </c>
      <c r="AE102" s="586">
        <f t="shared" si="140"/>
        <v>13406</v>
      </c>
      <c r="AF102" s="586" t="e">
        <f t="shared" si="141"/>
        <v>#REF!</v>
      </c>
      <c r="AG102" s="586" t="e">
        <f t="shared" si="142"/>
        <v>#REF!</v>
      </c>
      <c r="AH102" s="586">
        <f t="shared" si="143"/>
        <v>13406</v>
      </c>
      <c r="AI102" s="586" t="e">
        <f t="shared" si="144"/>
        <v>#REF!</v>
      </c>
      <c r="AJ102" s="586" t="e">
        <f t="shared" si="145"/>
        <v>#REF!</v>
      </c>
      <c r="AL102" s="566" t="e">
        <f>#REF!+'Reg3(16-31)'!AE45</f>
        <v>#REF!</v>
      </c>
    </row>
    <row r="103" spans="1:38" x14ac:dyDescent="0.2">
      <c r="A103" s="30" t="s">
        <v>122</v>
      </c>
      <c r="B103" s="576" t="s">
        <v>123</v>
      </c>
      <c r="C103" s="589" t="s">
        <v>253</v>
      </c>
      <c r="D103" s="59">
        <v>14278</v>
      </c>
      <c r="E103" s="586">
        <f>'Reg.3(1-15)'!K43+'Reg3(16-31)'!L43</f>
        <v>0</v>
      </c>
      <c r="F103" s="586" t="e">
        <f>#REF!+'Reg3(16-31)'!M43</f>
        <v>#REF!</v>
      </c>
      <c r="G103" s="586" t="e">
        <f>#REF!+'Reg3(16-31)'!N43</f>
        <v>#REF!</v>
      </c>
      <c r="H103" s="586" t="e">
        <f>#REF!+'Reg3(16-31)'!O43</f>
        <v>#REF!</v>
      </c>
      <c r="I103" s="586" t="e">
        <f>#REF!+'Reg3(16-31)'!P43</f>
        <v>#REF!</v>
      </c>
      <c r="J103" s="586" t="e">
        <f>#REF!+'Reg3(16-31)'!Q43</f>
        <v>#REF!</v>
      </c>
      <c r="K103" s="586" t="e">
        <f>#REF!+'Reg3(16-31)'!R43</f>
        <v>#REF!</v>
      </c>
      <c r="L103" s="586" t="e">
        <f>#REF!+'Reg3(16-31)'!S43</f>
        <v>#REF!</v>
      </c>
      <c r="M103" s="586" t="e">
        <f>#REF!+'Reg3(16-31)'!T43</f>
        <v>#REF!</v>
      </c>
      <c r="N103" s="586">
        <v>100</v>
      </c>
      <c r="O103" s="586" t="e">
        <f>#REF!</f>
        <v>#REF!</v>
      </c>
      <c r="P103" s="586" t="e">
        <f>#REF!</f>
        <v>#REF!</v>
      </c>
      <c r="Q103" s="586" t="e">
        <f t="shared" si="135"/>
        <v>#REF!</v>
      </c>
      <c r="R103" s="586" t="e">
        <f>#REF!</f>
        <v>#REF!</v>
      </c>
      <c r="S103" s="586" t="e">
        <f>#REF!</f>
        <v>#REF!</v>
      </c>
      <c r="T103" s="586" t="e">
        <f t="shared" si="136"/>
        <v>#REF!</v>
      </c>
      <c r="U103" s="586" t="e">
        <f>#REF!+'Reg3(16-31)'!Z43</f>
        <v>#REF!</v>
      </c>
      <c r="V103" s="586">
        <f>'Reg3(16-31)'!X43</f>
        <v>388.34000000000003</v>
      </c>
      <c r="W103" s="586">
        <f>'Reg3(16-31)'!Y43</f>
        <v>388.34000000000003</v>
      </c>
      <c r="X103" s="586" t="e">
        <f t="shared" si="137"/>
        <v>#REF!</v>
      </c>
      <c r="Y103" s="586" t="e">
        <f>#REF!+'Reg3(16-31)'!AC43</f>
        <v>#REF!</v>
      </c>
      <c r="Z103" s="586" t="e">
        <f>#REF!+'Reg3(16-31)'!#REF!</f>
        <v>#REF!</v>
      </c>
      <c r="AA103" s="586" t="e">
        <f t="shared" si="138"/>
        <v>#REF!</v>
      </c>
      <c r="AB103" s="586"/>
      <c r="AC103" s="586" t="e">
        <f t="shared" si="139"/>
        <v>#REF!</v>
      </c>
      <c r="AE103" s="586">
        <f t="shared" si="140"/>
        <v>14278</v>
      </c>
      <c r="AF103" s="586" t="e">
        <f t="shared" si="141"/>
        <v>#REF!</v>
      </c>
      <c r="AG103" s="586" t="e">
        <f t="shared" si="142"/>
        <v>#REF!</v>
      </c>
      <c r="AH103" s="586">
        <f t="shared" si="143"/>
        <v>14278</v>
      </c>
      <c r="AI103" s="586" t="e">
        <f t="shared" si="144"/>
        <v>#REF!</v>
      </c>
      <c r="AJ103" s="586" t="e">
        <f t="shared" si="145"/>
        <v>#REF!</v>
      </c>
      <c r="AL103" s="566" t="e">
        <f>#REF!+'Reg3(16-31)'!AE43</f>
        <v>#REF!</v>
      </c>
    </row>
    <row r="104" spans="1:38" x14ac:dyDescent="0.2">
      <c r="A104" s="30" t="s">
        <v>434</v>
      </c>
      <c r="B104" s="576" t="s">
        <v>124</v>
      </c>
      <c r="C104" s="589" t="s">
        <v>253</v>
      </c>
      <c r="D104" s="54">
        <v>13406</v>
      </c>
      <c r="E104" s="586">
        <f>'Reg.3(1-15)'!K44+'Reg3(16-31)'!L44</f>
        <v>1903.34</v>
      </c>
      <c r="F104" s="586" t="e">
        <f>#REF!+'Reg3(16-31)'!M44</f>
        <v>#REF!</v>
      </c>
      <c r="G104" s="586" t="e">
        <f>#REF!+'Reg3(16-31)'!N44</f>
        <v>#REF!</v>
      </c>
      <c r="H104" s="586" t="e">
        <f>#REF!+'Reg3(16-31)'!O44</f>
        <v>#REF!</v>
      </c>
      <c r="I104" s="586" t="e">
        <f>#REF!+'Reg3(16-31)'!P44</f>
        <v>#REF!</v>
      </c>
      <c r="J104" s="586" t="e">
        <f>#REF!+'Reg3(16-31)'!Q44</f>
        <v>#REF!</v>
      </c>
      <c r="K104" s="586" t="e">
        <f>#REF!+'Reg3(16-31)'!R44</f>
        <v>#REF!</v>
      </c>
      <c r="L104" s="586" t="e">
        <f>#REF!+'Reg3(16-31)'!S44</f>
        <v>#REF!</v>
      </c>
      <c r="M104" s="586" t="e">
        <f>#REF!+'Reg3(16-31)'!T44</f>
        <v>#REF!</v>
      </c>
      <c r="N104" s="586">
        <v>100</v>
      </c>
      <c r="O104" s="586" t="e">
        <f>#REF!</f>
        <v>#REF!</v>
      </c>
      <c r="P104" s="586" t="e">
        <f>#REF!</f>
        <v>#REF!</v>
      </c>
      <c r="Q104" s="586" t="e">
        <f t="shared" si="135"/>
        <v>#REF!</v>
      </c>
      <c r="R104" s="586" t="e">
        <f>#REF!</f>
        <v>#REF!</v>
      </c>
      <c r="S104" s="586" t="e">
        <f>#REF!</f>
        <v>#REF!</v>
      </c>
      <c r="T104" s="586" t="e">
        <f t="shared" si="136"/>
        <v>#REF!</v>
      </c>
      <c r="U104" s="586" t="e">
        <f>#REF!+'Reg3(16-31)'!Z44</f>
        <v>#REF!</v>
      </c>
      <c r="V104" s="586">
        <f>'Reg3(16-31)'!X44</f>
        <v>371.26</v>
      </c>
      <c r="W104" s="586">
        <f>'Reg3(16-31)'!Y44</f>
        <v>371.26</v>
      </c>
      <c r="X104" s="586" t="e">
        <f t="shared" si="137"/>
        <v>#REF!</v>
      </c>
      <c r="Y104" s="586" t="e">
        <f>#REF!+'Reg3(16-31)'!AC44</f>
        <v>#REF!</v>
      </c>
      <c r="Z104" s="586" t="e">
        <f>#REF!+'Reg3(16-31)'!#REF!</f>
        <v>#REF!</v>
      </c>
      <c r="AA104" s="586" t="e">
        <f t="shared" si="138"/>
        <v>#REF!</v>
      </c>
      <c r="AB104" s="586"/>
      <c r="AC104" s="586" t="e">
        <f t="shared" si="139"/>
        <v>#REF!</v>
      </c>
      <c r="AE104" s="586">
        <f t="shared" si="140"/>
        <v>13406</v>
      </c>
      <c r="AF104" s="586" t="e">
        <f t="shared" si="141"/>
        <v>#REF!</v>
      </c>
      <c r="AG104" s="586" t="e">
        <f t="shared" si="142"/>
        <v>#REF!</v>
      </c>
      <c r="AH104" s="586">
        <f t="shared" si="143"/>
        <v>13406</v>
      </c>
      <c r="AI104" s="586" t="e">
        <f t="shared" si="144"/>
        <v>#REF!</v>
      </c>
      <c r="AJ104" s="586" t="e">
        <f t="shared" si="145"/>
        <v>#REF!</v>
      </c>
      <c r="AL104" s="566" t="e">
        <f>#REF!+'Reg3(16-31)'!AE44</f>
        <v>#REF!</v>
      </c>
    </row>
    <row r="105" spans="1:38" x14ac:dyDescent="0.2">
      <c r="A105" s="30" t="s">
        <v>552</v>
      </c>
      <c r="B105" s="576" t="s">
        <v>124</v>
      </c>
      <c r="C105" s="589" t="s">
        <v>253</v>
      </c>
      <c r="D105" s="54">
        <v>12531</v>
      </c>
      <c r="E105" s="586" t="e">
        <f>'Reg.3(1-15)'!#REF!+'Reg3(16-31)'!#REF!</f>
        <v>#REF!</v>
      </c>
      <c r="F105" s="586" t="e">
        <f>#REF!+'Reg3(16-31)'!#REF!</f>
        <v>#REF!</v>
      </c>
      <c r="G105" s="586" t="e">
        <f>#REF!+'Reg3(16-31)'!#REF!</f>
        <v>#REF!</v>
      </c>
      <c r="H105" s="586" t="e">
        <f>#REF!+'Reg3(16-31)'!#REF!</f>
        <v>#REF!</v>
      </c>
      <c r="I105" s="586" t="e">
        <f>#REF!+'Reg3(16-31)'!#REF!</f>
        <v>#REF!</v>
      </c>
      <c r="J105" s="586" t="e">
        <f>#REF!+'Reg3(16-31)'!#REF!</f>
        <v>#REF!</v>
      </c>
      <c r="K105" s="586" t="e">
        <f>#REF!+'Reg3(16-31)'!#REF!</f>
        <v>#REF!</v>
      </c>
      <c r="L105" s="586" t="e">
        <f>#REF!+'Reg3(16-31)'!#REF!</f>
        <v>#REF!</v>
      </c>
      <c r="M105" s="586" t="e">
        <f>#REF!+'Reg3(16-31)'!#REF!</f>
        <v>#REF!</v>
      </c>
      <c r="N105" s="586">
        <v>100</v>
      </c>
      <c r="O105" s="586" t="e">
        <f>#REF!</f>
        <v>#REF!</v>
      </c>
      <c r="P105" s="586" t="e">
        <f>#REF!</f>
        <v>#REF!</v>
      </c>
      <c r="Q105" s="586" t="e">
        <f t="shared" si="135"/>
        <v>#REF!</v>
      </c>
      <c r="R105" s="586" t="e">
        <f>#REF!</f>
        <v>#REF!</v>
      </c>
      <c r="S105" s="586" t="e">
        <f>#REF!</f>
        <v>#REF!</v>
      </c>
      <c r="T105" s="586" t="e">
        <f t="shared" si="136"/>
        <v>#REF!</v>
      </c>
      <c r="U105" s="586" t="e">
        <f>#REF!+'Reg3(16-31)'!#REF!</f>
        <v>#REF!</v>
      </c>
      <c r="V105" s="586" t="e">
        <f>'Reg3(16-31)'!#REF!</f>
        <v>#REF!</v>
      </c>
      <c r="W105" s="586" t="e">
        <f>'Reg3(16-31)'!#REF!</f>
        <v>#REF!</v>
      </c>
      <c r="X105" s="586" t="e">
        <f t="shared" si="137"/>
        <v>#REF!</v>
      </c>
      <c r="Y105" s="602" t="e">
        <f>#REF!+'Reg3(16-31)'!#REF!</f>
        <v>#REF!</v>
      </c>
      <c r="Z105" s="586" t="e">
        <f>#REF!+'Reg3(16-31)'!#REF!</f>
        <v>#REF!</v>
      </c>
      <c r="AA105" s="586" t="e">
        <f t="shared" si="138"/>
        <v>#REF!</v>
      </c>
      <c r="AB105" s="586"/>
      <c r="AC105" s="586" t="e">
        <f t="shared" si="139"/>
        <v>#REF!</v>
      </c>
      <c r="AE105" s="586">
        <f t="shared" si="140"/>
        <v>12531</v>
      </c>
      <c r="AF105" s="586" t="e">
        <f t="shared" si="141"/>
        <v>#REF!</v>
      </c>
      <c r="AG105" s="586" t="e">
        <f t="shared" si="142"/>
        <v>#REF!</v>
      </c>
      <c r="AH105" s="586">
        <f t="shared" si="143"/>
        <v>12531</v>
      </c>
      <c r="AI105" s="586" t="e">
        <f t="shared" si="144"/>
        <v>#REF!</v>
      </c>
      <c r="AJ105" s="586" t="e">
        <f t="shared" si="145"/>
        <v>#REF!</v>
      </c>
      <c r="AL105" s="566" t="e">
        <f>#REF!+'Reg3(16-31)'!#REF!</f>
        <v>#REF!</v>
      </c>
    </row>
    <row r="106" spans="1:38" x14ac:dyDescent="0.2">
      <c r="A106" s="30" t="s">
        <v>125</v>
      </c>
      <c r="B106" s="576" t="s">
        <v>124</v>
      </c>
      <c r="C106" s="589" t="s">
        <v>253</v>
      </c>
      <c r="D106" s="54">
        <v>12531</v>
      </c>
      <c r="E106" s="586" t="e">
        <f>'Reg.3(1-15)'!#REF!+'Reg3(16-31)'!#REF!</f>
        <v>#REF!</v>
      </c>
      <c r="F106" s="586" t="e">
        <f>#REF!+'Reg3(16-31)'!#REF!</f>
        <v>#REF!</v>
      </c>
      <c r="G106" s="586" t="e">
        <f>#REF!+'Reg3(16-31)'!#REF!</f>
        <v>#REF!</v>
      </c>
      <c r="H106" s="586" t="e">
        <f>#REF!+'Reg3(16-31)'!#REF!</f>
        <v>#REF!</v>
      </c>
      <c r="I106" s="586" t="e">
        <f>#REF!+'Reg3(16-31)'!#REF!</f>
        <v>#REF!</v>
      </c>
      <c r="J106" s="586" t="e">
        <f>#REF!+'Reg3(16-31)'!#REF!</f>
        <v>#REF!</v>
      </c>
      <c r="K106" s="586" t="e">
        <f>#REF!+'Reg3(16-31)'!#REF!</f>
        <v>#REF!</v>
      </c>
      <c r="L106" s="586" t="e">
        <f>#REF!+'Reg3(16-31)'!#REF!</f>
        <v>#REF!</v>
      </c>
      <c r="M106" s="586" t="e">
        <f>#REF!+'Reg3(16-31)'!#REF!</f>
        <v>#REF!</v>
      </c>
      <c r="N106" s="586">
        <v>100</v>
      </c>
      <c r="O106" s="586" t="e">
        <f>#REF!</f>
        <v>#REF!</v>
      </c>
      <c r="P106" s="586" t="e">
        <f>#REF!</f>
        <v>#REF!</v>
      </c>
      <c r="Q106" s="586" t="e">
        <f t="shared" si="135"/>
        <v>#REF!</v>
      </c>
      <c r="R106" s="586" t="e">
        <f>#REF!</f>
        <v>#REF!</v>
      </c>
      <c r="S106" s="586" t="e">
        <f>#REF!</f>
        <v>#REF!</v>
      </c>
      <c r="T106" s="586" t="e">
        <f t="shared" si="136"/>
        <v>#REF!</v>
      </c>
      <c r="U106" s="586" t="e">
        <f>#REF!+'Reg3(16-31)'!#REF!</f>
        <v>#REF!</v>
      </c>
      <c r="V106" s="586" t="e">
        <f>'Reg3(16-31)'!#REF!</f>
        <v>#REF!</v>
      </c>
      <c r="W106" s="586" t="e">
        <f>'Reg3(16-31)'!#REF!</f>
        <v>#REF!</v>
      </c>
      <c r="X106" s="586" t="e">
        <f t="shared" si="137"/>
        <v>#REF!</v>
      </c>
      <c r="Y106" s="586" t="e">
        <f>#REF!+'Reg3(16-31)'!#REF!</f>
        <v>#REF!</v>
      </c>
      <c r="Z106" s="586" t="e">
        <f>#REF!+'Reg3(16-31)'!#REF!</f>
        <v>#REF!</v>
      </c>
      <c r="AA106" s="586" t="e">
        <f t="shared" si="138"/>
        <v>#REF!</v>
      </c>
      <c r="AB106" s="586"/>
      <c r="AC106" s="586" t="e">
        <f t="shared" si="139"/>
        <v>#REF!</v>
      </c>
      <c r="AE106" s="586">
        <f t="shared" si="140"/>
        <v>12531</v>
      </c>
      <c r="AF106" s="586" t="e">
        <f t="shared" si="141"/>
        <v>#REF!</v>
      </c>
      <c r="AG106" s="586" t="e">
        <f t="shared" si="142"/>
        <v>#REF!</v>
      </c>
      <c r="AH106" s="586">
        <f t="shared" si="143"/>
        <v>12531</v>
      </c>
      <c r="AI106" s="586" t="e">
        <f t="shared" si="144"/>
        <v>#REF!</v>
      </c>
      <c r="AJ106" s="586" t="e">
        <f t="shared" si="145"/>
        <v>#REF!</v>
      </c>
      <c r="AL106" s="566" t="e">
        <f>#REF!+'Reg3(16-31)'!#REF!</f>
        <v>#REF!</v>
      </c>
    </row>
    <row r="107" spans="1:38" x14ac:dyDescent="0.2">
      <c r="A107" s="30" t="s">
        <v>126</v>
      </c>
      <c r="B107" s="576" t="s">
        <v>124</v>
      </c>
      <c r="C107" s="589" t="s">
        <v>253</v>
      </c>
      <c r="D107" s="54">
        <v>12531</v>
      </c>
      <c r="E107" s="586">
        <f>'Reg.3(1-15)'!K46+'Reg3(16-31)'!L46</f>
        <v>0</v>
      </c>
      <c r="F107" s="586" t="e">
        <f>#REF!+'Reg3(16-31)'!M46</f>
        <v>#REF!</v>
      </c>
      <c r="G107" s="586" t="e">
        <f>#REF!+'Reg3(16-31)'!N46</f>
        <v>#REF!</v>
      </c>
      <c r="H107" s="586" t="e">
        <f>#REF!+'Reg3(16-31)'!O46</f>
        <v>#REF!</v>
      </c>
      <c r="I107" s="586" t="e">
        <f>#REF!+'Reg3(16-31)'!P46</f>
        <v>#REF!</v>
      </c>
      <c r="J107" s="586" t="e">
        <f>#REF!+'Reg3(16-31)'!Q46</f>
        <v>#REF!</v>
      </c>
      <c r="K107" s="586" t="e">
        <f>#REF!+'Reg3(16-31)'!R46</f>
        <v>#REF!</v>
      </c>
      <c r="L107" s="586" t="e">
        <f>#REF!+'Reg3(16-31)'!S46</f>
        <v>#REF!</v>
      </c>
      <c r="M107" s="586" t="e">
        <f>#REF!+'Reg3(16-31)'!T46</f>
        <v>#REF!</v>
      </c>
      <c r="N107" s="586">
        <v>100</v>
      </c>
      <c r="O107" s="586" t="e">
        <f>#REF!</f>
        <v>#REF!</v>
      </c>
      <c r="P107" s="586" t="e">
        <f>#REF!</f>
        <v>#REF!</v>
      </c>
      <c r="Q107" s="586" t="e">
        <f t="shared" si="135"/>
        <v>#REF!</v>
      </c>
      <c r="R107" s="586" t="e">
        <f>#REF!</f>
        <v>#REF!</v>
      </c>
      <c r="S107" s="586" t="e">
        <f>#REF!</f>
        <v>#REF!</v>
      </c>
      <c r="T107" s="586" t="e">
        <f t="shared" si="136"/>
        <v>#REF!</v>
      </c>
      <c r="U107" s="586" t="e">
        <f>#REF!+'Reg3(16-31)'!Z46</f>
        <v>#REF!</v>
      </c>
      <c r="V107" s="586">
        <f>'Reg3(16-31)'!X46</f>
        <v>339.38</v>
      </c>
      <c r="W107" s="586">
        <f>'Reg3(16-31)'!Y46</f>
        <v>339.38</v>
      </c>
      <c r="X107" s="586" t="e">
        <f t="shared" si="137"/>
        <v>#REF!</v>
      </c>
      <c r="Y107" s="586" t="e">
        <f>#REF!+'Reg3(16-31)'!AC46</f>
        <v>#REF!</v>
      </c>
      <c r="Z107" s="586" t="e">
        <f>#REF!+'Reg3(16-31)'!#REF!</f>
        <v>#REF!</v>
      </c>
      <c r="AA107" s="586" t="e">
        <f t="shared" si="138"/>
        <v>#REF!</v>
      </c>
      <c r="AB107" s="586"/>
      <c r="AC107" s="586" t="e">
        <f t="shared" si="139"/>
        <v>#REF!</v>
      </c>
      <c r="AE107" s="586">
        <f t="shared" si="140"/>
        <v>12531</v>
      </c>
      <c r="AF107" s="586" t="e">
        <f t="shared" si="141"/>
        <v>#REF!</v>
      </c>
      <c r="AG107" s="586" t="e">
        <f t="shared" si="142"/>
        <v>#REF!</v>
      </c>
      <c r="AH107" s="586">
        <f t="shared" si="143"/>
        <v>12531</v>
      </c>
      <c r="AI107" s="586" t="e">
        <f t="shared" si="144"/>
        <v>#REF!</v>
      </c>
      <c r="AJ107" s="586" t="e">
        <f t="shared" si="145"/>
        <v>#REF!</v>
      </c>
      <c r="AL107" s="566" t="e">
        <f>#REF!+'Reg3(16-31)'!AE46</f>
        <v>#REF!</v>
      </c>
    </row>
    <row r="108" spans="1:38" x14ac:dyDescent="0.2">
      <c r="A108" s="30" t="s">
        <v>497</v>
      </c>
      <c r="B108" s="576" t="s">
        <v>516</v>
      </c>
      <c r="C108" s="589" t="s">
        <v>253</v>
      </c>
      <c r="D108" s="54">
        <v>10571</v>
      </c>
      <c r="E108" s="586">
        <f>'Reg.3(1-15)'!K49+'Reg3(16-31)'!L49</f>
        <v>0</v>
      </c>
      <c r="F108" s="586" t="e">
        <f>#REF!+'Reg3(16-31)'!M49</f>
        <v>#REF!</v>
      </c>
      <c r="G108" s="586" t="e">
        <f>#REF!+'Reg3(16-31)'!N49</f>
        <v>#REF!</v>
      </c>
      <c r="H108" s="586" t="e">
        <f>#REF!+'Reg3(16-31)'!O49</f>
        <v>#REF!</v>
      </c>
      <c r="I108" s="586" t="e">
        <f>#REF!+'Reg3(16-31)'!P49</f>
        <v>#REF!</v>
      </c>
      <c r="J108" s="586" t="e">
        <f>#REF!+'Reg3(16-31)'!Q49</f>
        <v>#REF!</v>
      </c>
      <c r="K108" s="586" t="e">
        <f>#REF!+'Reg3(16-31)'!R49</f>
        <v>#REF!</v>
      </c>
      <c r="L108" s="586" t="e">
        <f>#REF!+'Reg3(16-31)'!S49</f>
        <v>#REF!</v>
      </c>
      <c r="M108" s="586" t="e">
        <f>#REF!+'Reg3(16-31)'!T49</f>
        <v>#REF!</v>
      </c>
      <c r="N108" s="586">
        <v>100</v>
      </c>
      <c r="O108" s="586" t="e">
        <f>#REF!</f>
        <v>#REF!</v>
      </c>
      <c r="P108" s="586" t="e">
        <f>#REF!</f>
        <v>#REF!</v>
      </c>
      <c r="Q108" s="586" t="e">
        <f t="shared" si="135"/>
        <v>#REF!</v>
      </c>
      <c r="R108" s="586" t="e">
        <f>#REF!</f>
        <v>#REF!</v>
      </c>
      <c r="S108" s="586" t="e">
        <f>#REF!</f>
        <v>#REF!</v>
      </c>
      <c r="T108" s="586" t="e">
        <f t="shared" si="136"/>
        <v>#REF!</v>
      </c>
      <c r="U108" s="586" t="e">
        <f>#REF!+'Reg3(16-31)'!Z49</f>
        <v>#REF!</v>
      </c>
      <c r="V108" s="586">
        <f>'Reg3(16-31)'!X49</f>
        <v>290.42</v>
      </c>
      <c r="W108" s="586">
        <f>'Reg3(16-31)'!Y49</f>
        <v>290.42</v>
      </c>
      <c r="X108" s="586" t="e">
        <f t="shared" si="137"/>
        <v>#REF!</v>
      </c>
      <c r="Y108" s="586" t="e">
        <f>#REF!+'Reg3(16-31)'!AC49</f>
        <v>#REF!</v>
      </c>
      <c r="Z108" s="586" t="e">
        <f>#REF!+'Reg3(16-31)'!#REF!</f>
        <v>#REF!</v>
      </c>
      <c r="AA108" s="586" t="e">
        <f t="shared" si="138"/>
        <v>#REF!</v>
      </c>
      <c r="AB108" s="586"/>
      <c r="AC108" s="586" t="e">
        <f t="shared" si="139"/>
        <v>#REF!</v>
      </c>
      <c r="AE108" s="586">
        <f t="shared" si="140"/>
        <v>10571</v>
      </c>
      <c r="AF108" s="586" t="e">
        <f t="shared" si="141"/>
        <v>#REF!</v>
      </c>
      <c r="AG108" s="586" t="e">
        <f t="shared" si="142"/>
        <v>#REF!</v>
      </c>
      <c r="AH108" s="586">
        <f t="shared" si="143"/>
        <v>10571</v>
      </c>
      <c r="AI108" s="586" t="e">
        <f t="shared" si="144"/>
        <v>#REF!</v>
      </c>
      <c r="AJ108" s="586" t="e">
        <f t="shared" si="145"/>
        <v>#REF!</v>
      </c>
      <c r="AL108" s="566" t="e">
        <f>#REF!+'Reg3(16-31)'!AE49</f>
        <v>#REF!</v>
      </c>
    </row>
    <row r="109" spans="1:38" x14ac:dyDescent="0.2">
      <c r="A109" s="30" t="s">
        <v>457</v>
      </c>
      <c r="B109" s="576" t="s">
        <v>499</v>
      </c>
      <c r="C109" s="589" t="s">
        <v>253</v>
      </c>
      <c r="D109" s="54">
        <v>10571</v>
      </c>
      <c r="E109" s="586">
        <f>'Reg.3(1-15)'!K50+'Reg3(16-31)'!L50</f>
        <v>0</v>
      </c>
      <c r="F109" s="586" t="e">
        <f>#REF!+'Reg3(16-31)'!M50</f>
        <v>#REF!</v>
      </c>
      <c r="G109" s="586" t="e">
        <f>#REF!+'Reg3(16-31)'!#REF!</f>
        <v>#REF!</v>
      </c>
      <c r="H109" s="586" t="e">
        <f>#REF!+'Reg3(16-31)'!O50</f>
        <v>#REF!</v>
      </c>
      <c r="I109" s="586" t="e">
        <f>#REF!+'Reg3(16-31)'!P50</f>
        <v>#REF!</v>
      </c>
      <c r="J109" s="586" t="e">
        <f>#REF!+'Reg3(16-31)'!Q50</f>
        <v>#REF!</v>
      </c>
      <c r="K109" s="586" t="e">
        <f>#REF!+'Reg3(16-31)'!R50</f>
        <v>#REF!</v>
      </c>
      <c r="L109" s="586" t="e">
        <f>#REF!+'Reg3(16-31)'!S50</f>
        <v>#REF!</v>
      </c>
      <c r="M109" s="586" t="e">
        <f>#REF!+'Reg3(16-31)'!T50</f>
        <v>#REF!</v>
      </c>
      <c r="N109" s="586">
        <v>100</v>
      </c>
      <c r="O109" s="586" t="e">
        <f>#REF!</f>
        <v>#REF!</v>
      </c>
      <c r="P109" s="586" t="e">
        <f>#REF!</f>
        <v>#REF!</v>
      </c>
      <c r="Q109" s="586" t="e">
        <f t="shared" si="135"/>
        <v>#REF!</v>
      </c>
      <c r="R109" s="586" t="e">
        <f>#REF!</f>
        <v>#REF!</v>
      </c>
      <c r="S109" s="586" t="e">
        <f>#REF!</f>
        <v>#REF!</v>
      </c>
      <c r="T109" s="586" t="e">
        <f t="shared" si="136"/>
        <v>#REF!</v>
      </c>
      <c r="U109" s="586" t="e">
        <f>#REF!+'Reg3(16-31)'!Z50</f>
        <v>#REF!</v>
      </c>
      <c r="V109" s="586">
        <f>'Reg3(16-31)'!X50</f>
        <v>288.28000000000003</v>
      </c>
      <c r="W109" s="586">
        <f>'Reg3(16-31)'!Y50</f>
        <v>288.28000000000003</v>
      </c>
      <c r="X109" s="586" t="e">
        <f t="shared" si="137"/>
        <v>#REF!</v>
      </c>
      <c r="Y109" s="586" t="e">
        <f>#REF!+'Reg3(16-31)'!AC50</f>
        <v>#REF!</v>
      </c>
      <c r="Z109" s="586" t="e">
        <f>#REF!+'Reg3(16-31)'!#REF!</f>
        <v>#REF!</v>
      </c>
      <c r="AA109" s="586" t="e">
        <f t="shared" si="138"/>
        <v>#REF!</v>
      </c>
      <c r="AB109" s="586"/>
      <c r="AC109" s="586" t="e">
        <f t="shared" si="139"/>
        <v>#REF!</v>
      </c>
      <c r="AE109" s="586">
        <f t="shared" si="140"/>
        <v>10571</v>
      </c>
      <c r="AF109" s="586" t="e">
        <f t="shared" si="141"/>
        <v>#REF!</v>
      </c>
      <c r="AG109" s="586" t="e">
        <f t="shared" si="142"/>
        <v>#REF!</v>
      </c>
      <c r="AH109" s="586">
        <f t="shared" si="143"/>
        <v>10571</v>
      </c>
      <c r="AI109" s="586" t="e">
        <f t="shared" si="144"/>
        <v>#REF!</v>
      </c>
      <c r="AJ109" s="586" t="e">
        <f t="shared" si="145"/>
        <v>#REF!</v>
      </c>
      <c r="AL109" s="566" t="e">
        <f>#REF!+'Reg3(16-31)'!AE50</f>
        <v>#REF!</v>
      </c>
    </row>
    <row r="110" spans="1:38" x14ac:dyDescent="0.2">
      <c r="A110" s="30" t="s">
        <v>458</v>
      </c>
      <c r="B110" s="576" t="s">
        <v>446</v>
      </c>
      <c r="C110" s="589" t="s">
        <v>253</v>
      </c>
      <c r="D110" s="54">
        <v>9973</v>
      </c>
      <c r="E110" s="586">
        <f>'Reg.3(1-15)'!K53+'Reg3(16-31)'!L53</f>
        <v>0</v>
      </c>
      <c r="F110" s="586" t="e">
        <f>#REF!+'Reg3(16-31)'!M53</f>
        <v>#REF!</v>
      </c>
      <c r="G110" s="586" t="e">
        <f>#REF!+'Reg3(16-31)'!N53</f>
        <v>#REF!</v>
      </c>
      <c r="H110" s="586" t="e">
        <f>#REF!+'Reg3(16-31)'!O53</f>
        <v>#REF!</v>
      </c>
      <c r="I110" s="586" t="e">
        <f>#REF!+'Reg3(16-31)'!P53</f>
        <v>#REF!</v>
      </c>
      <c r="J110" s="586" t="e">
        <f>#REF!+'Reg3(16-31)'!Q53</f>
        <v>#REF!</v>
      </c>
      <c r="K110" s="586" t="e">
        <f>#REF!+'Reg3(16-31)'!R53</f>
        <v>#REF!</v>
      </c>
      <c r="L110" s="586" t="e">
        <f>#REF!+'Reg3(16-31)'!S53</f>
        <v>#REF!</v>
      </c>
      <c r="M110" s="586" t="e">
        <f>#REF!+'Reg3(16-31)'!T53</f>
        <v>#REF!</v>
      </c>
      <c r="N110" s="586">
        <v>99.73</v>
      </c>
      <c r="O110" s="586" t="e">
        <f>#REF!</f>
        <v>#REF!</v>
      </c>
      <c r="P110" s="586" t="e">
        <f>#REF!</f>
        <v>#REF!</v>
      </c>
      <c r="Q110" s="586" t="e">
        <f t="shared" si="135"/>
        <v>#REF!</v>
      </c>
      <c r="R110" s="586" t="e">
        <f>#REF!</f>
        <v>#REF!</v>
      </c>
      <c r="S110" s="586" t="e">
        <f>#REF!</f>
        <v>#REF!</v>
      </c>
      <c r="T110" s="586" t="e">
        <f t="shared" si="136"/>
        <v>#REF!</v>
      </c>
      <c r="U110" s="586" t="e">
        <f>#REF!+'Reg3(16-31)'!Z53</f>
        <v>#REF!</v>
      </c>
      <c r="V110" s="586">
        <f>'Reg3(16-31)'!X53</f>
        <v>273.5</v>
      </c>
      <c r="W110" s="586">
        <f>'Reg3(16-31)'!Y53</f>
        <v>273.5</v>
      </c>
      <c r="X110" s="586" t="e">
        <f t="shared" si="137"/>
        <v>#REF!</v>
      </c>
      <c r="Y110" s="586" t="e">
        <f>#REF!+'Reg3(16-31)'!AC53</f>
        <v>#REF!</v>
      </c>
      <c r="Z110" s="586" t="e">
        <f>#REF!+'Reg3(16-31)'!#REF!</f>
        <v>#REF!</v>
      </c>
      <c r="AA110" s="586" t="e">
        <f t="shared" si="138"/>
        <v>#REF!</v>
      </c>
      <c r="AB110" s="586"/>
      <c r="AC110" s="586" t="e">
        <f t="shared" si="139"/>
        <v>#REF!</v>
      </c>
      <c r="AE110" s="586">
        <f t="shared" si="140"/>
        <v>9973</v>
      </c>
      <c r="AF110" s="586" t="e">
        <f t="shared" si="141"/>
        <v>#REF!</v>
      </c>
      <c r="AG110" s="586" t="e">
        <f t="shared" si="142"/>
        <v>#REF!</v>
      </c>
      <c r="AH110" s="586">
        <f t="shared" si="143"/>
        <v>9973</v>
      </c>
      <c r="AI110" s="586" t="e">
        <f t="shared" si="144"/>
        <v>#REF!</v>
      </c>
      <c r="AJ110" s="586" t="e">
        <f t="shared" si="145"/>
        <v>#REF!</v>
      </c>
      <c r="AL110" s="566" t="e">
        <f>#REF!+'Reg3(16-31)'!AE53</f>
        <v>#REF!</v>
      </c>
    </row>
    <row r="111" spans="1:38" x14ac:dyDescent="0.2">
      <c r="A111" s="30" t="s">
        <v>480</v>
      </c>
      <c r="B111" s="576" t="s">
        <v>446</v>
      </c>
      <c r="C111" s="589" t="s">
        <v>253</v>
      </c>
      <c r="D111" s="62">
        <v>9973</v>
      </c>
      <c r="E111" s="586" t="e">
        <f>'Reg.3(1-15)'!K54+'Reg3(16-31)'!#REF!</f>
        <v>#REF!</v>
      </c>
      <c r="F111" s="586" t="e">
        <f>#REF!+'Reg3(16-31)'!#REF!</f>
        <v>#REF!</v>
      </c>
      <c r="G111" s="586" t="e">
        <f>#REF!+'Reg3(16-31)'!#REF!</f>
        <v>#REF!</v>
      </c>
      <c r="H111" s="586" t="e">
        <f>#REF!+'Reg3(16-31)'!#REF!</f>
        <v>#REF!</v>
      </c>
      <c r="I111" s="586" t="e">
        <f>#REF!+'Reg3(16-31)'!#REF!</f>
        <v>#REF!</v>
      </c>
      <c r="J111" s="586" t="e">
        <f>#REF!+'Reg3(16-31)'!#REF!</f>
        <v>#REF!</v>
      </c>
      <c r="K111" s="586" t="e">
        <f>#REF!+'Reg3(16-31)'!#REF!</f>
        <v>#REF!</v>
      </c>
      <c r="L111" s="586" t="e">
        <f>#REF!+'Reg3(16-31)'!#REF!</f>
        <v>#REF!</v>
      </c>
      <c r="M111" s="586" t="e">
        <f>#REF!+'Reg3(16-31)'!#REF!</f>
        <v>#REF!</v>
      </c>
      <c r="N111" s="586">
        <v>99.73</v>
      </c>
      <c r="O111" s="586" t="e">
        <f>#REF!</f>
        <v>#REF!</v>
      </c>
      <c r="P111" s="586" t="e">
        <f>#REF!</f>
        <v>#REF!</v>
      </c>
      <c r="Q111" s="586" t="e">
        <f t="shared" si="135"/>
        <v>#REF!</v>
      </c>
      <c r="R111" s="586" t="e">
        <f>#REF!</f>
        <v>#REF!</v>
      </c>
      <c r="S111" s="586" t="e">
        <f>#REF!</f>
        <v>#REF!</v>
      </c>
      <c r="T111" s="586" t="e">
        <f t="shared" si="136"/>
        <v>#REF!</v>
      </c>
      <c r="U111" s="586" t="e">
        <f>#REF!+'Reg3(16-31)'!#REF!</f>
        <v>#REF!</v>
      </c>
      <c r="V111" s="586" t="e">
        <f>'Reg3(16-31)'!#REF!</f>
        <v>#REF!</v>
      </c>
      <c r="W111" s="586" t="e">
        <f>'Reg3(16-31)'!#REF!</f>
        <v>#REF!</v>
      </c>
      <c r="X111" s="586" t="e">
        <f t="shared" si="137"/>
        <v>#REF!</v>
      </c>
      <c r="Y111" s="602" t="e">
        <f>#REF!+'Reg3(16-31)'!#REF!</f>
        <v>#REF!</v>
      </c>
      <c r="Z111" s="586" t="e">
        <f>#REF!+'Reg3(16-31)'!#REF!</f>
        <v>#REF!</v>
      </c>
      <c r="AA111" s="586" t="e">
        <f t="shared" si="138"/>
        <v>#REF!</v>
      </c>
      <c r="AB111" s="586"/>
      <c r="AC111" s="586" t="e">
        <f t="shared" si="139"/>
        <v>#REF!</v>
      </c>
      <c r="AE111" s="586">
        <f t="shared" si="140"/>
        <v>9973</v>
      </c>
      <c r="AF111" s="586" t="e">
        <f t="shared" si="141"/>
        <v>#REF!</v>
      </c>
      <c r="AG111" s="586" t="e">
        <f t="shared" si="142"/>
        <v>#REF!</v>
      </c>
      <c r="AH111" s="586">
        <f t="shared" si="143"/>
        <v>9973</v>
      </c>
      <c r="AI111" s="586" t="e">
        <f t="shared" si="144"/>
        <v>#REF!</v>
      </c>
      <c r="AJ111" s="586" t="e">
        <f t="shared" si="145"/>
        <v>#REF!</v>
      </c>
      <c r="AL111" s="566" t="e">
        <f>#REF!+'Reg3(16-31)'!#REF!</f>
        <v>#REF!</v>
      </c>
    </row>
    <row r="112" spans="1:38" ht="13.5" thickBot="1" x14ac:dyDescent="0.25">
      <c r="A112" s="30"/>
      <c r="B112" s="576"/>
      <c r="C112" s="586"/>
      <c r="D112" s="157">
        <f>SUM(D100:D111)</f>
        <v>219230</v>
      </c>
      <c r="E112" s="157" t="e">
        <f>SUM(E100:E111)</f>
        <v>#REF!</v>
      </c>
      <c r="F112" s="157" t="e">
        <f t="shared" ref="F112:AC112" si="146">SUM(F100:F111)</f>
        <v>#REF!</v>
      </c>
      <c r="G112" s="157" t="e">
        <f t="shared" si="146"/>
        <v>#REF!</v>
      </c>
      <c r="H112" s="157" t="e">
        <f t="shared" si="146"/>
        <v>#REF!</v>
      </c>
      <c r="I112" s="157" t="e">
        <f t="shared" si="146"/>
        <v>#REF!</v>
      </c>
      <c r="J112" s="157" t="e">
        <f t="shared" si="146"/>
        <v>#REF!</v>
      </c>
      <c r="K112" s="157" t="e">
        <f t="shared" si="146"/>
        <v>#REF!</v>
      </c>
      <c r="L112" s="157" t="e">
        <f t="shared" si="146"/>
        <v>#REF!</v>
      </c>
      <c r="M112" s="157" t="e">
        <f t="shared" si="146"/>
        <v>#REF!</v>
      </c>
      <c r="N112" s="157">
        <f>SUM(N100:N111)</f>
        <v>1199.46</v>
      </c>
      <c r="O112" s="157" t="e">
        <f t="shared" si="146"/>
        <v>#REF!</v>
      </c>
      <c r="P112" s="157" t="e">
        <f t="shared" si="146"/>
        <v>#REF!</v>
      </c>
      <c r="Q112" s="157" t="e">
        <f t="shared" si="146"/>
        <v>#REF!</v>
      </c>
      <c r="R112" s="157" t="e">
        <f t="shared" si="146"/>
        <v>#REF!</v>
      </c>
      <c r="S112" s="157" t="e">
        <f t="shared" si="146"/>
        <v>#REF!</v>
      </c>
      <c r="T112" s="157" t="e">
        <f t="shared" si="146"/>
        <v>#REF!</v>
      </c>
      <c r="U112" s="157" t="e">
        <f t="shared" si="146"/>
        <v>#REF!</v>
      </c>
      <c r="V112" s="157" t="e">
        <f t="shared" si="146"/>
        <v>#REF!</v>
      </c>
      <c r="W112" s="157" t="e">
        <f t="shared" si="146"/>
        <v>#REF!</v>
      </c>
      <c r="X112" s="157" t="e">
        <f t="shared" si="146"/>
        <v>#REF!</v>
      </c>
      <c r="Y112" s="157" t="e">
        <f t="shared" si="146"/>
        <v>#REF!</v>
      </c>
      <c r="Z112" s="157" t="e">
        <f t="shared" si="146"/>
        <v>#REF!</v>
      </c>
      <c r="AA112" s="157" t="e">
        <f t="shared" si="146"/>
        <v>#REF!</v>
      </c>
      <c r="AB112" s="157" t="e">
        <f t="shared" si="146"/>
        <v>#REF!</v>
      </c>
      <c r="AC112" s="157" t="e">
        <f t="shared" si="146"/>
        <v>#REF!</v>
      </c>
      <c r="AE112" s="601">
        <f>SUM(AE100:AE111)</f>
        <v>219230</v>
      </c>
      <c r="AF112" s="586"/>
      <c r="AG112" s="586"/>
      <c r="AH112" s="586"/>
      <c r="AI112" s="586"/>
      <c r="AJ112" s="586"/>
    </row>
    <row r="113" spans="1:39" ht="13.5" thickTop="1" x14ac:dyDescent="0.2">
      <c r="A113" s="567" t="s">
        <v>504</v>
      </c>
      <c r="B113" s="576"/>
      <c r="C113" s="586"/>
      <c r="D113" s="56"/>
      <c r="E113" s="586"/>
      <c r="F113" s="586"/>
      <c r="G113" s="586"/>
      <c r="H113" s="586"/>
      <c r="I113" s="586"/>
      <c r="J113" s="586"/>
      <c r="K113" s="586"/>
      <c r="L113" s="586"/>
      <c r="M113" s="586"/>
      <c r="N113" s="586"/>
      <c r="O113" s="586"/>
      <c r="P113" s="586"/>
      <c r="Q113" s="586"/>
      <c r="R113" s="586"/>
      <c r="S113" s="586"/>
      <c r="T113" s="586"/>
      <c r="U113" s="586"/>
      <c r="V113" s="586"/>
      <c r="W113" s="586"/>
      <c r="X113" s="586"/>
      <c r="Y113" s="586"/>
      <c r="Z113" s="586"/>
      <c r="AA113" s="586"/>
      <c r="AB113" s="586"/>
      <c r="AC113" s="586"/>
      <c r="AE113" s="586"/>
      <c r="AF113" s="586"/>
      <c r="AG113" s="586"/>
      <c r="AH113" s="586"/>
      <c r="AI113" s="586"/>
      <c r="AJ113" s="586"/>
    </row>
    <row r="114" spans="1:39" x14ac:dyDescent="0.2">
      <c r="A114" s="30" t="s">
        <v>505</v>
      </c>
      <c r="B114" s="576" t="s">
        <v>446</v>
      </c>
      <c r="C114" s="588" t="s">
        <v>575</v>
      </c>
      <c r="D114" s="54">
        <v>9973</v>
      </c>
      <c r="E114" s="586" t="e">
        <f>'Reg.3(1-15)'!K58+'Reg3(16-31)'!#REF!</f>
        <v>#REF!</v>
      </c>
      <c r="F114" s="586" t="e">
        <f>#REF!+'Reg3(16-31)'!#REF!</f>
        <v>#REF!</v>
      </c>
      <c r="G114" s="586" t="e">
        <f>#REF!+'Reg3(16-31)'!#REF!</f>
        <v>#REF!</v>
      </c>
      <c r="H114" s="586" t="e">
        <f>#REF!+'Reg3(16-31)'!#REF!</f>
        <v>#REF!</v>
      </c>
      <c r="I114" s="586" t="e">
        <f>#REF!+'Reg3(16-31)'!#REF!</f>
        <v>#REF!</v>
      </c>
      <c r="J114" s="586" t="e">
        <f>#REF!+'Reg3(16-31)'!#REF!</f>
        <v>#REF!</v>
      </c>
      <c r="K114" s="586" t="e">
        <f>#REF!+'Reg3(16-31)'!#REF!</f>
        <v>#REF!</v>
      </c>
      <c r="L114" s="586" t="e">
        <f>#REF!+'Reg1(16-31)'!#REF!</f>
        <v>#REF!</v>
      </c>
      <c r="M114" s="586" t="e">
        <f>#REF!+'Reg3(16-31)'!#REF!</f>
        <v>#REF!</v>
      </c>
      <c r="N114" s="586"/>
      <c r="O114" s="586" t="e">
        <f>#REF!</f>
        <v>#REF!</v>
      </c>
      <c r="P114" s="586" t="e">
        <f>#REF!</f>
        <v>#REF!</v>
      </c>
      <c r="Q114" s="586" t="e">
        <f>SUM(E114:P114)</f>
        <v>#REF!</v>
      </c>
      <c r="R114" s="586" t="e">
        <f>#REF!</f>
        <v>#REF!</v>
      </c>
      <c r="S114" s="586" t="e">
        <f>#REF!</f>
        <v>#REF!</v>
      </c>
      <c r="T114" s="586" t="e">
        <f>R114+S114</f>
        <v>#REF!</v>
      </c>
      <c r="U114" s="586" t="e">
        <f>#REF!+'Reg3(16-31)'!#REF!</f>
        <v>#REF!</v>
      </c>
      <c r="V114" s="586" t="e">
        <f>'Reg3(16-31)'!#REF!</f>
        <v>#REF!</v>
      </c>
      <c r="W114" s="586" t="e">
        <f>'Reg3(16-31)'!#REF!</f>
        <v>#REF!</v>
      </c>
      <c r="X114" s="586" t="e">
        <f>SUM(U114:W114)</f>
        <v>#REF!</v>
      </c>
      <c r="Y114" s="602" t="e">
        <f>#REF!+'Reg1(16-31)'!#REF!</f>
        <v>#REF!</v>
      </c>
      <c r="Z114" s="586" t="e">
        <f>#REF!+'Reg3(16-31)'!#REF!</f>
        <v>#REF!</v>
      </c>
      <c r="AA114" s="586" t="e">
        <f>SUM(Y114:Z114)</f>
        <v>#REF!</v>
      </c>
      <c r="AB114" s="586"/>
      <c r="AC114" s="586" t="e">
        <f>Q114+T114+X114+AA114+AB114</f>
        <v>#REF!</v>
      </c>
      <c r="AE114" s="586">
        <f>D114</f>
        <v>9973</v>
      </c>
      <c r="AF114" s="586" t="e">
        <f>SUM(E114:M114)+O114+R114+U114+V114+AA114+AB114</f>
        <v>#REF!</v>
      </c>
      <c r="AG114" s="586" t="e">
        <f>AE114-AF114</f>
        <v>#REF!</v>
      </c>
      <c r="AH114" s="586">
        <f>AE114</f>
        <v>9973</v>
      </c>
      <c r="AI114" s="586" t="e">
        <f>P114+S114+W114</f>
        <v>#REF!</v>
      </c>
      <c r="AJ114" s="586" t="e">
        <f>AH114+AI114</f>
        <v>#REF!</v>
      </c>
      <c r="AL114" s="566" t="e">
        <f>#REF!+'Reg3(16-31)'!#REF!</f>
        <v>#REF!</v>
      </c>
    </row>
    <row r="115" spans="1:39" ht="13.5" thickBot="1" x14ac:dyDescent="0.25">
      <c r="A115" s="30"/>
      <c r="B115" s="576"/>
      <c r="C115" s="586"/>
      <c r="D115" s="366">
        <f>D114</f>
        <v>9973</v>
      </c>
      <c r="E115" s="366" t="e">
        <f t="shared" ref="E115:AA115" si="147">E114</f>
        <v>#REF!</v>
      </c>
      <c r="F115" s="366" t="e">
        <f t="shared" si="147"/>
        <v>#REF!</v>
      </c>
      <c r="G115" s="366" t="e">
        <f t="shared" si="147"/>
        <v>#REF!</v>
      </c>
      <c r="H115" s="366" t="e">
        <f t="shared" si="147"/>
        <v>#REF!</v>
      </c>
      <c r="I115" s="366" t="e">
        <f t="shared" si="147"/>
        <v>#REF!</v>
      </c>
      <c r="J115" s="366" t="e">
        <f t="shared" si="147"/>
        <v>#REF!</v>
      </c>
      <c r="K115" s="366" t="e">
        <f t="shared" si="147"/>
        <v>#REF!</v>
      </c>
      <c r="L115" s="366" t="e">
        <f t="shared" si="147"/>
        <v>#REF!</v>
      </c>
      <c r="M115" s="366" t="e">
        <f t="shared" si="147"/>
        <v>#REF!</v>
      </c>
      <c r="N115" s="366"/>
      <c r="O115" s="366" t="e">
        <f t="shared" si="147"/>
        <v>#REF!</v>
      </c>
      <c r="P115" s="366" t="e">
        <f t="shared" si="147"/>
        <v>#REF!</v>
      </c>
      <c r="Q115" s="366" t="e">
        <f t="shared" si="147"/>
        <v>#REF!</v>
      </c>
      <c r="R115" s="366" t="e">
        <f t="shared" si="147"/>
        <v>#REF!</v>
      </c>
      <c r="S115" s="366" t="e">
        <f t="shared" si="147"/>
        <v>#REF!</v>
      </c>
      <c r="T115" s="366" t="e">
        <f t="shared" si="147"/>
        <v>#REF!</v>
      </c>
      <c r="U115" s="366" t="e">
        <f t="shared" si="147"/>
        <v>#REF!</v>
      </c>
      <c r="V115" s="366" t="e">
        <f t="shared" si="147"/>
        <v>#REF!</v>
      </c>
      <c r="W115" s="366" t="e">
        <f t="shared" si="147"/>
        <v>#REF!</v>
      </c>
      <c r="X115" s="366" t="e">
        <f t="shared" si="147"/>
        <v>#REF!</v>
      </c>
      <c r="Y115" s="366" t="e">
        <f t="shared" si="147"/>
        <v>#REF!</v>
      </c>
      <c r="Z115" s="366" t="e">
        <f t="shared" si="147"/>
        <v>#REF!</v>
      </c>
      <c r="AA115" s="366" t="e">
        <f t="shared" si="147"/>
        <v>#REF!</v>
      </c>
      <c r="AB115" s="586"/>
      <c r="AC115" s="366" t="e">
        <f>AC114</f>
        <v>#REF!</v>
      </c>
      <c r="AE115" s="601">
        <f>SUM(AE114)</f>
        <v>9973</v>
      </c>
      <c r="AF115" s="586"/>
      <c r="AG115" s="586"/>
      <c r="AH115" s="586"/>
      <c r="AI115" s="586"/>
      <c r="AJ115" s="586"/>
    </row>
    <row r="116" spans="1:39" ht="13.5" thickTop="1" x14ac:dyDescent="0.2">
      <c r="A116" s="194" t="s">
        <v>87</v>
      </c>
      <c r="B116" s="576"/>
      <c r="C116" s="586"/>
      <c r="D116" s="55"/>
      <c r="E116" s="586"/>
      <c r="F116" s="586"/>
      <c r="G116" s="586"/>
      <c r="H116" s="586"/>
      <c r="I116" s="586"/>
      <c r="J116" s="586"/>
      <c r="K116" s="586"/>
      <c r="L116" s="586"/>
      <c r="M116" s="586"/>
      <c r="N116" s="586"/>
      <c r="O116" s="586"/>
      <c r="P116" s="586"/>
      <c r="Q116" s="586"/>
      <c r="R116" s="586"/>
      <c r="S116" s="586"/>
      <c r="T116" s="586"/>
      <c r="U116" s="586"/>
      <c r="V116" s="586"/>
      <c r="W116" s="586"/>
      <c r="X116" s="586"/>
      <c r="Y116" s="586"/>
      <c r="Z116" s="586"/>
      <c r="AA116" s="586"/>
      <c r="AB116" s="586"/>
      <c r="AC116" s="586"/>
      <c r="AE116" s="586"/>
      <c r="AF116" s="586"/>
      <c r="AG116" s="586"/>
      <c r="AH116" s="586"/>
      <c r="AI116" s="586"/>
      <c r="AJ116" s="586"/>
    </row>
    <row r="117" spans="1:39" x14ac:dyDescent="0.2">
      <c r="A117" s="30" t="s">
        <v>202</v>
      </c>
      <c r="B117" s="576" t="s">
        <v>89</v>
      </c>
      <c r="C117" s="588" t="s">
        <v>575</v>
      </c>
      <c r="D117" s="54">
        <v>17062</v>
      </c>
      <c r="E117" s="586" t="e">
        <f>'Reg.3(1-15)'!#REF!+'Reg3(16-31)'!#REF!</f>
        <v>#REF!</v>
      </c>
      <c r="F117" s="586" t="e">
        <f>#REF!+'Reg3(16-31)'!#REF!</f>
        <v>#REF!</v>
      </c>
      <c r="G117" s="586" t="e">
        <f>#REF!+'Reg3(16-31)'!#REF!</f>
        <v>#REF!</v>
      </c>
      <c r="H117" s="586" t="e">
        <f>#REF!+'Reg3(16-31)'!#REF!</f>
        <v>#REF!</v>
      </c>
      <c r="I117" s="586" t="e">
        <f>#REF!+'Reg3(16-31)'!#REF!</f>
        <v>#REF!</v>
      </c>
      <c r="J117" s="586" t="e">
        <f>#REF!+'Reg3(16-31)'!#REF!</f>
        <v>#REF!</v>
      </c>
      <c r="K117" s="586" t="e">
        <f>#REF!+'Reg4(16-31)'!O12</f>
        <v>#REF!</v>
      </c>
      <c r="L117" s="586" t="e">
        <f>#REF!+'Reg4(16-31)'!P12</f>
        <v>#REF!</v>
      </c>
      <c r="M117" s="586" t="e">
        <f>#REF!+'Reg3(16-31)'!#REF!</f>
        <v>#REF!</v>
      </c>
      <c r="N117" s="586">
        <v>100</v>
      </c>
      <c r="O117" s="586" t="e">
        <f>#REF!</f>
        <v>#REF!</v>
      </c>
      <c r="P117" s="586" t="e">
        <f>#REF!</f>
        <v>#REF!</v>
      </c>
      <c r="Q117" s="586" t="e">
        <f t="shared" ref="Q117:Q123" si="148">SUM(E117:P117)</f>
        <v>#REF!</v>
      </c>
      <c r="R117" s="586" t="e">
        <f>#REF!</f>
        <v>#REF!</v>
      </c>
      <c r="S117" s="586" t="e">
        <f>#REF!</f>
        <v>#REF!</v>
      </c>
      <c r="T117" s="586" t="e">
        <f t="shared" ref="T117:T123" si="149">R117+S117</f>
        <v>#REF!</v>
      </c>
      <c r="U117" s="586" t="e">
        <f>#REF!+'Reg4(16-31)'!W12</f>
        <v>#REF!</v>
      </c>
      <c r="V117" s="586" t="e">
        <f>'Reg3(16-31)'!#REF!</f>
        <v>#REF!</v>
      </c>
      <c r="W117" s="586" t="e">
        <f>'Reg3(16-31)'!#REF!</f>
        <v>#REF!</v>
      </c>
      <c r="X117" s="586" t="e">
        <f t="shared" ref="X117:X123" si="150">SUM(U117:W117)</f>
        <v>#REF!</v>
      </c>
      <c r="Y117" s="586" t="e">
        <f>#REF!+'Reg3(16-31)'!#REF!</f>
        <v>#REF!</v>
      </c>
      <c r="Z117" s="586" t="e">
        <f>#REF!+'Reg3(16-31)'!#REF!</f>
        <v>#REF!</v>
      </c>
      <c r="AA117" s="586" t="e">
        <f t="shared" ref="AA117:AA123" si="151">SUM(Y117:Z117)</f>
        <v>#REF!</v>
      </c>
      <c r="AB117" s="586"/>
      <c r="AC117" s="586" t="e">
        <f t="shared" ref="AC117:AC123" si="152">Q117+T117+X117+AA117+AB117</f>
        <v>#REF!</v>
      </c>
      <c r="AE117" s="586">
        <f t="shared" ref="AE117:AE123" si="153">D117</f>
        <v>17062</v>
      </c>
      <c r="AF117" s="586" t="e">
        <f t="shared" ref="AF117:AF123" si="154">SUM(E117:M117)+O117+R117+U117+V117+AA117+AB117</f>
        <v>#REF!</v>
      </c>
      <c r="AG117" s="586" t="e">
        <f t="shared" ref="AG117:AG123" si="155">AE117-AF117</f>
        <v>#REF!</v>
      </c>
      <c r="AH117" s="586">
        <f t="shared" ref="AH117:AH123" si="156">AE117</f>
        <v>17062</v>
      </c>
      <c r="AI117" s="586" t="e">
        <f t="shared" ref="AI117:AI123" si="157">P117+S117+W117</f>
        <v>#REF!</v>
      </c>
      <c r="AJ117" s="586" t="e">
        <f t="shared" ref="AJ117:AJ123" si="158">AH117+AI117</f>
        <v>#REF!</v>
      </c>
      <c r="AL117" s="566" t="e">
        <f>#REF!+'Reg3(16-31)'!#REF!</f>
        <v>#REF!</v>
      </c>
    </row>
    <row r="118" spans="1:39" x14ac:dyDescent="0.2">
      <c r="A118" s="30" t="s">
        <v>88</v>
      </c>
      <c r="B118" s="576" t="s">
        <v>89</v>
      </c>
      <c r="C118" s="589" t="s">
        <v>253</v>
      </c>
      <c r="D118" s="54">
        <v>26623</v>
      </c>
      <c r="E118" s="586" t="e">
        <f>'Reg.3(1-15)'!#REF!+'Reg3(16-31)'!#REF!</f>
        <v>#REF!</v>
      </c>
      <c r="F118" s="586" t="e">
        <f>#REF!+'Reg3(16-31)'!#REF!</f>
        <v>#REF!</v>
      </c>
      <c r="G118" s="586" t="e">
        <f>#REF!+'Reg3(16-31)'!#REF!</f>
        <v>#REF!</v>
      </c>
      <c r="H118" s="586" t="e">
        <f>#REF!+'Reg3(16-31)'!#REF!</f>
        <v>#REF!</v>
      </c>
      <c r="I118" s="586" t="e">
        <f>#REF!+'Reg3(16-31)'!#REF!</f>
        <v>#REF!</v>
      </c>
      <c r="J118" s="586" t="e">
        <f>#REF!+'Reg3(16-31)'!#REF!</f>
        <v>#REF!</v>
      </c>
      <c r="K118" s="586" t="e">
        <f>#REF!+'Reg3(16-31)'!#REF!</f>
        <v>#REF!</v>
      </c>
      <c r="L118" s="586" t="e">
        <f>#REF!+'Reg3(16-31)'!#REF!</f>
        <v>#REF!</v>
      </c>
      <c r="M118" s="586" t="e">
        <f>#REF!+'Reg3(16-31)'!#REF!</f>
        <v>#REF!</v>
      </c>
      <c r="N118" s="586">
        <v>100</v>
      </c>
      <c r="O118" s="586" t="e">
        <f>#REF!</f>
        <v>#REF!</v>
      </c>
      <c r="P118" s="586" t="e">
        <f>#REF!</f>
        <v>#REF!</v>
      </c>
      <c r="Q118" s="586" t="e">
        <f t="shared" si="148"/>
        <v>#REF!</v>
      </c>
      <c r="R118" s="586" t="e">
        <f>#REF!</f>
        <v>#REF!</v>
      </c>
      <c r="S118" s="586" t="e">
        <f>#REF!</f>
        <v>#REF!</v>
      </c>
      <c r="T118" s="586" t="e">
        <f t="shared" si="149"/>
        <v>#REF!</v>
      </c>
      <c r="U118" s="586" t="e">
        <f>#REF!+'Reg3(16-31)'!#REF!</f>
        <v>#REF!</v>
      </c>
      <c r="V118" s="586" t="e">
        <f>'Reg3(16-31)'!#REF!</f>
        <v>#REF!</v>
      </c>
      <c r="W118" s="586" t="e">
        <f>'Reg3(16-31)'!#REF!</f>
        <v>#REF!</v>
      </c>
      <c r="X118" s="586" t="e">
        <f t="shared" si="150"/>
        <v>#REF!</v>
      </c>
      <c r="Y118" s="586" t="e">
        <f>#REF!+'Reg3(16-31)'!#REF!</f>
        <v>#REF!</v>
      </c>
      <c r="Z118" s="586" t="e">
        <f>#REF!+'Reg3(16-31)'!#REF!</f>
        <v>#REF!</v>
      </c>
      <c r="AA118" s="586" t="e">
        <f t="shared" si="151"/>
        <v>#REF!</v>
      </c>
      <c r="AB118" s="586" t="e">
        <f>'Reg3(16-31)'!#REF!</f>
        <v>#REF!</v>
      </c>
      <c r="AC118" s="586" t="e">
        <f t="shared" si="152"/>
        <v>#REF!</v>
      </c>
      <c r="AE118" s="586">
        <f t="shared" si="153"/>
        <v>26623</v>
      </c>
      <c r="AF118" s="586" t="e">
        <f t="shared" si="154"/>
        <v>#REF!</v>
      </c>
      <c r="AG118" s="586" t="e">
        <f t="shared" si="155"/>
        <v>#REF!</v>
      </c>
      <c r="AH118" s="586">
        <f t="shared" si="156"/>
        <v>26623</v>
      </c>
      <c r="AI118" s="586" t="e">
        <f t="shared" si="157"/>
        <v>#REF!</v>
      </c>
      <c r="AJ118" s="586" t="e">
        <f t="shared" si="158"/>
        <v>#REF!</v>
      </c>
      <c r="AL118" s="566" t="e">
        <f>#REF!+'Reg3(16-31)'!#REF!</f>
        <v>#REF!</v>
      </c>
    </row>
    <row r="119" spans="1:39" x14ac:dyDescent="0.2">
      <c r="A119" s="30" t="s">
        <v>90</v>
      </c>
      <c r="B119" s="576" t="s">
        <v>89</v>
      </c>
      <c r="C119" s="589" t="s">
        <v>253</v>
      </c>
      <c r="D119" s="54">
        <v>26623</v>
      </c>
      <c r="E119" s="586" t="e">
        <f>'Reg.3(1-15)'!#REF!+'Reg3(16-31)'!#REF!</f>
        <v>#REF!</v>
      </c>
      <c r="F119" s="586" t="e">
        <f>#REF!+'Reg3(16-31)'!#REF!</f>
        <v>#REF!</v>
      </c>
      <c r="G119" s="586" t="e">
        <f>#REF!+'Reg3(16-31)'!#REF!</f>
        <v>#REF!</v>
      </c>
      <c r="H119" s="586" t="e">
        <f>#REF!+'Reg3(16-31)'!#REF!</f>
        <v>#REF!</v>
      </c>
      <c r="I119" s="586" t="e">
        <f>#REF!+'Reg3(16-31)'!#REF!</f>
        <v>#REF!</v>
      </c>
      <c r="J119" s="586" t="e">
        <f>#REF!+'Reg3(16-31)'!#REF!</f>
        <v>#REF!</v>
      </c>
      <c r="K119" s="586" t="e">
        <f>#REF!+'Reg3(16-31)'!#REF!</f>
        <v>#REF!</v>
      </c>
      <c r="L119" s="586" t="e">
        <f>#REF!+'Reg3(16-31)'!#REF!</f>
        <v>#REF!</v>
      </c>
      <c r="M119" s="586" t="e">
        <f>#REF!+'Reg3(16-31)'!#REF!</f>
        <v>#REF!</v>
      </c>
      <c r="N119" s="586">
        <v>100</v>
      </c>
      <c r="O119" s="586" t="e">
        <f>#REF!</f>
        <v>#REF!</v>
      </c>
      <c r="P119" s="586" t="e">
        <f>#REF!</f>
        <v>#REF!</v>
      </c>
      <c r="Q119" s="586" t="e">
        <f t="shared" si="148"/>
        <v>#REF!</v>
      </c>
      <c r="R119" s="586" t="e">
        <f>#REF!</f>
        <v>#REF!</v>
      </c>
      <c r="S119" s="586" t="e">
        <f>#REF!</f>
        <v>#REF!</v>
      </c>
      <c r="T119" s="586" t="e">
        <f t="shared" si="149"/>
        <v>#REF!</v>
      </c>
      <c r="U119" s="586" t="e">
        <f>#REF!+'Reg3(16-31)'!#REF!</f>
        <v>#REF!</v>
      </c>
      <c r="V119" s="586" t="e">
        <f>'Reg3(16-31)'!#REF!</f>
        <v>#REF!</v>
      </c>
      <c r="W119" s="586" t="e">
        <f>'Reg3(16-31)'!#REF!</f>
        <v>#REF!</v>
      </c>
      <c r="X119" s="586" t="e">
        <f t="shared" si="150"/>
        <v>#REF!</v>
      </c>
      <c r="Y119" s="586" t="e">
        <f>#REF!+'Reg3(16-31)'!#REF!</f>
        <v>#REF!</v>
      </c>
      <c r="Z119" s="586" t="e">
        <f>#REF!+'Reg3(16-31)'!#REF!</f>
        <v>#REF!</v>
      </c>
      <c r="AA119" s="586" t="e">
        <f t="shared" si="151"/>
        <v>#REF!</v>
      </c>
      <c r="AB119" s="586" t="e">
        <f>'Reg3(16-31)'!#REF!</f>
        <v>#REF!</v>
      </c>
      <c r="AC119" s="586" t="e">
        <f t="shared" si="152"/>
        <v>#REF!</v>
      </c>
      <c r="AE119" s="586">
        <f t="shared" si="153"/>
        <v>26623</v>
      </c>
      <c r="AF119" s="586" t="e">
        <f t="shared" si="154"/>
        <v>#REF!</v>
      </c>
      <c r="AG119" s="586" t="e">
        <f t="shared" si="155"/>
        <v>#REF!</v>
      </c>
      <c r="AH119" s="586">
        <f t="shared" si="156"/>
        <v>26623</v>
      </c>
      <c r="AI119" s="586" t="e">
        <f t="shared" si="157"/>
        <v>#REF!</v>
      </c>
      <c r="AJ119" s="586" t="e">
        <f t="shared" si="158"/>
        <v>#REF!</v>
      </c>
      <c r="AL119" s="566" t="e">
        <f>#REF!+'Reg3(16-31)'!#REF!</f>
        <v>#REF!</v>
      </c>
    </row>
    <row r="120" spans="1:39" x14ac:dyDescent="0.2">
      <c r="A120" s="30" t="s">
        <v>442</v>
      </c>
      <c r="B120" s="576" t="s">
        <v>443</v>
      </c>
      <c r="C120" s="589" t="s">
        <v>253</v>
      </c>
      <c r="D120" s="54">
        <v>13406</v>
      </c>
      <c r="E120" s="586">
        <f>'Reg.3(1-15)'!K63+'Reg3(16-31)'!L60</f>
        <v>0</v>
      </c>
      <c r="F120" s="586" t="e">
        <f>#REF!+'Reg3(16-31)'!M60</f>
        <v>#REF!</v>
      </c>
      <c r="G120" s="586" t="e">
        <f>#REF!+'Reg3(16-31)'!N60</f>
        <v>#REF!</v>
      </c>
      <c r="H120" s="586" t="e">
        <f>#REF!+'Reg3(16-31)'!O60</f>
        <v>#REF!</v>
      </c>
      <c r="I120" s="586" t="e">
        <f>#REF!+'Reg3(16-31)'!P60</f>
        <v>#REF!</v>
      </c>
      <c r="J120" s="586" t="e">
        <f>#REF!+'Reg3(16-31)'!Q60</f>
        <v>#REF!</v>
      </c>
      <c r="K120" s="586" t="e">
        <f>#REF!+'Reg3(16-31)'!R60</f>
        <v>#REF!</v>
      </c>
      <c r="L120" s="586" t="e">
        <f>#REF!+'Reg3(16-31)'!S60</f>
        <v>#REF!</v>
      </c>
      <c r="M120" s="586" t="e">
        <f>#REF!+'Reg3(16-31)'!T60</f>
        <v>#REF!</v>
      </c>
      <c r="N120" s="586">
        <v>100</v>
      </c>
      <c r="O120" s="586" t="e">
        <f>#REF!</f>
        <v>#REF!</v>
      </c>
      <c r="P120" s="586" t="e">
        <f>#REF!</f>
        <v>#REF!</v>
      </c>
      <c r="Q120" s="586" t="e">
        <f t="shared" si="148"/>
        <v>#REF!</v>
      </c>
      <c r="R120" s="586" t="e">
        <f>#REF!</f>
        <v>#REF!</v>
      </c>
      <c r="S120" s="586" t="e">
        <f>#REF!</f>
        <v>#REF!</v>
      </c>
      <c r="T120" s="586" t="e">
        <f t="shared" si="149"/>
        <v>#REF!</v>
      </c>
      <c r="U120" s="586" t="e">
        <f>#REF!+'Reg3(16-31)'!Z60</f>
        <v>#REF!</v>
      </c>
      <c r="V120" s="586">
        <f>'Reg3(16-31)'!X60</f>
        <v>371.26</v>
      </c>
      <c r="W120" s="586">
        <f>'Reg3(16-31)'!Y60</f>
        <v>371.26</v>
      </c>
      <c r="X120" s="586" t="e">
        <f t="shared" si="150"/>
        <v>#REF!</v>
      </c>
      <c r="Y120" s="586" t="e">
        <f>#REF!+'Reg3(16-31)'!AC60</f>
        <v>#REF!</v>
      </c>
      <c r="Z120" s="586" t="e">
        <f>#REF!+'Reg3(16-31)'!#REF!</f>
        <v>#REF!</v>
      </c>
      <c r="AA120" s="586" t="e">
        <f t="shared" si="151"/>
        <v>#REF!</v>
      </c>
      <c r="AB120" s="586"/>
      <c r="AC120" s="586" t="e">
        <f t="shared" si="152"/>
        <v>#REF!</v>
      </c>
      <c r="AE120" s="586">
        <f t="shared" si="153"/>
        <v>13406</v>
      </c>
      <c r="AF120" s="586" t="e">
        <f t="shared" si="154"/>
        <v>#REF!</v>
      </c>
      <c r="AG120" s="586" t="e">
        <f t="shared" si="155"/>
        <v>#REF!</v>
      </c>
      <c r="AH120" s="586">
        <f t="shared" si="156"/>
        <v>13406</v>
      </c>
      <c r="AI120" s="586" t="e">
        <f t="shared" si="157"/>
        <v>#REF!</v>
      </c>
      <c r="AJ120" s="586" t="e">
        <f t="shared" si="158"/>
        <v>#REF!</v>
      </c>
      <c r="AL120" s="566" t="e">
        <f>#REF!+'Reg3(16-31)'!AE60</f>
        <v>#REF!</v>
      </c>
    </row>
    <row r="121" spans="1:39" x14ac:dyDescent="0.2">
      <c r="A121" s="568" t="s">
        <v>469</v>
      </c>
      <c r="B121" s="576" t="s">
        <v>446</v>
      </c>
      <c r="C121" s="589" t="s">
        <v>253</v>
      </c>
      <c r="D121" s="54">
        <v>9973</v>
      </c>
      <c r="E121" s="586">
        <f>'Reg.3(1-15)'!K65+'Reg3(16-31)'!L62</f>
        <v>0</v>
      </c>
      <c r="F121" s="586" t="e">
        <f>#REF!+'Reg3(16-31)'!M62</f>
        <v>#REF!</v>
      </c>
      <c r="G121" s="586" t="e">
        <f>#REF!+'Reg3(16-31)'!N62</f>
        <v>#REF!</v>
      </c>
      <c r="H121" s="586" t="e">
        <f>#REF!+'Reg3(16-31)'!O62</f>
        <v>#REF!</v>
      </c>
      <c r="I121" s="586" t="e">
        <f>#REF!+'Reg3(16-31)'!P62</f>
        <v>#REF!</v>
      </c>
      <c r="J121" s="586" t="e">
        <f>#REF!+'Reg3(16-31)'!Q62</f>
        <v>#REF!</v>
      </c>
      <c r="K121" s="586" t="e">
        <f>#REF!+'Reg3(16-31)'!R62</f>
        <v>#REF!</v>
      </c>
      <c r="L121" s="586" t="e">
        <f>#REF!+'Reg3(16-31)'!S62</f>
        <v>#REF!</v>
      </c>
      <c r="M121" s="586" t="e">
        <f>#REF!+'Reg3(16-31)'!T62</f>
        <v>#REF!</v>
      </c>
      <c r="N121" s="586">
        <v>99.73</v>
      </c>
      <c r="O121" s="586" t="e">
        <f>#REF!</f>
        <v>#REF!</v>
      </c>
      <c r="P121" s="586" t="e">
        <f>#REF!</f>
        <v>#REF!</v>
      </c>
      <c r="Q121" s="586" t="e">
        <f t="shared" si="148"/>
        <v>#REF!</v>
      </c>
      <c r="R121" s="586" t="e">
        <f>#REF!</f>
        <v>#REF!</v>
      </c>
      <c r="S121" s="586" t="e">
        <f>#REF!</f>
        <v>#REF!</v>
      </c>
      <c r="T121" s="586" t="e">
        <f t="shared" si="149"/>
        <v>#REF!</v>
      </c>
      <c r="U121" s="586" t="e">
        <f>#REF!+'Reg3(16-31)'!Z62</f>
        <v>#REF!</v>
      </c>
      <c r="V121" s="586">
        <f>'Reg3(16-31)'!X62</f>
        <v>273.5</v>
      </c>
      <c r="W121" s="586">
        <f>'Reg3(16-31)'!Y62</f>
        <v>273.5</v>
      </c>
      <c r="X121" s="586" t="e">
        <f t="shared" si="150"/>
        <v>#REF!</v>
      </c>
      <c r="Y121" s="586" t="e">
        <f>#REF!+'Reg3(16-31)'!AC62</f>
        <v>#REF!</v>
      </c>
      <c r="Z121" s="586" t="e">
        <f>#REF!+'Reg3(16-31)'!#REF!</f>
        <v>#REF!</v>
      </c>
      <c r="AA121" s="586" t="e">
        <f t="shared" si="151"/>
        <v>#REF!</v>
      </c>
      <c r="AB121" s="586"/>
      <c r="AC121" s="586" t="e">
        <f t="shared" si="152"/>
        <v>#REF!</v>
      </c>
      <c r="AE121" s="586">
        <f t="shared" si="153"/>
        <v>9973</v>
      </c>
      <c r="AF121" s="586" t="e">
        <f t="shared" si="154"/>
        <v>#REF!</v>
      </c>
      <c r="AG121" s="586" t="e">
        <f t="shared" si="155"/>
        <v>#REF!</v>
      </c>
      <c r="AH121" s="586">
        <f t="shared" si="156"/>
        <v>9973</v>
      </c>
      <c r="AI121" s="586" t="e">
        <f t="shared" si="157"/>
        <v>#REF!</v>
      </c>
      <c r="AJ121" s="586" t="e">
        <f t="shared" si="158"/>
        <v>#REF!</v>
      </c>
      <c r="AL121" s="566" t="e">
        <f>#REF!+'Reg3(16-31)'!AE62</f>
        <v>#REF!</v>
      </c>
    </row>
    <row r="122" spans="1:39" x14ac:dyDescent="0.2">
      <c r="A122" s="30" t="s">
        <v>468</v>
      </c>
      <c r="B122" s="576" t="s">
        <v>446</v>
      </c>
      <c r="C122" s="589" t="s">
        <v>253</v>
      </c>
      <c r="D122" s="54">
        <v>9973</v>
      </c>
      <c r="E122" s="586">
        <f>'Reg.3(1-15)'!K66+'Reg3(16-31)'!L63</f>
        <v>0</v>
      </c>
      <c r="F122" s="586" t="e">
        <f>#REF!+'Reg3(16-31)'!M63</f>
        <v>#REF!</v>
      </c>
      <c r="G122" s="586" t="e">
        <f>#REF!+'Reg3(16-31)'!N63</f>
        <v>#REF!</v>
      </c>
      <c r="H122" s="586" t="e">
        <f>#REF!+'Reg3(16-31)'!O63</f>
        <v>#REF!</v>
      </c>
      <c r="I122" s="586" t="e">
        <f>#REF!+'Reg3(16-31)'!P63</f>
        <v>#REF!</v>
      </c>
      <c r="J122" s="586" t="e">
        <f>#REF!+'Reg3(16-31)'!Q63</f>
        <v>#REF!</v>
      </c>
      <c r="K122" s="586" t="e">
        <f>#REF!+'Reg3(16-31)'!R63</f>
        <v>#REF!</v>
      </c>
      <c r="L122" s="586" t="e">
        <f>#REF!+'Reg3(16-31)'!S63</f>
        <v>#REF!</v>
      </c>
      <c r="M122" s="586" t="e">
        <f>#REF!+'Reg3(16-31)'!T63</f>
        <v>#REF!</v>
      </c>
      <c r="N122" s="586">
        <v>99.73</v>
      </c>
      <c r="O122" s="586" t="e">
        <f>#REF!</f>
        <v>#REF!</v>
      </c>
      <c r="P122" s="586" t="e">
        <f>#REF!</f>
        <v>#REF!</v>
      </c>
      <c r="Q122" s="586" t="e">
        <f t="shared" si="148"/>
        <v>#REF!</v>
      </c>
      <c r="R122" s="586" t="e">
        <f>#REF!</f>
        <v>#REF!</v>
      </c>
      <c r="S122" s="586" t="e">
        <f>#REF!</f>
        <v>#REF!</v>
      </c>
      <c r="T122" s="586" t="e">
        <f t="shared" si="149"/>
        <v>#REF!</v>
      </c>
      <c r="U122" s="586" t="e">
        <f>#REF!+'Reg3(16-31)'!Z63</f>
        <v>#REF!</v>
      </c>
      <c r="V122" s="586">
        <f>'Reg3(16-31)'!X63</f>
        <v>273.5</v>
      </c>
      <c r="W122" s="586">
        <f>'Reg3(16-31)'!Y63</f>
        <v>273.5</v>
      </c>
      <c r="X122" s="586" t="e">
        <f>SUM(U122:W122)</f>
        <v>#REF!</v>
      </c>
      <c r="Y122" s="586" t="e">
        <f>#REF!+'Reg3(16-31)'!AC63</f>
        <v>#REF!</v>
      </c>
      <c r="Z122" s="586" t="e">
        <f>#REF!+'Reg3(16-31)'!#REF!</f>
        <v>#REF!</v>
      </c>
      <c r="AA122" s="586" t="e">
        <f t="shared" si="151"/>
        <v>#REF!</v>
      </c>
      <c r="AB122" s="586"/>
      <c r="AC122" s="586" t="e">
        <f t="shared" si="152"/>
        <v>#REF!</v>
      </c>
      <c r="AE122" s="586">
        <f t="shared" si="153"/>
        <v>9973</v>
      </c>
      <c r="AF122" s="586" t="e">
        <f t="shared" si="154"/>
        <v>#REF!</v>
      </c>
      <c r="AG122" s="586" t="e">
        <f t="shared" si="155"/>
        <v>#REF!</v>
      </c>
      <c r="AH122" s="586">
        <f t="shared" si="156"/>
        <v>9973</v>
      </c>
      <c r="AI122" s="586" t="e">
        <f t="shared" si="157"/>
        <v>#REF!</v>
      </c>
      <c r="AJ122" s="586" t="e">
        <f t="shared" si="158"/>
        <v>#REF!</v>
      </c>
      <c r="AL122" s="566" t="e">
        <f>#REF!+'Reg3(16-31)'!AE63</f>
        <v>#REF!</v>
      </c>
    </row>
    <row r="123" spans="1:39" x14ac:dyDescent="0.2">
      <c r="A123" s="30" t="s">
        <v>470</v>
      </c>
      <c r="B123" s="576" t="s">
        <v>446</v>
      </c>
      <c r="C123" s="589" t="s">
        <v>253</v>
      </c>
      <c r="D123" s="62">
        <v>9973</v>
      </c>
      <c r="E123" s="586">
        <f>'Reg.3(1-15)'!K64+'Reg3(16-31)'!L61</f>
        <v>0</v>
      </c>
      <c r="F123" s="586" t="e">
        <f>#REF!+'Reg3(16-31)'!M61</f>
        <v>#REF!</v>
      </c>
      <c r="G123" s="586" t="e">
        <f>#REF!+'Reg3(16-31)'!N61</f>
        <v>#REF!</v>
      </c>
      <c r="H123" s="586" t="e">
        <f>#REF!+'Reg3(16-31)'!O61</f>
        <v>#REF!</v>
      </c>
      <c r="I123" s="586" t="e">
        <f>#REF!+'Reg3(16-31)'!P61</f>
        <v>#REF!</v>
      </c>
      <c r="J123" s="586" t="e">
        <f>#REF!+'Reg3(16-31)'!Q61</f>
        <v>#REF!</v>
      </c>
      <c r="K123" s="586" t="e">
        <f>#REF!+'Reg3(16-31)'!R61</f>
        <v>#REF!</v>
      </c>
      <c r="L123" s="586" t="e">
        <f>#REF!+'Reg3(16-31)'!S61</f>
        <v>#REF!</v>
      </c>
      <c r="M123" s="586" t="e">
        <f>#REF!+'Reg3(16-31)'!T61</f>
        <v>#REF!</v>
      </c>
      <c r="N123" s="586">
        <v>99.73</v>
      </c>
      <c r="O123" s="586" t="e">
        <f>#REF!</f>
        <v>#REF!</v>
      </c>
      <c r="P123" s="586" t="e">
        <f>#REF!</f>
        <v>#REF!</v>
      </c>
      <c r="Q123" s="586" t="e">
        <f t="shared" si="148"/>
        <v>#REF!</v>
      </c>
      <c r="R123" s="586" t="e">
        <f>#REF!</f>
        <v>#REF!</v>
      </c>
      <c r="S123" s="586" t="e">
        <f>#REF!</f>
        <v>#REF!</v>
      </c>
      <c r="T123" s="586" t="e">
        <f t="shared" si="149"/>
        <v>#REF!</v>
      </c>
      <c r="U123" s="586" t="e">
        <f>#REF!+'Reg3(16-31)'!Z61</f>
        <v>#REF!</v>
      </c>
      <c r="V123" s="586">
        <f>'Reg3(16-31)'!X61</f>
        <v>322.26</v>
      </c>
      <c r="W123" s="586">
        <f>'Reg3(16-31)'!Y61</f>
        <v>322.26</v>
      </c>
      <c r="X123" s="586" t="e">
        <f t="shared" si="150"/>
        <v>#REF!</v>
      </c>
      <c r="Y123" s="602" t="e">
        <f>#REF!+'Reg3(16-31)'!AC61</f>
        <v>#REF!</v>
      </c>
      <c r="Z123" s="586" t="e">
        <f>#REF!+'Reg3(16-31)'!#REF!</f>
        <v>#REF!</v>
      </c>
      <c r="AA123" s="586" t="e">
        <f t="shared" si="151"/>
        <v>#REF!</v>
      </c>
      <c r="AB123" s="586"/>
      <c r="AC123" s="586" t="e">
        <f t="shared" si="152"/>
        <v>#REF!</v>
      </c>
      <c r="AE123" s="586">
        <f t="shared" si="153"/>
        <v>9973</v>
      </c>
      <c r="AF123" s="586" t="e">
        <f t="shared" si="154"/>
        <v>#REF!</v>
      </c>
      <c r="AG123" s="586" t="e">
        <f t="shared" si="155"/>
        <v>#REF!</v>
      </c>
      <c r="AH123" s="586">
        <f t="shared" si="156"/>
        <v>9973</v>
      </c>
      <c r="AI123" s="586" t="e">
        <f t="shared" si="157"/>
        <v>#REF!</v>
      </c>
      <c r="AJ123" s="586" t="e">
        <f t="shared" si="158"/>
        <v>#REF!</v>
      </c>
      <c r="AL123" s="566" t="e">
        <f>#REF!+'Reg3(16-31)'!AE61</f>
        <v>#REF!</v>
      </c>
    </row>
    <row r="124" spans="1:39" x14ac:dyDescent="0.2">
      <c r="A124" s="30"/>
      <c r="B124" s="576"/>
      <c r="C124" s="586"/>
      <c r="D124" s="450">
        <f>SUM(D117:D123)</f>
        <v>113633</v>
      </c>
      <c r="E124" s="450" t="e">
        <f t="shared" ref="E124:AC124" si="159">SUM(E117:E123)</f>
        <v>#REF!</v>
      </c>
      <c r="F124" s="450" t="e">
        <f t="shared" si="159"/>
        <v>#REF!</v>
      </c>
      <c r="G124" s="450" t="e">
        <f t="shared" si="159"/>
        <v>#REF!</v>
      </c>
      <c r="H124" s="450" t="e">
        <f t="shared" si="159"/>
        <v>#REF!</v>
      </c>
      <c r="I124" s="450" t="e">
        <f t="shared" si="159"/>
        <v>#REF!</v>
      </c>
      <c r="J124" s="450" t="e">
        <f t="shared" si="159"/>
        <v>#REF!</v>
      </c>
      <c r="K124" s="450" t="e">
        <f t="shared" si="159"/>
        <v>#REF!</v>
      </c>
      <c r="L124" s="450" t="e">
        <f t="shared" si="159"/>
        <v>#REF!</v>
      </c>
      <c r="M124" s="450" t="e">
        <f t="shared" si="159"/>
        <v>#REF!</v>
      </c>
      <c r="N124" s="450">
        <f>SUM(N117:N123)</f>
        <v>699.19</v>
      </c>
      <c r="O124" s="450" t="e">
        <f t="shared" si="159"/>
        <v>#REF!</v>
      </c>
      <c r="P124" s="450" t="e">
        <f t="shared" si="159"/>
        <v>#REF!</v>
      </c>
      <c r="Q124" s="450" t="e">
        <f t="shared" si="159"/>
        <v>#REF!</v>
      </c>
      <c r="R124" s="450" t="e">
        <f t="shared" si="159"/>
        <v>#REF!</v>
      </c>
      <c r="S124" s="450" t="e">
        <f t="shared" si="159"/>
        <v>#REF!</v>
      </c>
      <c r="T124" s="450" t="e">
        <f t="shared" si="159"/>
        <v>#REF!</v>
      </c>
      <c r="U124" s="450" t="e">
        <f t="shared" si="159"/>
        <v>#REF!</v>
      </c>
      <c r="V124" s="450" t="e">
        <f t="shared" si="159"/>
        <v>#REF!</v>
      </c>
      <c r="W124" s="450" t="e">
        <f t="shared" si="159"/>
        <v>#REF!</v>
      </c>
      <c r="X124" s="450" t="e">
        <f t="shared" si="159"/>
        <v>#REF!</v>
      </c>
      <c r="Y124" s="450" t="e">
        <f t="shared" si="159"/>
        <v>#REF!</v>
      </c>
      <c r="Z124" s="450" t="e">
        <f t="shared" si="159"/>
        <v>#REF!</v>
      </c>
      <c r="AA124" s="450" t="e">
        <f t="shared" si="159"/>
        <v>#REF!</v>
      </c>
      <c r="AB124" s="450" t="e">
        <f t="shared" si="159"/>
        <v>#REF!</v>
      </c>
      <c r="AC124" s="450" t="e">
        <f t="shared" si="159"/>
        <v>#REF!</v>
      </c>
      <c r="AE124" s="601">
        <f>SUM(AE117:AE123)</f>
        <v>113633</v>
      </c>
      <c r="AF124" s="586"/>
      <c r="AG124" s="586"/>
      <c r="AH124" s="586"/>
      <c r="AI124" s="586"/>
      <c r="AJ124" s="586"/>
    </row>
    <row r="125" spans="1:39" ht="13.5" thickBot="1" x14ac:dyDescent="0.25">
      <c r="A125" s="593" t="s">
        <v>580</v>
      </c>
      <c r="B125" s="582"/>
      <c r="C125" s="597"/>
      <c r="D125" s="379">
        <f>D124+D115+D112+D98+D94</f>
        <v>641049</v>
      </c>
      <c r="E125" s="379" t="e">
        <f t="shared" ref="E125:AC125" si="160">E124+E115+E112+E98+E94</f>
        <v>#REF!</v>
      </c>
      <c r="F125" s="379" t="e">
        <f t="shared" si="160"/>
        <v>#REF!</v>
      </c>
      <c r="G125" s="379" t="e">
        <f t="shared" si="160"/>
        <v>#REF!</v>
      </c>
      <c r="H125" s="379" t="e">
        <f t="shared" si="160"/>
        <v>#REF!</v>
      </c>
      <c r="I125" s="379" t="e">
        <f t="shared" si="160"/>
        <v>#REF!</v>
      </c>
      <c r="J125" s="379" t="e">
        <f t="shared" si="160"/>
        <v>#REF!</v>
      </c>
      <c r="K125" s="379" t="e">
        <f t="shared" si="160"/>
        <v>#REF!</v>
      </c>
      <c r="L125" s="379" t="e">
        <f t="shared" si="160"/>
        <v>#REF!</v>
      </c>
      <c r="M125" s="379" t="e">
        <f t="shared" si="160"/>
        <v>#REF!</v>
      </c>
      <c r="N125" s="379">
        <f t="shared" si="160"/>
        <v>2998.65</v>
      </c>
      <c r="O125" s="379" t="e">
        <f t="shared" si="160"/>
        <v>#REF!</v>
      </c>
      <c r="P125" s="379" t="e">
        <f t="shared" si="160"/>
        <v>#REF!</v>
      </c>
      <c r="Q125" s="379" t="e">
        <f t="shared" si="160"/>
        <v>#REF!</v>
      </c>
      <c r="R125" s="379" t="e">
        <f t="shared" si="160"/>
        <v>#REF!</v>
      </c>
      <c r="S125" s="379" t="e">
        <f t="shared" si="160"/>
        <v>#REF!</v>
      </c>
      <c r="T125" s="379" t="e">
        <f t="shared" si="160"/>
        <v>#REF!</v>
      </c>
      <c r="U125" s="379" t="e">
        <f t="shared" si="160"/>
        <v>#REF!</v>
      </c>
      <c r="V125" s="379" t="e">
        <f t="shared" si="160"/>
        <v>#REF!</v>
      </c>
      <c r="W125" s="379" t="e">
        <f t="shared" si="160"/>
        <v>#REF!</v>
      </c>
      <c r="X125" s="379" t="e">
        <f t="shared" si="160"/>
        <v>#REF!</v>
      </c>
      <c r="Y125" s="379" t="e">
        <f t="shared" si="160"/>
        <v>#REF!</v>
      </c>
      <c r="Z125" s="379" t="e">
        <f t="shared" si="160"/>
        <v>#REF!</v>
      </c>
      <c r="AA125" s="379" t="e">
        <f t="shared" si="160"/>
        <v>#REF!</v>
      </c>
      <c r="AB125" s="379" t="e">
        <f t="shared" si="160"/>
        <v>#REF!</v>
      </c>
      <c r="AC125" s="379" t="e">
        <f t="shared" si="160"/>
        <v>#REF!</v>
      </c>
      <c r="AE125" s="379">
        <f>AE124+AE115+AE112+AE98+AE94</f>
        <v>620950</v>
      </c>
      <c r="AF125" s="586"/>
      <c r="AG125" s="586"/>
      <c r="AH125" s="586"/>
      <c r="AI125" s="586"/>
      <c r="AJ125" s="586"/>
    </row>
    <row r="126" spans="1:39" ht="13.5" thickTop="1" x14ac:dyDescent="0.2">
      <c r="A126" s="594"/>
      <c r="B126" s="583"/>
      <c r="C126" s="596"/>
      <c r="D126" s="382"/>
      <c r="E126" s="586"/>
      <c r="F126" s="586"/>
      <c r="G126" s="586"/>
      <c r="H126" s="586"/>
      <c r="I126" s="586"/>
      <c r="J126" s="586"/>
      <c r="K126" s="586"/>
      <c r="L126" s="586"/>
      <c r="M126" s="586"/>
      <c r="N126" s="586"/>
      <c r="O126" s="586"/>
      <c r="P126" s="586"/>
      <c r="Q126" s="586"/>
      <c r="R126" s="586"/>
      <c r="S126" s="586"/>
      <c r="T126" s="586"/>
      <c r="U126" s="586"/>
      <c r="V126" s="586"/>
      <c r="W126" s="586"/>
      <c r="X126" s="586"/>
      <c r="Y126" s="586"/>
      <c r="Z126" s="586"/>
      <c r="AA126" s="586"/>
      <c r="AB126" s="586"/>
      <c r="AC126" s="586"/>
      <c r="AE126" s="586"/>
      <c r="AF126" s="586"/>
      <c r="AG126" s="586"/>
      <c r="AH126" s="586"/>
      <c r="AI126" s="586"/>
      <c r="AJ126" s="586"/>
    </row>
    <row r="127" spans="1:39" x14ac:dyDescent="0.2">
      <c r="A127" s="194" t="s">
        <v>477</v>
      </c>
      <c r="B127" s="576"/>
      <c r="C127" s="588" t="s">
        <v>575</v>
      </c>
      <c r="E127" s="586"/>
      <c r="F127" s="586"/>
      <c r="G127" s="586"/>
      <c r="H127" s="586"/>
      <c r="I127" s="586"/>
      <c r="J127" s="586"/>
      <c r="K127" s="586"/>
      <c r="L127" s="586"/>
      <c r="M127" s="586"/>
      <c r="N127" s="586"/>
      <c r="O127" s="586"/>
      <c r="P127" s="586"/>
      <c r="Q127" s="586"/>
      <c r="R127" s="586"/>
      <c r="S127" s="586"/>
      <c r="T127" s="586"/>
      <c r="U127" s="586"/>
      <c r="V127" s="586"/>
      <c r="W127" s="586"/>
      <c r="X127" s="586"/>
      <c r="Y127" s="586"/>
      <c r="Z127" s="586"/>
      <c r="AA127" s="586"/>
      <c r="AB127" s="586"/>
      <c r="AC127" s="586"/>
      <c r="AE127" s="586"/>
      <c r="AF127" s="586"/>
      <c r="AG127" s="586"/>
      <c r="AH127" s="586"/>
      <c r="AI127" s="586"/>
      <c r="AJ127" s="586"/>
    </row>
    <row r="128" spans="1:39" x14ac:dyDescent="0.2">
      <c r="A128" s="30" t="s">
        <v>215</v>
      </c>
      <c r="B128" s="576" t="s">
        <v>64</v>
      </c>
      <c r="C128" s="589" t="s">
        <v>253</v>
      </c>
      <c r="D128" s="54">
        <v>10571</v>
      </c>
      <c r="E128" s="586" t="e">
        <f>#REF!+'Reg4(16-31)'!J13</f>
        <v>#REF!</v>
      </c>
      <c r="F128" s="586" t="e">
        <f>#REF!+'Reg4(16-31)'!K13</f>
        <v>#REF!</v>
      </c>
      <c r="G128" s="586" t="e">
        <f>#REF!+'Reg4(16-31)'!L13</f>
        <v>#REF!</v>
      </c>
      <c r="H128" s="586" t="e">
        <f>#REF!+'Reg4(16-31)'!M13</f>
        <v>#REF!</v>
      </c>
      <c r="I128" s="586"/>
      <c r="J128" s="586"/>
      <c r="K128" s="586" t="e">
        <f>#REF!+'Reg4(16-31)'!O13</f>
        <v>#REF!</v>
      </c>
      <c r="L128" s="586" t="e">
        <f>#REF!+'Reg4(16-31)'!P13</f>
        <v>#REF!</v>
      </c>
      <c r="M128" s="586" t="e">
        <f>#REF!+'Reg4(16-31)'!Q13</f>
        <v>#REF!</v>
      </c>
      <c r="N128" s="586">
        <v>100</v>
      </c>
      <c r="O128" s="586" t="e">
        <f>#REF!</f>
        <v>#REF!</v>
      </c>
      <c r="P128" s="586" t="e">
        <f>#REF!</f>
        <v>#REF!</v>
      </c>
      <c r="Q128" s="586" t="e">
        <f>SUM(E128:P128)</f>
        <v>#REF!</v>
      </c>
      <c r="R128" s="586" t="e">
        <f>#REF!</f>
        <v>#REF!</v>
      </c>
      <c r="S128" s="586" t="e">
        <f>#REF!</f>
        <v>#REF!</v>
      </c>
      <c r="T128" s="586" t="e">
        <f t="shared" ref="T128:T135" si="161">R128+S128</f>
        <v>#REF!</v>
      </c>
      <c r="U128" s="586" t="e">
        <f>#REF!+'Reg4(16-31)'!W13</f>
        <v>#REF!</v>
      </c>
      <c r="V128" s="586">
        <f>'Reg4(16-31)'!U13</f>
        <v>290.42</v>
      </c>
      <c r="W128" s="586">
        <f>'Reg4(16-31)'!V13</f>
        <v>290.42</v>
      </c>
      <c r="X128" s="586" t="e">
        <f t="shared" ref="X128:X135" si="162">SUM(U128:W128)</f>
        <v>#REF!</v>
      </c>
      <c r="Y128" s="586" t="e">
        <f>#REF!+'Reg4(16-31)'!Z13</f>
        <v>#REF!</v>
      </c>
      <c r="Z128" s="586" t="e">
        <f>#REF!+'Reg4(16-31)'!Y13</f>
        <v>#REF!</v>
      </c>
      <c r="AA128" s="586" t="e">
        <f t="shared" ref="AA128:AA135" si="163">SUM(Y128:Z128)</f>
        <v>#REF!</v>
      </c>
      <c r="AB128" s="586"/>
      <c r="AC128" s="586" t="e">
        <f t="shared" ref="AC128:AC135" si="164">Q128+T128+X128+AA128+AB128</f>
        <v>#REF!</v>
      </c>
      <c r="AE128" s="586">
        <f t="shared" ref="AE128:AE135" si="165">D128</f>
        <v>10571</v>
      </c>
      <c r="AF128" s="586" t="e">
        <f>SUM(E128:M128)+O128+R128+U128+V128+AA128+AB128</f>
        <v>#REF!</v>
      </c>
      <c r="AG128" s="586" t="e">
        <f t="shared" ref="AG128:AG135" si="166">AE128-AF128</f>
        <v>#REF!</v>
      </c>
      <c r="AH128" s="586">
        <f t="shared" ref="AH128:AH135" si="167">AE128</f>
        <v>10571</v>
      </c>
      <c r="AI128" s="586" t="e">
        <f t="shared" ref="AI128:AI135" si="168">P128+S128+W128</f>
        <v>#REF!</v>
      </c>
      <c r="AJ128" s="586" t="e">
        <f t="shared" ref="AJ128:AJ135" si="169">AH128+AI128</f>
        <v>#REF!</v>
      </c>
      <c r="AL128" s="566" t="e">
        <f>#REF!+'Reg4(16-31)'!AA13</f>
        <v>#REF!</v>
      </c>
      <c r="AM128" s="566" t="e">
        <f>AG128-AL128</f>
        <v>#REF!</v>
      </c>
    </row>
    <row r="129" spans="1:38" x14ac:dyDescent="0.2">
      <c r="A129" s="30" t="s">
        <v>84</v>
      </c>
      <c r="B129" s="576" t="s">
        <v>83</v>
      </c>
      <c r="C129" s="589" t="s">
        <v>253</v>
      </c>
      <c r="D129" s="54">
        <v>10522</v>
      </c>
      <c r="E129" s="586" t="e">
        <f>#REF!+'Reg4(16-31)'!J14</f>
        <v>#REF!</v>
      </c>
      <c r="F129" s="586" t="e">
        <f>#REF!+'Reg4(16-31)'!K14</f>
        <v>#REF!</v>
      </c>
      <c r="G129" s="586" t="e">
        <f>#REF!+'Reg4(16-31)'!L14</f>
        <v>#REF!</v>
      </c>
      <c r="H129" s="586" t="e">
        <f>#REF!+'Reg4(16-31)'!M14</f>
        <v>#REF!</v>
      </c>
      <c r="I129" s="586"/>
      <c r="J129" s="586"/>
      <c r="K129" s="586" t="e">
        <f>#REF!+'Reg4(16-31)'!O14</f>
        <v>#REF!</v>
      </c>
      <c r="L129" s="586" t="e">
        <f>#REF!+'Reg4(16-31)'!P14</f>
        <v>#REF!</v>
      </c>
      <c r="M129" s="586" t="e">
        <f>#REF!+'Reg4(16-31)'!Q14</f>
        <v>#REF!</v>
      </c>
      <c r="N129" s="586">
        <v>100</v>
      </c>
      <c r="O129" s="586" t="e">
        <f>#REF!</f>
        <v>#REF!</v>
      </c>
      <c r="P129" s="586" t="e">
        <f>#REF!</f>
        <v>#REF!</v>
      </c>
      <c r="Q129" s="586" t="e">
        <f t="shared" ref="Q129:Q135" si="170">SUM(E129:P129)</f>
        <v>#REF!</v>
      </c>
      <c r="R129" s="586" t="e">
        <f>#REF!</f>
        <v>#REF!</v>
      </c>
      <c r="S129" s="586" t="e">
        <f>#REF!</f>
        <v>#REF!</v>
      </c>
      <c r="T129" s="586" t="e">
        <f t="shared" si="161"/>
        <v>#REF!</v>
      </c>
      <c r="U129" s="586" t="e">
        <f>#REF!+'Reg4(16-31)'!W14</f>
        <v>#REF!</v>
      </c>
      <c r="V129" s="586">
        <f>'Reg4(16-31)'!U14</f>
        <v>283.78000000000003</v>
      </c>
      <c r="W129" s="586">
        <f>'Reg4(16-31)'!V14</f>
        <v>283.78000000000003</v>
      </c>
      <c r="X129" s="586" t="e">
        <f t="shared" si="162"/>
        <v>#REF!</v>
      </c>
      <c r="Y129" s="586" t="e">
        <f>#REF!+'Reg4(16-31)'!Z14</f>
        <v>#REF!</v>
      </c>
      <c r="Z129" s="586" t="e">
        <f>#REF!+'Reg4(16-31)'!Y14</f>
        <v>#REF!</v>
      </c>
      <c r="AA129" s="586" t="e">
        <f t="shared" si="163"/>
        <v>#REF!</v>
      </c>
      <c r="AB129" s="586"/>
      <c r="AC129" s="586" t="e">
        <f t="shared" si="164"/>
        <v>#REF!</v>
      </c>
      <c r="AE129" s="586">
        <f t="shared" si="165"/>
        <v>10522</v>
      </c>
      <c r="AF129" s="586" t="e">
        <f t="shared" ref="AF129:AF135" si="171">SUM(E129:M129)+O129+R129+U129+V129+AA129+AB129</f>
        <v>#REF!</v>
      </c>
      <c r="AG129" s="586" t="e">
        <f t="shared" si="166"/>
        <v>#REF!</v>
      </c>
      <c r="AH129" s="586">
        <f t="shared" si="167"/>
        <v>10522</v>
      </c>
      <c r="AI129" s="586" t="e">
        <f t="shared" si="168"/>
        <v>#REF!</v>
      </c>
      <c r="AJ129" s="586" t="e">
        <f t="shared" si="169"/>
        <v>#REF!</v>
      </c>
      <c r="AL129" s="566" t="e">
        <f>#REF!+'Reg4(16-31)'!AA14</f>
        <v>#REF!</v>
      </c>
    </row>
    <row r="130" spans="1:38" x14ac:dyDescent="0.2">
      <c r="A130" s="30" t="s">
        <v>86</v>
      </c>
      <c r="B130" s="576" t="s">
        <v>83</v>
      </c>
      <c r="C130" s="589" t="s">
        <v>253</v>
      </c>
      <c r="D130" s="54">
        <v>10522</v>
      </c>
      <c r="E130" s="586" t="e">
        <f>#REF!+'Reg4(16-31)'!P15</f>
        <v>#REF!</v>
      </c>
      <c r="F130" s="586" t="e">
        <f>#REF!+'Reg4(16-31)'!K15</f>
        <v>#REF!</v>
      </c>
      <c r="G130" s="586" t="e">
        <f>#REF!+'Reg4(16-31)'!L15</f>
        <v>#REF!</v>
      </c>
      <c r="H130" s="586" t="e">
        <f>#REF!+'Reg4(16-31)'!M15</f>
        <v>#REF!</v>
      </c>
      <c r="I130" s="586"/>
      <c r="J130" s="586"/>
      <c r="K130" s="586" t="e">
        <f>#REF!+'Reg4(16-31)'!O15</f>
        <v>#REF!</v>
      </c>
      <c r="L130" s="586" t="e">
        <f>#REF!+'Reg4(16-31)'!#REF!</f>
        <v>#REF!</v>
      </c>
      <c r="M130" s="586" t="e">
        <f>#REF!+'Reg4(16-31)'!Q15</f>
        <v>#REF!</v>
      </c>
      <c r="N130" s="586">
        <v>100</v>
      </c>
      <c r="O130" s="586" t="e">
        <f>#REF!</f>
        <v>#REF!</v>
      </c>
      <c r="P130" s="586" t="e">
        <f>#REF!</f>
        <v>#REF!</v>
      </c>
      <c r="Q130" s="586" t="e">
        <f t="shared" si="170"/>
        <v>#REF!</v>
      </c>
      <c r="R130" s="586" t="e">
        <f>#REF!</f>
        <v>#REF!</v>
      </c>
      <c r="S130" s="586" t="e">
        <f>#REF!</f>
        <v>#REF!</v>
      </c>
      <c r="T130" s="586" t="e">
        <f t="shared" si="161"/>
        <v>#REF!</v>
      </c>
      <c r="U130" s="586" t="e">
        <f>#REF!+'Reg4(16-31)'!W15</f>
        <v>#REF!</v>
      </c>
      <c r="V130" s="586">
        <f>'Reg4(16-31)'!U15</f>
        <v>283.78000000000003</v>
      </c>
      <c r="W130" s="586">
        <f>'Reg4(16-31)'!V15</f>
        <v>283.78000000000003</v>
      </c>
      <c r="X130" s="586" t="e">
        <f t="shared" si="162"/>
        <v>#REF!</v>
      </c>
      <c r="Y130" s="586" t="e">
        <f>#REF!+'Reg4(16-31)'!Z15</f>
        <v>#REF!</v>
      </c>
      <c r="Z130" s="586" t="e">
        <f>#REF!+'Reg4(16-31)'!Y15</f>
        <v>#REF!</v>
      </c>
      <c r="AA130" s="586" t="e">
        <f t="shared" si="163"/>
        <v>#REF!</v>
      </c>
      <c r="AB130" s="586"/>
      <c r="AC130" s="586" t="e">
        <f t="shared" si="164"/>
        <v>#REF!</v>
      </c>
      <c r="AE130" s="586">
        <f t="shared" si="165"/>
        <v>10522</v>
      </c>
      <c r="AF130" s="586" t="e">
        <f t="shared" si="171"/>
        <v>#REF!</v>
      </c>
      <c r="AG130" s="586" t="e">
        <f t="shared" si="166"/>
        <v>#REF!</v>
      </c>
      <c r="AH130" s="586">
        <f t="shared" si="167"/>
        <v>10522</v>
      </c>
      <c r="AI130" s="586" t="e">
        <f t="shared" si="168"/>
        <v>#REF!</v>
      </c>
      <c r="AJ130" s="586" t="e">
        <f t="shared" si="169"/>
        <v>#REF!</v>
      </c>
      <c r="AL130" s="566" t="e">
        <f>#REF!+'Reg4(16-31)'!AA15</f>
        <v>#REF!</v>
      </c>
    </row>
    <row r="131" spans="1:38" x14ac:dyDescent="0.2">
      <c r="A131" s="30" t="s">
        <v>85</v>
      </c>
      <c r="B131" s="576" t="s">
        <v>83</v>
      </c>
      <c r="C131" s="589" t="s">
        <v>253</v>
      </c>
      <c r="D131" s="54">
        <v>9926</v>
      </c>
      <c r="E131" s="586" t="e">
        <f>#REF!+'Reg4(16-31)'!J17</f>
        <v>#REF!</v>
      </c>
      <c r="F131" s="586" t="e">
        <f>#REF!+'Reg4(16-31)'!K17</f>
        <v>#REF!</v>
      </c>
      <c r="G131" s="586" t="e">
        <f>#REF!+'Reg4(16-31)'!L17</f>
        <v>#REF!</v>
      </c>
      <c r="H131" s="586" t="e">
        <f>#REF!+'Reg4(16-31)'!M17</f>
        <v>#REF!</v>
      </c>
      <c r="I131" s="586"/>
      <c r="J131" s="586"/>
      <c r="K131" s="586" t="e">
        <f>#REF!+'Reg4(16-31)'!O17</f>
        <v>#REF!</v>
      </c>
      <c r="L131" s="586" t="e">
        <f>#REF!+'Reg4(16-31)'!P17</f>
        <v>#REF!</v>
      </c>
      <c r="M131" s="586" t="e">
        <f>#REF!+'Reg4(16-31)'!Q17</f>
        <v>#REF!</v>
      </c>
      <c r="N131" s="586">
        <v>99.26</v>
      </c>
      <c r="O131" s="586" t="e">
        <f>#REF!</f>
        <v>#REF!</v>
      </c>
      <c r="P131" s="586" t="e">
        <f>#REF!</f>
        <v>#REF!</v>
      </c>
      <c r="Q131" s="586" t="e">
        <f t="shared" si="170"/>
        <v>#REF!</v>
      </c>
      <c r="R131" s="586" t="e">
        <f>#REF!</f>
        <v>#REF!</v>
      </c>
      <c r="S131" s="586" t="e">
        <f>#REF!</f>
        <v>#REF!</v>
      </c>
      <c r="T131" s="586" t="e">
        <f t="shared" si="161"/>
        <v>#REF!</v>
      </c>
      <c r="U131" s="586" t="e">
        <f>#REF!+'Reg4(16-31)'!W17</f>
        <v>#REF!</v>
      </c>
      <c r="V131" s="586">
        <f>'Reg4(16-31)'!U17</f>
        <v>267.14</v>
      </c>
      <c r="W131" s="586">
        <f>'Reg4(16-31)'!V17</f>
        <v>267.14</v>
      </c>
      <c r="X131" s="586" t="e">
        <f t="shared" si="162"/>
        <v>#REF!</v>
      </c>
      <c r="Y131" s="586" t="e">
        <f>#REF!+'Reg4(16-31)'!Z17</f>
        <v>#REF!</v>
      </c>
      <c r="Z131" s="586" t="e">
        <f>#REF!+'Reg4(16-31)'!Y17</f>
        <v>#REF!</v>
      </c>
      <c r="AA131" s="586" t="e">
        <f t="shared" si="163"/>
        <v>#REF!</v>
      </c>
      <c r="AB131" s="586"/>
      <c r="AC131" s="586" t="e">
        <f t="shared" si="164"/>
        <v>#REF!</v>
      </c>
      <c r="AE131" s="586">
        <f t="shared" si="165"/>
        <v>9926</v>
      </c>
      <c r="AF131" s="586" t="e">
        <f t="shared" si="171"/>
        <v>#REF!</v>
      </c>
      <c r="AG131" s="586" t="e">
        <f t="shared" si="166"/>
        <v>#REF!</v>
      </c>
      <c r="AH131" s="586">
        <f t="shared" si="167"/>
        <v>9926</v>
      </c>
      <c r="AI131" s="586" t="e">
        <f t="shared" si="168"/>
        <v>#REF!</v>
      </c>
      <c r="AJ131" s="586" t="e">
        <f t="shared" si="169"/>
        <v>#REF!</v>
      </c>
      <c r="AL131" s="566" t="e">
        <f>#REF!+'Reg4(16-31)'!AA17</f>
        <v>#REF!</v>
      </c>
    </row>
    <row r="132" spans="1:38" x14ac:dyDescent="0.2">
      <c r="A132" s="30" t="s">
        <v>459</v>
      </c>
      <c r="B132" s="576" t="s">
        <v>446</v>
      </c>
      <c r="C132" s="589" t="s">
        <v>253</v>
      </c>
      <c r="D132" s="54">
        <v>9973</v>
      </c>
      <c r="E132" s="586" t="e">
        <f>#REF!+'Reg4(16-31)'!#REF!</f>
        <v>#REF!</v>
      </c>
      <c r="F132" s="586" t="e">
        <f>#REF!+'Reg4(16-31)'!#REF!</f>
        <v>#REF!</v>
      </c>
      <c r="G132" s="586" t="e">
        <f>#REF!+'Reg4(16-31)'!#REF!</f>
        <v>#REF!</v>
      </c>
      <c r="H132" s="586" t="e">
        <f>#REF!+'Reg4(16-31)'!#REF!</f>
        <v>#REF!</v>
      </c>
      <c r="I132" s="586"/>
      <c r="J132" s="586"/>
      <c r="K132" s="586" t="e">
        <f>#REF!+'Reg4(16-31)'!#REF!</f>
        <v>#REF!</v>
      </c>
      <c r="L132" s="586" t="e">
        <f>#REF!+'Reg4(16-31)'!#REF!</f>
        <v>#REF!</v>
      </c>
      <c r="M132" s="586" t="e">
        <f>#REF!+'Reg4(16-31)'!#REF!</f>
        <v>#REF!</v>
      </c>
      <c r="N132" s="586">
        <v>99.73</v>
      </c>
      <c r="O132" s="586" t="e">
        <f>#REF!</f>
        <v>#REF!</v>
      </c>
      <c r="P132" s="586" t="e">
        <f>#REF!</f>
        <v>#REF!</v>
      </c>
      <c r="Q132" s="586" t="e">
        <f t="shared" si="170"/>
        <v>#REF!</v>
      </c>
      <c r="R132" s="586" t="e">
        <f>#REF!</f>
        <v>#REF!</v>
      </c>
      <c r="S132" s="586" t="e">
        <f>#REF!</f>
        <v>#REF!</v>
      </c>
      <c r="T132" s="586" t="e">
        <f t="shared" si="161"/>
        <v>#REF!</v>
      </c>
      <c r="U132" s="586" t="e">
        <f>#REF!+'Reg4(16-31)'!#REF!</f>
        <v>#REF!</v>
      </c>
      <c r="V132" s="586" t="e">
        <f>'Reg4(16-31)'!#REF!</f>
        <v>#REF!</v>
      </c>
      <c r="W132" s="586" t="e">
        <f>'Reg4(16-31)'!#REF!</f>
        <v>#REF!</v>
      </c>
      <c r="X132" s="586" t="e">
        <f t="shared" si="162"/>
        <v>#REF!</v>
      </c>
      <c r="Y132" s="602" t="e">
        <f>#REF!+'Reg4(16-31)'!#REF!</f>
        <v>#REF!</v>
      </c>
      <c r="Z132" s="586" t="e">
        <f>#REF!+'Reg4(16-31)'!#REF!</f>
        <v>#REF!</v>
      </c>
      <c r="AA132" s="586" t="e">
        <f t="shared" si="163"/>
        <v>#REF!</v>
      </c>
      <c r="AB132" s="586"/>
      <c r="AC132" s="586" t="e">
        <f t="shared" si="164"/>
        <v>#REF!</v>
      </c>
      <c r="AE132" s="586">
        <f t="shared" si="165"/>
        <v>9973</v>
      </c>
      <c r="AF132" s="586" t="e">
        <f t="shared" si="171"/>
        <v>#REF!</v>
      </c>
      <c r="AG132" s="586" t="e">
        <f t="shared" si="166"/>
        <v>#REF!</v>
      </c>
      <c r="AH132" s="586">
        <f t="shared" si="167"/>
        <v>9973</v>
      </c>
      <c r="AI132" s="586" t="e">
        <f t="shared" si="168"/>
        <v>#REF!</v>
      </c>
      <c r="AJ132" s="586" t="e">
        <f t="shared" si="169"/>
        <v>#REF!</v>
      </c>
      <c r="AL132" s="566" t="e">
        <f>#REF!+'Reg4(16-31)'!#REF!</f>
        <v>#REF!</v>
      </c>
    </row>
    <row r="133" spans="1:38" x14ac:dyDescent="0.2">
      <c r="A133" s="30" t="s">
        <v>461</v>
      </c>
      <c r="B133" s="576" t="s">
        <v>446</v>
      </c>
      <c r="C133" s="589" t="s">
        <v>253</v>
      </c>
      <c r="D133" s="54">
        <v>9973</v>
      </c>
      <c r="E133" s="586" t="e">
        <f>#REF!+'Reg4(16-31)'!J18</f>
        <v>#REF!</v>
      </c>
      <c r="F133" s="586" t="e">
        <f>#REF!+'Reg4(16-31)'!K18</f>
        <v>#REF!</v>
      </c>
      <c r="G133" s="586" t="e">
        <f>#REF!+'Reg4(16-31)'!L18</f>
        <v>#REF!</v>
      </c>
      <c r="H133" s="586" t="e">
        <f>#REF!+'Reg4(16-31)'!M18</f>
        <v>#REF!</v>
      </c>
      <c r="I133" s="586"/>
      <c r="J133" s="586"/>
      <c r="K133" s="586" t="e">
        <f>#REF!+'Reg4(16-31)'!O18</f>
        <v>#REF!</v>
      </c>
      <c r="L133" s="586" t="e">
        <f>#REF!+'Reg4(16-31)'!P18</f>
        <v>#REF!</v>
      </c>
      <c r="M133" s="586" t="e">
        <f>#REF!+'Reg4(16-31)'!Q18</f>
        <v>#REF!</v>
      </c>
      <c r="N133" s="586">
        <v>99.73</v>
      </c>
      <c r="O133" s="586" t="e">
        <f>#REF!</f>
        <v>#REF!</v>
      </c>
      <c r="P133" s="586" t="e">
        <f>#REF!</f>
        <v>#REF!</v>
      </c>
      <c r="Q133" s="586" t="e">
        <f t="shared" si="170"/>
        <v>#REF!</v>
      </c>
      <c r="R133" s="586" t="e">
        <f>#REF!</f>
        <v>#REF!</v>
      </c>
      <c r="S133" s="586" t="e">
        <f>#REF!</f>
        <v>#REF!</v>
      </c>
      <c r="T133" s="586" t="e">
        <f t="shared" si="161"/>
        <v>#REF!</v>
      </c>
      <c r="U133" s="586" t="e">
        <f>#REF!+'Reg4(16-31)'!W18</f>
        <v>#REF!</v>
      </c>
      <c r="V133" s="586">
        <f>'Reg4(16-31)'!U18</f>
        <v>273.5</v>
      </c>
      <c r="W133" s="586">
        <f>'Reg4(16-31)'!V18</f>
        <v>273.5</v>
      </c>
      <c r="X133" s="586" t="e">
        <f t="shared" si="162"/>
        <v>#REF!</v>
      </c>
      <c r="Y133" s="602" t="e">
        <f>#REF!+'Reg4(16-31)'!Z18</f>
        <v>#REF!</v>
      </c>
      <c r="Z133" s="586" t="e">
        <f>#REF!+'Reg4(16-31)'!Y18</f>
        <v>#REF!</v>
      </c>
      <c r="AA133" s="586" t="e">
        <f t="shared" si="163"/>
        <v>#REF!</v>
      </c>
      <c r="AB133" s="586"/>
      <c r="AC133" s="586" t="e">
        <f t="shared" si="164"/>
        <v>#REF!</v>
      </c>
      <c r="AE133" s="586">
        <f t="shared" si="165"/>
        <v>9973</v>
      </c>
      <c r="AF133" s="586" t="e">
        <f t="shared" si="171"/>
        <v>#REF!</v>
      </c>
      <c r="AG133" s="586" t="e">
        <f t="shared" si="166"/>
        <v>#REF!</v>
      </c>
      <c r="AH133" s="586">
        <f t="shared" si="167"/>
        <v>9973</v>
      </c>
      <c r="AI133" s="586" t="e">
        <f t="shared" si="168"/>
        <v>#REF!</v>
      </c>
      <c r="AJ133" s="586" t="e">
        <f t="shared" si="169"/>
        <v>#REF!</v>
      </c>
      <c r="AL133" s="566" t="e">
        <f>#REF!+'Reg4(16-31)'!AA18</f>
        <v>#REF!</v>
      </c>
    </row>
    <row r="134" spans="1:38" x14ac:dyDescent="0.2">
      <c r="A134" s="30" t="s">
        <v>462</v>
      </c>
      <c r="B134" s="576" t="s">
        <v>446</v>
      </c>
      <c r="C134" s="589" t="s">
        <v>253</v>
      </c>
      <c r="D134" s="54">
        <v>9973</v>
      </c>
      <c r="E134" s="586" t="e">
        <f>#REF!+'Reg4(16-31)'!J19</f>
        <v>#REF!</v>
      </c>
      <c r="F134" s="586" t="e">
        <f>#REF!+'Reg4(16-31)'!K19</f>
        <v>#REF!</v>
      </c>
      <c r="G134" s="586" t="e">
        <f>#REF!+'Reg4(16-31)'!L19</f>
        <v>#REF!</v>
      </c>
      <c r="H134" s="586" t="e">
        <f>#REF!+'Reg4(16-31)'!M19</f>
        <v>#REF!</v>
      </c>
      <c r="I134" s="586"/>
      <c r="J134" s="586"/>
      <c r="K134" s="586" t="e">
        <f>#REF!+'Reg4(16-31)'!O19</f>
        <v>#REF!</v>
      </c>
      <c r="L134" s="586" t="e">
        <f>#REF!+'Reg4(16-31)'!P19</f>
        <v>#REF!</v>
      </c>
      <c r="M134" s="586" t="e">
        <f>#REF!+'Reg4(16-31)'!Q19</f>
        <v>#REF!</v>
      </c>
      <c r="N134" s="586">
        <v>99.73</v>
      </c>
      <c r="O134" s="586" t="e">
        <f>#REF!</f>
        <v>#REF!</v>
      </c>
      <c r="P134" s="586" t="e">
        <f>#REF!</f>
        <v>#REF!</v>
      </c>
      <c r="Q134" s="586" t="e">
        <f t="shared" si="170"/>
        <v>#REF!</v>
      </c>
      <c r="R134" s="586" t="e">
        <f>#REF!</f>
        <v>#REF!</v>
      </c>
      <c r="S134" s="586" t="e">
        <f>#REF!</f>
        <v>#REF!</v>
      </c>
      <c r="T134" s="586" t="e">
        <f t="shared" si="161"/>
        <v>#REF!</v>
      </c>
      <c r="U134" s="586" t="e">
        <f>#REF!+'Reg4(16-31)'!W19</f>
        <v>#REF!</v>
      </c>
      <c r="V134" s="586">
        <f>'Reg4(16-31)'!U19</f>
        <v>273.5</v>
      </c>
      <c r="W134" s="586">
        <f>'Reg4(16-31)'!V19</f>
        <v>273.5</v>
      </c>
      <c r="X134" s="586" t="e">
        <f t="shared" si="162"/>
        <v>#REF!</v>
      </c>
      <c r="Y134" s="602" t="e">
        <f>#REF!+'Reg4(16-31)'!Z19</f>
        <v>#REF!</v>
      </c>
      <c r="Z134" s="586" t="e">
        <f>#REF!+'Reg4(16-31)'!Y19</f>
        <v>#REF!</v>
      </c>
      <c r="AA134" s="586" t="e">
        <f t="shared" si="163"/>
        <v>#REF!</v>
      </c>
      <c r="AB134" s="586"/>
      <c r="AC134" s="586" t="e">
        <f t="shared" si="164"/>
        <v>#REF!</v>
      </c>
      <c r="AE134" s="586">
        <f t="shared" si="165"/>
        <v>9973</v>
      </c>
      <c r="AF134" s="586" t="e">
        <f t="shared" si="171"/>
        <v>#REF!</v>
      </c>
      <c r="AG134" s="586" t="e">
        <f t="shared" si="166"/>
        <v>#REF!</v>
      </c>
      <c r="AH134" s="586">
        <f t="shared" si="167"/>
        <v>9973</v>
      </c>
      <c r="AI134" s="586" t="e">
        <f t="shared" si="168"/>
        <v>#REF!</v>
      </c>
      <c r="AJ134" s="586" t="e">
        <f t="shared" si="169"/>
        <v>#REF!</v>
      </c>
      <c r="AL134" s="566" t="e">
        <f>#REF!+'Reg4(16-31)'!AA19</f>
        <v>#REF!</v>
      </c>
    </row>
    <row r="135" spans="1:38" x14ac:dyDescent="0.2">
      <c r="A135" s="30" t="s">
        <v>460</v>
      </c>
      <c r="B135" s="576" t="s">
        <v>446</v>
      </c>
      <c r="C135" s="589" t="s">
        <v>253</v>
      </c>
      <c r="D135" s="59">
        <v>9973</v>
      </c>
      <c r="E135" s="586" t="e">
        <f>#REF!+'Reg4(16-31)'!J20</f>
        <v>#REF!</v>
      </c>
      <c r="F135" s="586" t="e">
        <f>#REF!+'Reg4(16-31)'!K20</f>
        <v>#REF!</v>
      </c>
      <c r="G135" s="586" t="e">
        <f>#REF!+'Reg4(16-31)'!L20</f>
        <v>#REF!</v>
      </c>
      <c r="H135" s="586" t="e">
        <f>#REF!+'Reg4(16-31)'!M20</f>
        <v>#REF!</v>
      </c>
      <c r="I135" s="586"/>
      <c r="J135" s="586"/>
      <c r="K135" s="586" t="e">
        <f>#REF!+'Reg4(16-31)'!O20</f>
        <v>#REF!</v>
      </c>
      <c r="L135" s="586" t="e">
        <f>#REF!+'Reg4(16-31)'!P20</f>
        <v>#REF!</v>
      </c>
      <c r="M135" s="586" t="e">
        <f>#REF!+'Reg4(16-31)'!Q20</f>
        <v>#REF!</v>
      </c>
      <c r="N135" s="586">
        <v>99.73</v>
      </c>
      <c r="O135" s="586" t="e">
        <f>#REF!</f>
        <v>#REF!</v>
      </c>
      <c r="P135" s="586" t="e">
        <f>#REF!</f>
        <v>#REF!</v>
      </c>
      <c r="Q135" s="586" t="e">
        <f t="shared" si="170"/>
        <v>#REF!</v>
      </c>
      <c r="R135" s="586" t="e">
        <f>#REF!</f>
        <v>#REF!</v>
      </c>
      <c r="S135" s="586" t="e">
        <f>#REF!</f>
        <v>#REF!</v>
      </c>
      <c r="T135" s="586" t="e">
        <f t="shared" si="161"/>
        <v>#REF!</v>
      </c>
      <c r="U135" s="586" t="e">
        <f>#REF!+'Reg4(16-31)'!W20</f>
        <v>#REF!</v>
      </c>
      <c r="V135" s="586">
        <f>'Reg4(16-31)'!U20</f>
        <v>271.5</v>
      </c>
      <c r="W135" s="586">
        <f>'Reg4(16-31)'!V20</f>
        <v>271.5</v>
      </c>
      <c r="X135" s="586" t="e">
        <f t="shared" si="162"/>
        <v>#REF!</v>
      </c>
      <c r="Y135" s="586" t="e">
        <f>#REF!+'Reg4(16-31)'!Z20</f>
        <v>#REF!</v>
      </c>
      <c r="Z135" s="586" t="e">
        <f>#REF!+'Reg4(16-31)'!Y20</f>
        <v>#REF!</v>
      </c>
      <c r="AA135" s="586" t="e">
        <f t="shared" si="163"/>
        <v>#REF!</v>
      </c>
      <c r="AB135" s="586"/>
      <c r="AC135" s="586" t="e">
        <f t="shared" si="164"/>
        <v>#REF!</v>
      </c>
      <c r="AE135" s="586">
        <f t="shared" si="165"/>
        <v>9973</v>
      </c>
      <c r="AF135" s="586" t="e">
        <f t="shared" si="171"/>
        <v>#REF!</v>
      </c>
      <c r="AG135" s="586" t="e">
        <f t="shared" si="166"/>
        <v>#REF!</v>
      </c>
      <c r="AH135" s="586">
        <f t="shared" si="167"/>
        <v>9973</v>
      </c>
      <c r="AI135" s="586" t="e">
        <f t="shared" si="168"/>
        <v>#REF!</v>
      </c>
      <c r="AJ135" s="586" t="e">
        <f t="shared" si="169"/>
        <v>#REF!</v>
      </c>
      <c r="AL135" s="566" t="e">
        <f>#REF!+'Reg4(16-31)'!AA20</f>
        <v>#REF!</v>
      </c>
    </row>
    <row r="136" spans="1:38" ht="13.5" thickBot="1" x14ac:dyDescent="0.25">
      <c r="A136" s="30"/>
      <c r="B136" s="576"/>
      <c r="C136" s="586"/>
      <c r="D136" s="157">
        <f t="shared" ref="D136:AC136" si="172">SUM(D128:D135)</f>
        <v>81433</v>
      </c>
      <c r="E136" s="157" t="e">
        <f t="shared" si="172"/>
        <v>#REF!</v>
      </c>
      <c r="F136" s="157" t="e">
        <f t="shared" si="172"/>
        <v>#REF!</v>
      </c>
      <c r="G136" s="157" t="e">
        <f t="shared" si="172"/>
        <v>#REF!</v>
      </c>
      <c r="H136" s="157" t="e">
        <f t="shared" si="172"/>
        <v>#REF!</v>
      </c>
      <c r="I136" s="157">
        <f t="shared" si="172"/>
        <v>0</v>
      </c>
      <c r="J136" s="157">
        <f t="shared" si="172"/>
        <v>0</v>
      </c>
      <c r="K136" s="157" t="e">
        <f t="shared" si="172"/>
        <v>#REF!</v>
      </c>
      <c r="L136" s="157" t="e">
        <f t="shared" si="172"/>
        <v>#REF!</v>
      </c>
      <c r="M136" s="157" t="e">
        <f t="shared" si="172"/>
        <v>#REF!</v>
      </c>
      <c r="N136" s="157">
        <f>SUM(N128:N135)</f>
        <v>798.18000000000006</v>
      </c>
      <c r="O136" s="157" t="e">
        <f t="shared" si="172"/>
        <v>#REF!</v>
      </c>
      <c r="P136" s="157" t="e">
        <f t="shared" si="172"/>
        <v>#REF!</v>
      </c>
      <c r="Q136" s="157" t="e">
        <f t="shared" si="172"/>
        <v>#REF!</v>
      </c>
      <c r="R136" s="157" t="e">
        <f t="shared" si="172"/>
        <v>#REF!</v>
      </c>
      <c r="S136" s="157" t="e">
        <f t="shared" si="172"/>
        <v>#REF!</v>
      </c>
      <c r="T136" s="157" t="e">
        <f t="shared" si="172"/>
        <v>#REF!</v>
      </c>
      <c r="U136" s="157" t="e">
        <f t="shared" si="172"/>
        <v>#REF!</v>
      </c>
      <c r="V136" s="157" t="e">
        <f t="shared" si="172"/>
        <v>#REF!</v>
      </c>
      <c r="W136" s="157" t="e">
        <f t="shared" si="172"/>
        <v>#REF!</v>
      </c>
      <c r="X136" s="157" t="e">
        <f t="shared" si="172"/>
        <v>#REF!</v>
      </c>
      <c r="Y136" s="157" t="e">
        <f t="shared" si="172"/>
        <v>#REF!</v>
      </c>
      <c r="Z136" s="157" t="e">
        <f t="shared" si="172"/>
        <v>#REF!</v>
      </c>
      <c r="AA136" s="157" t="e">
        <f t="shared" si="172"/>
        <v>#REF!</v>
      </c>
      <c r="AB136" s="157">
        <f t="shared" si="172"/>
        <v>0</v>
      </c>
      <c r="AC136" s="157" t="e">
        <f t="shared" si="172"/>
        <v>#REF!</v>
      </c>
      <c r="AE136" s="601">
        <f>SUM(AE128:AE135)</f>
        <v>81433</v>
      </c>
      <c r="AF136" s="586"/>
      <c r="AG136" s="586"/>
      <c r="AH136" s="586"/>
      <c r="AI136" s="586"/>
      <c r="AJ136" s="586"/>
    </row>
    <row r="137" spans="1:38" ht="13.5" thickTop="1" x14ac:dyDescent="0.2">
      <c r="A137" s="194" t="s">
        <v>91</v>
      </c>
      <c r="B137" s="576"/>
      <c r="C137" s="586"/>
      <c r="E137" s="586"/>
      <c r="F137" s="586"/>
      <c r="G137" s="586"/>
      <c r="H137" s="586"/>
      <c r="I137" s="586"/>
      <c r="J137" s="586"/>
      <c r="K137" s="586"/>
      <c r="L137" s="586"/>
      <c r="M137" s="586"/>
      <c r="N137" s="586"/>
      <c r="O137" s="586"/>
      <c r="P137" s="586"/>
      <c r="Q137" s="586"/>
      <c r="R137" s="586"/>
      <c r="S137" s="586"/>
      <c r="T137" s="586"/>
      <c r="U137" s="586"/>
      <c r="V137" s="586"/>
      <c r="W137" s="586"/>
      <c r="X137" s="586"/>
      <c r="Y137" s="586"/>
      <c r="Z137" s="586"/>
      <c r="AA137" s="586"/>
      <c r="AB137" s="586"/>
      <c r="AC137" s="586"/>
      <c r="AE137" s="586"/>
      <c r="AF137" s="586"/>
      <c r="AG137" s="586"/>
      <c r="AH137" s="586"/>
      <c r="AI137" s="586"/>
      <c r="AJ137" s="586"/>
    </row>
    <row r="138" spans="1:38" x14ac:dyDescent="0.2">
      <c r="A138" s="30" t="s">
        <v>201</v>
      </c>
      <c r="B138" s="576" t="s">
        <v>243</v>
      </c>
      <c r="C138" s="588" t="s">
        <v>575</v>
      </c>
      <c r="D138" s="54">
        <v>68921</v>
      </c>
      <c r="E138" s="586" t="e">
        <f>#REF!+'Reg4(16-31)'!J25</f>
        <v>#REF!</v>
      </c>
      <c r="F138" s="586" t="e">
        <f>#REF!+'Reg4(16-31)'!K25</f>
        <v>#REF!</v>
      </c>
      <c r="G138" s="586" t="e">
        <f>#REF!+'Reg4(16-31)'!L25</f>
        <v>#REF!</v>
      </c>
      <c r="H138" s="586" t="e">
        <f>#REF!+'Reg4(16-31)'!M25</f>
        <v>#REF!</v>
      </c>
      <c r="I138" s="586"/>
      <c r="J138" s="586"/>
      <c r="K138" s="586" t="e">
        <f>#REF!+'Reg4(16-31)'!O25</f>
        <v>#REF!</v>
      </c>
      <c r="L138" s="586" t="e">
        <f>#REF!+'Reg4(16-31)'!P25</f>
        <v>#REF!</v>
      </c>
      <c r="M138" s="586" t="e">
        <f>#REF!+'Reg4(16-31)'!Q25</f>
        <v>#REF!</v>
      </c>
      <c r="N138" s="586">
        <v>100</v>
      </c>
      <c r="O138" s="586" t="e">
        <f>#REF!</f>
        <v>#REF!</v>
      </c>
      <c r="P138" s="586" t="e">
        <f>#REF!</f>
        <v>#REF!</v>
      </c>
      <c r="Q138" s="586" t="e">
        <f t="shared" ref="Q138:Q141" si="173">SUM(E138:P138)</f>
        <v>#REF!</v>
      </c>
      <c r="R138" s="586" t="e">
        <f>#REF!</f>
        <v>#REF!</v>
      </c>
      <c r="S138" s="586" t="e">
        <f>#REF!</f>
        <v>#REF!</v>
      </c>
      <c r="T138" s="586" t="e">
        <f t="shared" ref="T138:T141" si="174">R138+S138</f>
        <v>#REF!</v>
      </c>
      <c r="U138" s="586" t="e">
        <f>#REF!</f>
        <v>#REF!</v>
      </c>
      <c r="V138" s="586">
        <f>'Reg4(16-31)'!U25</f>
        <v>1804.1000000000001</v>
      </c>
      <c r="W138" s="586">
        <f>'Reg4(16-31)'!V25</f>
        <v>1804.1000000000001</v>
      </c>
      <c r="X138" s="586" t="e">
        <f t="shared" ref="X138:X141" si="175">SUM(U138:W138)</f>
        <v>#REF!</v>
      </c>
      <c r="Y138" s="586" t="e">
        <f>#REF!+'Reg4(16-31)'!Z25</f>
        <v>#REF!</v>
      </c>
      <c r="Z138" s="586" t="e">
        <f>#REF!+'Reg4(16-31)'!Y25</f>
        <v>#REF!</v>
      </c>
      <c r="AA138" s="586" t="e">
        <f t="shared" ref="AA138:AA141" si="176">SUM(Y138:Z138)</f>
        <v>#REF!</v>
      </c>
      <c r="AB138" s="586">
        <f>'Reg4(16-31)'!T25</f>
        <v>11381.83</v>
      </c>
      <c r="AC138" s="586" t="e">
        <f t="shared" ref="AC138:AC141" si="177">Q138+T138+X138+AA138+AB138</f>
        <v>#REF!</v>
      </c>
      <c r="AE138" s="586">
        <f t="shared" ref="AE138:AE141" si="178">D138</f>
        <v>68921</v>
      </c>
      <c r="AF138" s="586" t="e">
        <f t="shared" ref="AF138:AF141" si="179">SUM(E138:M138)+O138+R138+U138+V138+AA138+AB138</f>
        <v>#REF!</v>
      </c>
      <c r="AG138" s="586" t="e">
        <f t="shared" ref="AG138:AG141" si="180">AE138-AF138</f>
        <v>#REF!</v>
      </c>
      <c r="AH138" s="586">
        <f t="shared" ref="AH138:AH141" si="181">AE138</f>
        <v>68921</v>
      </c>
      <c r="AI138" s="586" t="e">
        <f t="shared" ref="AI138:AI141" si="182">P138+S138+W138</f>
        <v>#REF!</v>
      </c>
      <c r="AJ138" s="586" t="e">
        <f t="shared" ref="AJ138:AJ141" si="183">AH138+AI138</f>
        <v>#REF!</v>
      </c>
      <c r="AL138" s="566" t="e">
        <f>#REF!+'Reg4(16-31)'!AA25</f>
        <v>#REF!</v>
      </c>
    </row>
    <row r="139" spans="1:38" x14ac:dyDescent="0.2">
      <c r="A139" s="30" t="s">
        <v>216</v>
      </c>
      <c r="B139" s="576" t="s">
        <v>92</v>
      </c>
      <c r="C139" s="589" t="s">
        <v>253</v>
      </c>
      <c r="D139" s="59">
        <v>10734</v>
      </c>
      <c r="E139" s="586" t="e">
        <f>#REF!+'Reg4(16-31)'!#REF!</f>
        <v>#REF!</v>
      </c>
      <c r="F139" s="586" t="e">
        <f>#REF!+'Reg4(16-31)'!#REF!</f>
        <v>#REF!</v>
      </c>
      <c r="G139" s="586" t="e">
        <f>#REF!+'Reg4(16-31)'!#REF!</f>
        <v>#REF!</v>
      </c>
      <c r="H139" s="586" t="e">
        <f>#REF!+'Reg4(16-31)'!#REF!</f>
        <v>#REF!</v>
      </c>
      <c r="I139" s="586"/>
      <c r="J139" s="586"/>
      <c r="K139" s="586" t="e">
        <f>#REF!+'Reg4(16-31)'!#REF!</f>
        <v>#REF!</v>
      </c>
      <c r="L139" s="586" t="e">
        <f>#REF!+'Reg4(16-31)'!#REF!</f>
        <v>#REF!</v>
      </c>
      <c r="M139" s="586" t="e">
        <f>#REF!+'Reg4(16-31)'!#REF!</f>
        <v>#REF!</v>
      </c>
      <c r="N139" s="586">
        <v>100</v>
      </c>
      <c r="O139" s="586" t="e">
        <f>#REF!</f>
        <v>#REF!</v>
      </c>
      <c r="P139" s="586" t="e">
        <f>#REF!</f>
        <v>#REF!</v>
      </c>
      <c r="Q139" s="586" t="e">
        <f t="shared" si="173"/>
        <v>#REF!</v>
      </c>
      <c r="R139" s="586" t="e">
        <f>#REF!</f>
        <v>#REF!</v>
      </c>
      <c r="S139" s="586" t="e">
        <f>#REF!</f>
        <v>#REF!</v>
      </c>
      <c r="T139" s="586" t="e">
        <f t="shared" si="174"/>
        <v>#REF!</v>
      </c>
      <c r="U139" s="586" t="e">
        <f>#REF!</f>
        <v>#REF!</v>
      </c>
      <c r="V139" s="586" t="e">
        <f>'Reg4(16-31)'!#REF!</f>
        <v>#REF!</v>
      </c>
      <c r="W139" s="586" t="e">
        <f>'Reg4(16-31)'!#REF!</f>
        <v>#REF!</v>
      </c>
      <c r="X139" s="586" t="e">
        <f t="shared" si="175"/>
        <v>#REF!</v>
      </c>
      <c r="Y139" s="602" t="e">
        <f>#REF!+'Reg4(16-31)'!#REF!</f>
        <v>#REF!</v>
      </c>
      <c r="Z139" s="586" t="e">
        <f>#REF!+'Reg4(16-31)'!#REF!</f>
        <v>#REF!</v>
      </c>
      <c r="AA139" s="586" t="e">
        <f t="shared" si="176"/>
        <v>#REF!</v>
      </c>
      <c r="AB139" s="586"/>
      <c r="AC139" s="586" t="e">
        <f t="shared" si="177"/>
        <v>#REF!</v>
      </c>
      <c r="AE139" s="586">
        <f t="shared" si="178"/>
        <v>10734</v>
      </c>
      <c r="AF139" s="586" t="e">
        <f t="shared" si="179"/>
        <v>#REF!</v>
      </c>
      <c r="AG139" s="586" t="e">
        <f t="shared" si="180"/>
        <v>#REF!</v>
      </c>
      <c r="AH139" s="586">
        <f t="shared" si="181"/>
        <v>10734</v>
      </c>
      <c r="AI139" s="586" t="e">
        <f t="shared" si="182"/>
        <v>#REF!</v>
      </c>
      <c r="AJ139" s="586" t="e">
        <f t="shared" si="183"/>
        <v>#REF!</v>
      </c>
      <c r="AL139" s="566" t="e">
        <f>#REF!+'Reg4(16-31)'!#REF!</f>
        <v>#REF!</v>
      </c>
    </row>
    <row r="140" spans="1:38" x14ac:dyDescent="0.2">
      <c r="A140" s="44" t="s">
        <v>345</v>
      </c>
      <c r="B140" s="575" t="s">
        <v>499</v>
      </c>
      <c r="C140" s="589" t="s">
        <v>253</v>
      </c>
      <c r="D140" s="45">
        <v>10571</v>
      </c>
      <c r="E140" s="586" t="e">
        <f>#REF!+'Reg4(16-31)'!#REF!</f>
        <v>#REF!</v>
      </c>
      <c r="F140" s="586" t="e">
        <f>#REF!+'Reg4(16-31)'!#REF!</f>
        <v>#REF!</v>
      </c>
      <c r="G140" s="586" t="e">
        <f>#REF!+'Reg4(16-31)'!#REF!</f>
        <v>#REF!</v>
      </c>
      <c r="H140" s="586" t="e">
        <f>#REF!+'Reg4(16-31)'!#REF!</f>
        <v>#REF!</v>
      </c>
      <c r="I140" s="586"/>
      <c r="J140" s="586"/>
      <c r="K140" s="586" t="e">
        <f>#REF!+'Reg4(16-31)'!#REF!</f>
        <v>#REF!</v>
      </c>
      <c r="L140" s="586" t="e">
        <f>#REF!+'Reg4(16-31)'!#REF!</f>
        <v>#REF!</v>
      </c>
      <c r="M140" s="586" t="e">
        <f>#REF!+'Reg4(16-31)'!#REF!</f>
        <v>#REF!</v>
      </c>
      <c r="N140" s="586">
        <v>100</v>
      </c>
      <c r="O140" s="586" t="e">
        <f>#REF!</f>
        <v>#REF!</v>
      </c>
      <c r="P140" s="586" t="e">
        <f>#REF!</f>
        <v>#REF!</v>
      </c>
      <c r="Q140" s="586" t="e">
        <f t="shared" si="173"/>
        <v>#REF!</v>
      </c>
      <c r="R140" s="586" t="e">
        <f>#REF!</f>
        <v>#REF!</v>
      </c>
      <c r="S140" s="586" t="e">
        <f>#REF!</f>
        <v>#REF!</v>
      </c>
      <c r="T140" s="586" t="e">
        <f t="shared" si="174"/>
        <v>#REF!</v>
      </c>
      <c r="U140" s="586" t="e">
        <f>#REF!</f>
        <v>#REF!</v>
      </c>
      <c r="V140" s="586" t="e">
        <f>'Reg4(16-31)'!#REF!</f>
        <v>#REF!</v>
      </c>
      <c r="W140" s="586" t="e">
        <f>'Reg4(16-31)'!#REF!</f>
        <v>#REF!</v>
      </c>
      <c r="X140" s="586" t="e">
        <f t="shared" si="175"/>
        <v>#REF!</v>
      </c>
      <c r="Y140" s="602" t="e">
        <f>#REF!+'Reg4(16-31)'!#REF!</f>
        <v>#REF!</v>
      </c>
      <c r="Z140" s="586" t="e">
        <f>#REF!+'Reg4(16-31)'!#REF!</f>
        <v>#REF!</v>
      </c>
      <c r="AA140" s="586" t="e">
        <f t="shared" si="176"/>
        <v>#REF!</v>
      </c>
      <c r="AB140" s="586"/>
      <c r="AC140" s="586" t="e">
        <f t="shared" si="177"/>
        <v>#REF!</v>
      </c>
      <c r="AE140" s="586">
        <f t="shared" si="178"/>
        <v>10571</v>
      </c>
      <c r="AF140" s="586" t="e">
        <f t="shared" si="179"/>
        <v>#REF!</v>
      </c>
      <c r="AG140" s="586" t="e">
        <f t="shared" si="180"/>
        <v>#REF!</v>
      </c>
      <c r="AH140" s="586">
        <f t="shared" si="181"/>
        <v>10571</v>
      </c>
      <c r="AI140" s="586" t="e">
        <f t="shared" si="182"/>
        <v>#REF!</v>
      </c>
      <c r="AJ140" s="586" t="e">
        <f t="shared" si="183"/>
        <v>#REF!</v>
      </c>
      <c r="AL140" s="566" t="e">
        <f>#REF!+'Reg4(16-31)'!#REF!</f>
        <v>#REF!</v>
      </c>
    </row>
    <row r="141" spans="1:38" x14ac:dyDescent="0.2">
      <c r="A141" s="30" t="s">
        <v>463</v>
      </c>
      <c r="B141" s="576" t="s">
        <v>446</v>
      </c>
      <c r="C141" s="589" t="s">
        <v>253</v>
      </c>
      <c r="D141" s="59">
        <v>9973</v>
      </c>
      <c r="E141" s="586" t="e">
        <f>#REF!+'Reg4(16-31)'!J28</f>
        <v>#REF!</v>
      </c>
      <c r="F141" s="586" t="e">
        <f>#REF!+'Reg4(16-31)'!K28</f>
        <v>#REF!</v>
      </c>
      <c r="G141" s="586" t="e">
        <f>#REF!+'Reg4(16-31)'!L28</f>
        <v>#REF!</v>
      </c>
      <c r="H141" s="586" t="e">
        <f>#REF!+'Reg4(16-31)'!M28</f>
        <v>#REF!</v>
      </c>
      <c r="I141" s="586"/>
      <c r="J141" s="586"/>
      <c r="K141" s="586" t="e">
        <f>#REF!+'Reg4(16-31)'!O28</f>
        <v>#REF!</v>
      </c>
      <c r="L141" s="586" t="e">
        <f>#REF!+'Reg4(16-31)'!P28</f>
        <v>#REF!</v>
      </c>
      <c r="M141" s="586" t="e">
        <f>#REF!+'Reg4(16-31)'!Q28</f>
        <v>#REF!</v>
      </c>
      <c r="N141" s="586">
        <v>99.73</v>
      </c>
      <c r="O141" s="586" t="e">
        <f>#REF!</f>
        <v>#REF!</v>
      </c>
      <c r="P141" s="586" t="e">
        <f>#REF!</f>
        <v>#REF!</v>
      </c>
      <c r="Q141" s="586" t="e">
        <f t="shared" si="173"/>
        <v>#REF!</v>
      </c>
      <c r="R141" s="586" t="e">
        <f>#REF!</f>
        <v>#REF!</v>
      </c>
      <c r="S141" s="586" t="e">
        <f>#REF!</f>
        <v>#REF!</v>
      </c>
      <c r="T141" s="586" t="e">
        <f t="shared" si="174"/>
        <v>#REF!</v>
      </c>
      <c r="U141" s="586" t="e">
        <f>#REF!</f>
        <v>#REF!</v>
      </c>
      <c r="V141" s="586">
        <f>'Reg4(16-31)'!U28</f>
        <v>273.5</v>
      </c>
      <c r="W141" s="586">
        <f>'Reg4(16-31)'!V28</f>
        <v>273.5</v>
      </c>
      <c r="X141" s="586" t="e">
        <f t="shared" si="175"/>
        <v>#REF!</v>
      </c>
      <c r="Y141" s="586" t="e">
        <f>#REF!+'Reg4(16-31)'!Z28</f>
        <v>#REF!</v>
      </c>
      <c r="Z141" s="586" t="e">
        <f>#REF!+'Reg4(16-31)'!Y28</f>
        <v>#REF!</v>
      </c>
      <c r="AA141" s="586" t="e">
        <f t="shared" si="176"/>
        <v>#REF!</v>
      </c>
      <c r="AB141" s="586"/>
      <c r="AC141" s="586" t="e">
        <f t="shared" si="177"/>
        <v>#REF!</v>
      </c>
      <c r="AE141" s="586">
        <f t="shared" si="178"/>
        <v>9973</v>
      </c>
      <c r="AF141" s="586" t="e">
        <f t="shared" si="179"/>
        <v>#REF!</v>
      </c>
      <c r="AG141" s="586" t="e">
        <f t="shared" si="180"/>
        <v>#REF!</v>
      </c>
      <c r="AH141" s="586">
        <f t="shared" si="181"/>
        <v>9973</v>
      </c>
      <c r="AI141" s="586" t="e">
        <f t="shared" si="182"/>
        <v>#REF!</v>
      </c>
      <c r="AJ141" s="586" t="e">
        <f t="shared" si="183"/>
        <v>#REF!</v>
      </c>
      <c r="AL141" s="566" t="e">
        <f>#REF!+'Reg4(16-31)'!AA28</f>
        <v>#REF!</v>
      </c>
    </row>
    <row r="142" spans="1:38" ht="13.5" thickBot="1" x14ac:dyDescent="0.25">
      <c r="A142" s="30"/>
      <c r="B142" s="576"/>
      <c r="C142" s="586"/>
      <c r="D142" s="157">
        <f>SUM(D138:D141)</f>
        <v>100199</v>
      </c>
      <c r="E142" s="157" t="e">
        <f t="shared" ref="E142:AC142" si="184">SUM(E138:E141)</f>
        <v>#REF!</v>
      </c>
      <c r="F142" s="157" t="e">
        <f t="shared" si="184"/>
        <v>#REF!</v>
      </c>
      <c r="G142" s="157" t="e">
        <f t="shared" si="184"/>
        <v>#REF!</v>
      </c>
      <c r="H142" s="157" t="e">
        <f t="shared" si="184"/>
        <v>#REF!</v>
      </c>
      <c r="I142" s="157">
        <f t="shared" si="184"/>
        <v>0</v>
      </c>
      <c r="J142" s="157">
        <f t="shared" si="184"/>
        <v>0</v>
      </c>
      <c r="K142" s="157" t="e">
        <f t="shared" si="184"/>
        <v>#REF!</v>
      </c>
      <c r="L142" s="157" t="e">
        <f t="shared" si="184"/>
        <v>#REF!</v>
      </c>
      <c r="M142" s="157" t="e">
        <f t="shared" si="184"/>
        <v>#REF!</v>
      </c>
      <c r="N142" s="157">
        <f>SUM(N138:N141)</f>
        <v>399.73</v>
      </c>
      <c r="O142" s="157" t="e">
        <f t="shared" si="184"/>
        <v>#REF!</v>
      </c>
      <c r="P142" s="157" t="e">
        <f t="shared" si="184"/>
        <v>#REF!</v>
      </c>
      <c r="Q142" s="157" t="e">
        <f t="shared" si="184"/>
        <v>#REF!</v>
      </c>
      <c r="R142" s="157" t="e">
        <f t="shared" si="184"/>
        <v>#REF!</v>
      </c>
      <c r="S142" s="157" t="e">
        <f t="shared" si="184"/>
        <v>#REF!</v>
      </c>
      <c r="T142" s="157" t="e">
        <f t="shared" si="184"/>
        <v>#REF!</v>
      </c>
      <c r="U142" s="157" t="e">
        <f t="shared" si="184"/>
        <v>#REF!</v>
      </c>
      <c r="V142" s="157" t="e">
        <f t="shared" si="184"/>
        <v>#REF!</v>
      </c>
      <c r="W142" s="157" t="e">
        <f t="shared" si="184"/>
        <v>#REF!</v>
      </c>
      <c r="X142" s="157" t="e">
        <f t="shared" si="184"/>
        <v>#REF!</v>
      </c>
      <c r="Y142" s="157" t="e">
        <f t="shared" si="184"/>
        <v>#REF!</v>
      </c>
      <c r="Z142" s="157" t="e">
        <f t="shared" si="184"/>
        <v>#REF!</v>
      </c>
      <c r="AA142" s="157" t="e">
        <f t="shared" si="184"/>
        <v>#REF!</v>
      </c>
      <c r="AB142" s="157">
        <f t="shared" si="184"/>
        <v>11381.83</v>
      </c>
      <c r="AC142" s="157" t="e">
        <f t="shared" si="184"/>
        <v>#REF!</v>
      </c>
      <c r="AE142" s="601">
        <f>SUM(AE138:AE141)</f>
        <v>100199</v>
      </c>
      <c r="AF142" s="586"/>
      <c r="AG142" s="586"/>
      <c r="AH142" s="586"/>
      <c r="AI142" s="586"/>
      <c r="AJ142" s="586"/>
    </row>
    <row r="143" spans="1:38" ht="13.5" thickTop="1" x14ac:dyDescent="0.2">
      <c r="A143" s="194" t="s">
        <v>95</v>
      </c>
      <c r="B143" s="576"/>
      <c r="C143" s="586"/>
      <c r="D143" s="599"/>
      <c r="E143" s="586"/>
      <c r="F143" s="586"/>
      <c r="G143" s="586"/>
      <c r="H143" s="586"/>
      <c r="I143" s="586"/>
      <c r="J143" s="586"/>
      <c r="K143" s="586"/>
      <c r="L143" s="586"/>
      <c r="M143" s="586"/>
      <c r="N143" s="586"/>
      <c r="O143" s="586"/>
      <c r="P143" s="586"/>
      <c r="Q143" s="586"/>
      <c r="R143" s="586"/>
      <c r="S143" s="586"/>
      <c r="T143" s="586"/>
      <c r="U143" s="586"/>
      <c r="V143" s="586"/>
      <c r="W143" s="586"/>
      <c r="X143" s="586"/>
      <c r="Y143" s="586"/>
      <c r="Z143" s="586"/>
      <c r="AA143" s="586"/>
      <c r="AB143" s="586"/>
      <c r="AC143" s="586"/>
      <c r="AE143" s="586"/>
      <c r="AF143" s="586"/>
      <c r="AG143" s="586"/>
      <c r="AH143" s="586"/>
      <c r="AI143" s="586"/>
      <c r="AJ143" s="586"/>
    </row>
    <row r="144" spans="1:38" x14ac:dyDescent="0.2">
      <c r="A144" s="30" t="s">
        <v>307</v>
      </c>
      <c r="B144" s="581" t="s">
        <v>508</v>
      </c>
      <c r="C144" s="588" t="s">
        <v>575</v>
      </c>
      <c r="D144" s="55">
        <v>67814</v>
      </c>
      <c r="E144" s="586" t="e">
        <f>#REF!+'Reg4(16-31)'!J34</f>
        <v>#REF!</v>
      </c>
      <c r="F144" s="586" t="e">
        <f>#REF!+'Reg4(16-31)'!K34</f>
        <v>#REF!</v>
      </c>
      <c r="G144" s="586" t="e">
        <f>#REF!+'Reg4(16-31)'!L34</f>
        <v>#REF!</v>
      </c>
      <c r="H144" s="586" t="e">
        <f>#REF!+'Reg4(16-31)'!M34</f>
        <v>#REF!</v>
      </c>
      <c r="I144" s="586"/>
      <c r="J144" s="586"/>
      <c r="K144" s="586" t="e">
        <f>#REF!+'Reg4(16-31)'!O34</f>
        <v>#REF!</v>
      </c>
      <c r="L144" s="586" t="e">
        <f>#REF!+'Reg4(16-31)'!P34</f>
        <v>#REF!</v>
      </c>
      <c r="M144" s="586" t="e">
        <f>#REF!+'Reg4(16-31)'!Q34</f>
        <v>#REF!</v>
      </c>
      <c r="N144" s="586">
        <v>100</v>
      </c>
      <c r="O144" s="586" t="e">
        <f>#REF!</f>
        <v>#REF!</v>
      </c>
      <c r="P144" s="586" t="e">
        <f>#REF!</f>
        <v>#REF!</v>
      </c>
      <c r="Q144" s="586" t="e">
        <f t="shared" ref="Q144:Q151" si="185">SUM(E144:P144)</f>
        <v>#REF!</v>
      </c>
      <c r="R144" s="586" t="e">
        <f>#REF!</f>
        <v>#REF!</v>
      </c>
      <c r="S144" s="586" t="e">
        <f>#REF!</f>
        <v>#REF!</v>
      </c>
      <c r="T144" s="586" t="e">
        <f t="shared" ref="T144:T151" si="186">R144+S144</f>
        <v>#REF!</v>
      </c>
      <c r="U144" s="586" t="e">
        <f>#REF!</f>
        <v>#REF!</v>
      </c>
      <c r="V144" s="586">
        <f>'Reg4(16-31)'!U34</f>
        <v>1748.8</v>
      </c>
      <c r="W144" s="586">
        <f>'Reg4(16-31)'!V34</f>
        <v>1748.8</v>
      </c>
      <c r="X144" s="586" t="e">
        <f t="shared" ref="X144:X151" si="187">SUM(U144:W144)</f>
        <v>#REF!</v>
      </c>
      <c r="Y144" s="586" t="e">
        <f>#REF!+'Reg4(16-31)'!Z34</f>
        <v>#REF!</v>
      </c>
      <c r="Z144" s="586" t="e">
        <f>#REF!+'Reg4(16-31)'!Y34</f>
        <v>#REF!</v>
      </c>
      <c r="AA144" s="586" t="e">
        <f t="shared" ref="AA144:AA151" si="188">SUM(Y144:Z144)</f>
        <v>#REF!</v>
      </c>
      <c r="AB144" s="586">
        <f>'Reg4(16-31)'!T34</f>
        <v>10783.9</v>
      </c>
      <c r="AC144" s="586" t="e">
        <f t="shared" ref="AC144:AC151" si="189">Q144+T144+X144+AA144+AB144</f>
        <v>#REF!</v>
      </c>
      <c r="AE144" s="586">
        <f t="shared" ref="AE144:AE151" si="190">D144</f>
        <v>67814</v>
      </c>
      <c r="AF144" s="586" t="e">
        <f t="shared" ref="AF144:AF151" si="191">SUM(E144:M144)+O144+R144+U144+V144+AA144+AB144</f>
        <v>#REF!</v>
      </c>
      <c r="AG144" s="586" t="e">
        <f t="shared" ref="AG144:AG151" si="192">AE144-AF144</f>
        <v>#REF!</v>
      </c>
      <c r="AH144" s="586">
        <f t="shared" ref="AH144:AH151" si="193">AE144</f>
        <v>67814</v>
      </c>
      <c r="AI144" s="586" t="e">
        <f t="shared" ref="AI144:AI151" si="194">P144+S144+W144</f>
        <v>#REF!</v>
      </c>
      <c r="AJ144" s="586" t="e">
        <f t="shared" ref="AJ144:AJ151" si="195">AH144+AI144</f>
        <v>#REF!</v>
      </c>
      <c r="AL144" s="566" t="e">
        <f>#REF!+'Reg4(16-31)'!AA34</f>
        <v>#REF!</v>
      </c>
    </row>
    <row r="145" spans="1:38" x14ac:dyDescent="0.2">
      <c r="A145" s="30" t="s">
        <v>187</v>
      </c>
      <c r="B145" s="581" t="s">
        <v>507</v>
      </c>
      <c r="C145" s="589" t="s">
        <v>253</v>
      </c>
      <c r="D145" s="54">
        <v>24425</v>
      </c>
      <c r="E145" s="586" t="e">
        <f>#REF!+'Reg4(16-31)'!#REF!</f>
        <v>#REF!</v>
      </c>
      <c r="F145" s="586" t="e">
        <f>#REF!+'Reg4(16-31)'!#REF!</f>
        <v>#REF!</v>
      </c>
      <c r="G145" s="586" t="e">
        <f>#REF!+'Reg4(16-31)'!#REF!</f>
        <v>#REF!</v>
      </c>
      <c r="H145" s="586" t="e">
        <f>#REF!+'Reg4(16-31)'!#REF!</f>
        <v>#REF!</v>
      </c>
      <c r="I145" s="586"/>
      <c r="J145" s="586"/>
      <c r="K145" s="586" t="e">
        <f>#REF!+'Reg4(16-31)'!#REF!</f>
        <v>#REF!</v>
      </c>
      <c r="L145" s="586" t="e">
        <f>#REF!+'Reg4(16-31)'!#REF!</f>
        <v>#REF!</v>
      </c>
      <c r="M145" s="586" t="e">
        <f>#REF!+'Reg4(16-31)'!#REF!</f>
        <v>#REF!</v>
      </c>
      <c r="N145" s="586">
        <v>100</v>
      </c>
      <c r="O145" s="586" t="e">
        <f>#REF!</f>
        <v>#REF!</v>
      </c>
      <c r="P145" s="586" t="e">
        <f>#REF!</f>
        <v>#REF!</v>
      </c>
      <c r="Q145" s="586" t="e">
        <f t="shared" si="185"/>
        <v>#REF!</v>
      </c>
      <c r="R145" s="586" t="e">
        <f>#REF!</f>
        <v>#REF!</v>
      </c>
      <c r="S145" s="586" t="e">
        <f>#REF!</f>
        <v>#REF!</v>
      </c>
      <c r="T145" s="586" t="e">
        <f t="shared" si="186"/>
        <v>#REF!</v>
      </c>
      <c r="U145" s="586" t="e">
        <f>#REF!</f>
        <v>#REF!</v>
      </c>
      <c r="V145" s="586" t="e">
        <f>'Reg4(16-31)'!#REF!</f>
        <v>#REF!</v>
      </c>
      <c r="W145" s="586" t="e">
        <f>'Reg4(16-31)'!#REF!</f>
        <v>#REF!</v>
      </c>
      <c r="X145" s="586" t="e">
        <f t="shared" si="187"/>
        <v>#REF!</v>
      </c>
      <c r="Y145" s="586" t="e">
        <f>#REF!+'Reg4(16-31)'!#REF!</f>
        <v>#REF!</v>
      </c>
      <c r="Z145" s="586" t="e">
        <f>#REF!+'Reg4(16-31)'!#REF!</f>
        <v>#REF!</v>
      </c>
      <c r="AA145" s="586" t="e">
        <f t="shared" si="188"/>
        <v>#REF!</v>
      </c>
      <c r="AB145" s="586" t="e">
        <f>'Reg4(16-31)'!#REF!</f>
        <v>#REF!</v>
      </c>
      <c r="AC145" s="586" t="e">
        <f t="shared" si="189"/>
        <v>#REF!</v>
      </c>
      <c r="AE145" s="586">
        <f t="shared" si="190"/>
        <v>24425</v>
      </c>
      <c r="AF145" s="586" t="e">
        <f t="shared" si="191"/>
        <v>#REF!</v>
      </c>
      <c r="AG145" s="586" t="e">
        <f t="shared" si="192"/>
        <v>#REF!</v>
      </c>
      <c r="AH145" s="586">
        <f t="shared" si="193"/>
        <v>24425</v>
      </c>
      <c r="AI145" s="586" t="e">
        <f t="shared" si="194"/>
        <v>#REF!</v>
      </c>
      <c r="AJ145" s="586" t="e">
        <f t="shared" si="195"/>
        <v>#REF!</v>
      </c>
      <c r="AL145" s="566" t="e">
        <f>#REF!+'Reg4(16-31)'!#REF!</f>
        <v>#REF!</v>
      </c>
    </row>
    <row r="146" spans="1:38" x14ac:dyDescent="0.2">
      <c r="A146" s="30" t="s">
        <v>96</v>
      </c>
      <c r="B146" s="576" t="s">
        <v>277</v>
      </c>
      <c r="C146" s="589" t="s">
        <v>253</v>
      </c>
      <c r="D146" s="54">
        <v>13528</v>
      </c>
      <c r="E146" s="586" t="e">
        <f>#REF!+'Reg4(16-31)'!J35</f>
        <v>#REF!</v>
      </c>
      <c r="F146" s="586" t="e">
        <f>#REF!+'Reg4(16-31)'!K35</f>
        <v>#REF!</v>
      </c>
      <c r="G146" s="586" t="e">
        <f>#REF!+'Reg4(16-31)'!L35</f>
        <v>#REF!</v>
      </c>
      <c r="H146" s="586" t="e">
        <f>#REF!+'Reg4(16-31)'!M35</f>
        <v>#REF!</v>
      </c>
      <c r="I146" s="586"/>
      <c r="J146" s="586"/>
      <c r="K146" s="586" t="e">
        <f>#REF!+'Reg4(16-31)'!O35</f>
        <v>#REF!</v>
      </c>
      <c r="L146" s="586" t="e">
        <f>#REF!+'Reg4(16-31)'!P35</f>
        <v>#REF!</v>
      </c>
      <c r="M146" s="586" t="e">
        <f>#REF!+'Reg4(16-31)'!Q35</f>
        <v>#REF!</v>
      </c>
      <c r="N146" s="586">
        <v>100</v>
      </c>
      <c r="O146" s="586" t="e">
        <f>#REF!</f>
        <v>#REF!</v>
      </c>
      <c r="P146" s="586" t="e">
        <f>#REF!</f>
        <v>#REF!</v>
      </c>
      <c r="Q146" s="586" t="e">
        <f t="shared" si="185"/>
        <v>#REF!</v>
      </c>
      <c r="R146" s="586" t="e">
        <f>#REF!</f>
        <v>#REF!</v>
      </c>
      <c r="S146" s="586" t="e">
        <f>#REF!</f>
        <v>#REF!</v>
      </c>
      <c r="T146" s="586" t="e">
        <f t="shared" si="186"/>
        <v>#REF!</v>
      </c>
      <c r="U146" s="586" t="e">
        <f>#REF!</f>
        <v>#REF!</v>
      </c>
      <c r="V146" s="586">
        <f>'Reg4(16-31)'!U35</f>
        <v>374.6</v>
      </c>
      <c r="W146" s="586">
        <f>'Reg4(16-31)'!V35</f>
        <v>374.6</v>
      </c>
      <c r="X146" s="586" t="e">
        <f t="shared" si="187"/>
        <v>#REF!</v>
      </c>
      <c r="Y146" s="586" t="e">
        <f>#REF!+'Reg4(16-31)'!Z35</f>
        <v>#REF!</v>
      </c>
      <c r="Z146" s="586" t="e">
        <f>#REF!+'Reg4(16-31)'!Y35</f>
        <v>#REF!</v>
      </c>
      <c r="AA146" s="586" t="e">
        <f t="shared" si="188"/>
        <v>#REF!</v>
      </c>
      <c r="AB146" s="586"/>
      <c r="AC146" s="586" t="e">
        <f t="shared" si="189"/>
        <v>#REF!</v>
      </c>
      <c r="AE146" s="586">
        <f t="shared" si="190"/>
        <v>13528</v>
      </c>
      <c r="AF146" s="586" t="e">
        <f t="shared" si="191"/>
        <v>#REF!</v>
      </c>
      <c r="AG146" s="586" t="e">
        <f t="shared" si="192"/>
        <v>#REF!</v>
      </c>
      <c r="AH146" s="586">
        <f t="shared" si="193"/>
        <v>13528</v>
      </c>
      <c r="AI146" s="586" t="e">
        <f t="shared" si="194"/>
        <v>#REF!</v>
      </c>
      <c r="AJ146" s="586" t="e">
        <f t="shared" si="195"/>
        <v>#REF!</v>
      </c>
      <c r="AL146" s="566" t="e">
        <f>#REF!+'Reg4(16-31)'!AA35</f>
        <v>#REF!</v>
      </c>
    </row>
    <row r="147" spans="1:38" x14ac:dyDescent="0.2">
      <c r="A147" s="30" t="s">
        <v>98</v>
      </c>
      <c r="B147" s="576" t="s">
        <v>83</v>
      </c>
      <c r="C147" s="589" t="s">
        <v>253</v>
      </c>
      <c r="D147" s="54">
        <v>10522</v>
      </c>
      <c r="E147" s="586" t="e">
        <f>#REF!+'Reg4(16-31)'!J36</f>
        <v>#REF!</v>
      </c>
      <c r="F147" s="586" t="e">
        <f>#REF!+'Reg4(16-31)'!K36</f>
        <v>#REF!</v>
      </c>
      <c r="G147" s="586" t="e">
        <f>#REF!+'Reg4(16-31)'!L36</f>
        <v>#REF!</v>
      </c>
      <c r="H147" s="586" t="e">
        <f>#REF!+'Reg4(16-31)'!M36</f>
        <v>#REF!</v>
      </c>
      <c r="I147" s="586"/>
      <c r="J147" s="586"/>
      <c r="K147" s="586" t="e">
        <f>#REF!+'Reg4(16-31)'!O36</f>
        <v>#REF!</v>
      </c>
      <c r="L147" s="586" t="e">
        <f>#REF!+'Reg4(16-31)'!P36</f>
        <v>#REF!</v>
      </c>
      <c r="M147" s="586" t="e">
        <f>#REF!+'Reg4(16-31)'!Q36</f>
        <v>#REF!</v>
      </c>
      <c r="N147" s="586">
        <v>100</v>
      </c>
      <c r="O147" s="586" t="e">
        <f>#REF!</f>
        <v>#REF!</v>
      </c>
      <c r="P147" s="586" t="e">
        <f>#REF!</f>
        <v>#REF!</v>
      </c>
      <c r="Q147" s="586" t="e">
        <f t="shared" si="185"/>
        <v>#REF!</v>
      </c>
      <c r="R147" s="586" t="e">
        <f>#REF!</f>
        <v>#REF!</v>
      </c>
      <c r="S147" s="586" t="e">
        <f>#REF!</f>
        <v>#REF!</v>
      </c>
      <c r="T147" s="586" t="e">
        <f t="shared" si="186"/>
        <v>#REF!</v>
      </c>
      <c r="U147" s="586" t="e">
        <f>#REF!</f>
        <v>#REF!</v>
      </c>
      <c r="V147" s="586">
        <f>'Reg4(16-31)'!U36</f>
        <v>283.78000000000003</v>
      </c>
      <c r="W147" s="586">
        <f>'Reg4(16-31)'!V36</f>
        <v>283.78000000000003</v>
      </c>
      <c r="X147" s="586" t="e">
        <f t="shared" si="187"/>
        <v>#REF!</v>
      </c>
      <c r="Y147" s="586" t="e">
        <f>#REF!+'Reg4(16-31)'!Z36</f>
        <v>#REF!</v>
      </c>
      <c r="Z147" s="586" t="e">
        <f>#REF!+'Reg4(16-31)'!Y36</f>
        <v>#REF!</v>
      </c>
      <c r="AA147" s="586" t="e">
        <f t="shared" si="188"/>
        <v>#REF!</v>
      </c>
      <c r="AB147" s="586"/>
      <c r="AC147" s="586" t="e">
        <f t="shared" si="189"/>
        <v>#REF!</v>
      </c>
      <c r="AE147" s="586">
        <f t="shared" si="190"/>
        <v>10522</v>
      </c>
      <c r="AF147" s="586" t="e">
        <f t="shared" si="191"/>
        <v>#REF!</v>
      </c>
      <c r="AG147" s="586" t="e">
        <f t="shared" si="192"/>
        <v>#REF!</v>
      </c>
      <c r="AH147" s="586">
        <f t="shared" si="193"/>
        <v>10522</v>
      </c>
      <c r="AI147" s="586" t="e">
        <f t="shared" si="194"/>
        <v>#REF!</v>
      </c>
      <c r="AJ147" s="586" t="e">
        <f t="shared" si="195"/>
        <v>#REF!</v>
      </c>
      <c r="AL147" s="566" t="e">
        <f>#REF!+'Reg4(16-31)'!AA36</f>
        <v>#REF!</v>
      </c>
    </row>
    <row r="148" spans="1:38" x14ac:dyDescent="0.2">
      <c r="A148" s="30" t="s">
        <v>425</v>
      </c>
      <c r="B148" s="576" t="s">
        <v>83</v>
      </c>
      <c r="C148" s="589" t="s">
        <v>253</v>
      </c>
      <c r="D148" s="54">
        <v>9973</v>
      </c>
      <c r="E148" s="586" t="e">
        <f>#REF!+'Reg4(16-31)'!J37</f>
        <v>#REF!</v>
      </c>
      <c r="F148" s="586" t="e">
        <f>#REF!+'Reg4(16-31)'!K37</f>
        <v>#REF!</v>
      </c>
      <c r="G148" s="586" t="e">
        <f>#REF!+'Reg4(16-31)'!L37</f>
        <v>#REF!</v>
      </c>
      <c r="H148" s="586" t="e">
        <f>#REF!+'Reg4(16-31)'!M37</f>
        <v>#REF!</v>
      </c>
      <c r="I148" s="586"/>
      <c r="J148" s="586"/>
      <c r="K148" s="586" t="e">
        <f>#REF!+'Reg4(16-31)'!O37</f>
        <v>#REF!</v>
      </c>
      <c r="L148" s="586" t="e">
        <f>#REF!+'Reg4(16-31)'!P37</f>
        <v>#REF!</v>
      </c>
      <c r="M148" s="586" t="e">
        <f>#REF!+'Reg4(16-31)'!Q37</f>
        <v>#REF!</v>
      </c>
      <c r="N148" s="586">
        <v>99.73</v>
      </c>
      <c r="O148" s="586" t="e">
        <f>#REF!</f>
        <v>#REF!</v>
      </c>
      <c r="P148" s="586" t="e">
        <f>#REF!</f>
        <v>#REF!</v>
      </c>
      <c r="Q148" s="586" t="e">
        <f t="shared" si="185"/>
        <v>#REF!</v>
      </c>
      <c r="R148" s="586" t="e">
        <f>#REF!</f>
        <v>#REF!</v>
      </c>
      <c r="S148" s="586" t="e">
        <f>#REF!</f>
        <v>#REF!</v>
      </c>
      <c r="T148" s="586" t="e">
        <f t="shared" si="186"/>
        <v>#REF!</v>
      </c>
      <c r="U148" s="586" t="e">
        <f>#REF!</f>
        <v>#REF!</v>
      </c>
      <c r="V148" s="586">
        <f>'Reg4(16-31)'!U37</f>
        <v>273.5</v>
      </c>
      <c r="W148" s="586">
        <f>'Reg4(16-31)'!V37</f>
        <v>273.5</v>
      </c>
      <c r="X148" s="586" t="e">
        <f t="shared" si="187"/>
        <v>#REF!</v>
      </c>
      <c r="Y148" s="586" t="e">
        <f>#REF!+'Reg4(16-31)'!Z37</f>
        <v>#REF!</v>
      </c>
      <c r="Z148" s="586" t="e">
        <f>#REF!+'Reg4(16-31)'!Y37</f>
        <v>#REF!</v>
      </c>
      <c r="AA148" s="586" t="e">
        <f t="shared" si="188"/>
        <v>#REF!</v>
      </c>
      <c r="AB148" s="586"/>
      <c r="AC148" s="586" t="e">
        <f t="shared" si="189"/>
        <v>#REF!</v>
      </c>
      <c r="AE148" s="586">
        <f t="shared" si="190"/>
        <v>9973</v>
      </c>
      <c r="AF148" s="586" t="e">
        <f t="shared" si="191"/>
        <v>#REF!</v>
      </c>
      <c r="AG148" s="586" t="e">
        <f t="shared" si="192"/>
        <v>#REF!</v>
      </c>
      <c r="AH148" s="586">
        <f t="shared" si="193"/>
        <v>9973</v>
      </c>
      <c r="AI148" s="586" t="e">
        <f t="shared" si="194"/>
        <v>#REF!</v>
      </c>
      <c r="AJ148" s="586" t="e">
        <f t="shared" si="195"/>
        <v>#REF!</v>
      </c>
      <c r="AL148" s="566" t="e">
        <f>#REF!+'Reg4(16-31)'!AA37</f>
        <v>#REF!</v>
      </c>
    </row>
    <row r="149" spans="1:38" x14ac:dyDescent="0.2">
      <c r="A149" s="30" t="s">
        <v>465</v>
      </c>
      <c r="B149" s="576" t="s">
        <v>446</v>
      </c>
      <c r="C149" s="589" t="s">
        <v>253</v>
      </c>
      <c r="D149" s="54">
        <v>9973</v>
      </c>
      <c r="E149" s="586" t="e">
        <f>#REF!+'Reg4(16-31)'!J38</f>
        <v>#REF!</v>
      </c>
      <c r="F149" s="586" t="e">
        <f>#REF!+'Reg4(16-31)'!K38</f>
        <v>#REF!</v>
      </c>
      <c r="G149" s="586" t="e">
        <f>#REF!+'Reg4(16-31)'!L38</f>
        <v>#REF!</v>
      </c>
      <c r="H149" s="586" t="e">
        <f>#REF!+'Reg4(16-31)'!M38</f>
        <v>#REF!</v>
      </c>
      <c r="I149" s="586"/>
      <c r="J149" s="586"/>
      <c r="K149" s="586" t="e">
        <f>#REF!+'Reg4(16-31)'!O38</f>
        <v>#REF!</v>
      </c>
      <c r="L149" s="586" t="e">
        <f>#REF!+'Reg4(16-31)'!P38</f>
        <v>#REF!</v>
      </c>
      <c r="M149" s="586" t="e">
        <f>#REF!+'Reg4(16-31)'!Q38</f>
        <v>#REF!</v>
      </c>
      <c r="N149" s="586">
        <v>99.73</v>
      </c>
      <c r="O149" s="586" t="e">
        <f>#REF!</f>
        <v>#REF!</v>
      </c>
      <c r="P149" s="586" t="e">
        <f>#REF!</f>
        <v>#REF!</v>
      </c>
      <c r="Q149" s="586" t="e">
        <f t="shared" si="185"/>
        <v>#REF!</v>
      </c>
      <c r="R149" s="586" t="e">
        <f>#REF!</f>
        <v>#REF!</v>
      </c>
      <c r="S149" s="586" t="e">
        <f>#REF!</f>
        <v>#REF!</v>
      </c>
      <c r="T149" s="586" t="e">
        <f t="shared" si="186"/>
        <v>#REF!</v>
      </c>
      <c r="U149" s="586" t="e">
        <f>#REF!</f>
        <v>#REF!</v>
      </c>
      <c r="V149" s="586">
        <f>'Reg4(16-31)'!U38</f>
        <v>273.5</v>
      </c>
      <c r="W149" s="586">
        <f>'Reg4(16-31)'!V38</f>
        <v>273.5</v>
      </c>
      <c r="X149" s="586" t="e">
        <f t="shared" si="187"/>
        <v>#REF!</v>
      </c>
      <c r="Y149" s="602" t="e">
        <f>#REF!+'Reg4(16-31)'!Z38</f>
        <v>#REF!</v>
      </c>
      <c r="Z149" s="586" t="e">
        <f>#REF!+'Reg4(16-31)'!Y38</f>
        <v>#REF!</v>
      </c>
      <c r="AA149" s="586" t="e">
        <f t="shared" si="188"/>
        <v>#REF!</v>
      </c>
      <c r="AB149" s="586"/>
      <c r="AC149" s="586" t="e">
        <f t="shared" si="189"/>
        <v>#REF!</v>
      </c>
      <c r="AE149" s="586">
        <f t="shared" si="190"/>
        <v>9973</v>
      </c>
      <c r="AF149" s="586" t="e">
        <f t="shared" si="191"/>
        <v>#REF!</v>
      </c>
      <c r="AG149" s="586" t="e">
        <f t="shared" si="192"/>
        <v>#REF!</v>
      </c>
      <c r="AH149" s="586">
        <f t="shared" si="193"/>
        <v>9973</v>
      </c>
      <c r="AI149" s="586" t="e">
        <f t="shared" si="194"/>
        <v>#REF!</v>
      </c>
      <c r="AJ149" s="586" t="e">
        <f t="shared" si="195"/>
        <v>#REF!</v>
      </c>
      <c r="AL149" s="566" t="e">
        <f>#REF!+'Reg4(16-31)'!AA38</f>
        <v>#REF!</v>
      </c>
    </row>
    <row r="150" spans="1:38" x14ac:dyDescent="0.2">
      <c r="A150" s="30" t="s">
        <v>466</v>
      </c>
      <c r="B150" s="576" t="s">
        <v>446</v>
      </c>
      <c r="C150" s="589" t="s">
        <v>253</v>
      </c>
      <c r="D150" s="54">
        <v>9973</v>
      </c>
      <c r="E150" s="586" t="e">
        <f>#REF!+'Reg4(16-31)'!#REF!</f>
        <v>#REF!</v>
      </c>
      <c r="F150" s="586" t="e">
        <f>#REF!+'Reg4(16-31)'!#REF!</f>
        <v>#REF!</v>
      </c>
      <c r="G150" s="586" t="e">
        <f>#REF!+'Reg4(16-31)'!#REF!</f>
        <v>#REF!</v>
      </c>
      <c r="H150" s="586" t="e">
        <f>#REF!+'Reg4(16-31)'!#REF!</f>
        <v>#REF!</v>
      </c>
      <c r="I150" s="586"/>
      <c r="J150" s="586"/>
      <c r="K150" s="586" t="e">
        <f>#REF!+'Reg4(16-31)'!#REF!</f>
        <v>#REF!</v>
      </c>
      <c r="L150" s="586" t="e">
        <f>#REF!+'Reg4(16-31)'!#REF!</f>
        <v>#REF!</v>
      </c>
      <c r="M150" s="586" t="e">
        <f>#REF!+'Reg4(16-31)'!#REF!</f>
        <v>#REF!</v>
      </c>
      <c r="N150" s="586">
        <v>99.73</v>
      </c>
      <c r="O150" s="586" t="e">
        <f>#REF!</f>
        <v>#REF!</v>
      </c>
      <c r="P150" s="586" t="e">
        <f>#REF!</f>
        <v>#REF!</v>
      </c>
      <c r="Q150" s="586" t="e">
        <f t="shared" si="185"/>
        <v>#REF!</v>
      </c>
      <c r="R150" s="586" t="e">
        <f>#REF!</f>
        <v>#REF!</v>
      </c>
      <c r="S150" s="586" t="e">
        <f>#REF!</f>
        <v>#REF!</v>
      </c>
      <c r="T150" s="586" t="e">
        <f t="shared" si="186"/>
        <v>#REF!</v>
      </c>
      <c r="U150" s="586" t="e">
        <f>#REF!</f>
        <v>#REF!</v>
      </c>
      <c r="V150" s="586" t="e">
        <f>'Reg4(16-31)'!#REF!</f>
        <v>#REF!</v>
      </c>
      <c r="W150" s="586" t="e">
        <f>'Reg4(16-31)'!#REF!</f>
        <v>#REF!</v>
      </c>
      <c r="X150" s="586" t="e">
        <f t="shared" si="187"/>
        <v>#REF!</v>
      </c>
      <c r="Y150" s="602" t="e">
        <f>#REF!+'Reg4(16-31)'!#REF!</f>
        <v>#REF!</v>
      </c>
      <c r="Z150" s="586" t="e">
        <f>#REF!+'Reg4(16-31)'!#REF!</f>
        <v>#REF!</v>
      </c>
      <c r="AA150" s="586" t="e">
        <f t="shared" si="188"/>
        <v>#REF!</v>
      </c>
      <c r="AB150" s="586"/>
      <c r="AC150" s="586" t="e">
        <f t="shared" si="189"/>
        <v>#REF!</v>
      </c>
      <c r="AE150" s="586">
        <f t="shared" si="190"/>
        <v>9973</v>
      </c>
      <c r="AF150" s="586" t="e">
        <f t="shared" si="191"/>
        <v>#REF!</v>
      </c>
      <c r="AG150" s="586" t="e">
        <f t="shared" si="192"/>
        <v>#REF!</v>
      </c>
      <c r="AH150" s="586">
        <f t="shared" si="193"/>
        <v>9973</v>
      </c>
      <c r="AI150" s="586" t="e">
        <f t="shared" si="194"/>
        <v>#REF!</v>
      </c>
      <c r="AJ150" s="586" t="e">
        <f t="shared" si="195"/>
        <v>#REF!</v>
      </c>
      <c r="AL150" s="566" t="e">
        <f>#REF!+'Reg4(16-31)'!#REF!</f>
        <v>#REF!</v>
      </c>
    </row>
    <row r="151" spans="1:38" x14ac:dyDescent="0.2">
      <c r="A151" s="30" t="s">
        <v>467</v>
      </c>
      <c r="B151" s="576" t="s">
        <v>446</v>
      </c>
      <c r="C151" s="589" t="s">
        <v>253</v>
      </c>
      <c r="D151" s="59">
        <v>9973</v>
      </c>
      <c r="E151" s="586" t="e">
        <f>#REF!+'Reg4(16-31)'!J39</f>
        <v>#REF!</v>
      </c>
      <c r="F151" s="586" t="e">
        <f>#REF!+'Reg4(16-31)'!K39</f>
        <v>#REF!</v>
      </c>
      <c r="G151" s="586" t="e">
        <f>#REF!+'Reg4(16-31)'!L39</f>
        <v>#REF!</v>
      </c>
      <c r="H151" s="586" t="e">
        <f>#REF!+'Reg4(16-31)'!M39</f>
        <v>#REF!</v>
      </c>
      <c r="I151" s="586"/>
      <c r="J151" s="586"/>
      <c r="K151" s="586" t="e">
        <f>#REF!+'Reg4(16-31)'!O39</f>
        <v>#REF!</v>
      </c>
      <c r="L151" s="586" t="e">
        <f>#REF!+'Reg4(16-31)'!P39</f>
        <v>#REF!</v>
      </c>
      <c r="M151" s="586" t="e">
        <f>#REF!+'Reg4(16-31)'!Q39</f>
        <v>#REF!</v>
      </c>
      <c r="N151" s="586">
        <v>99.73</v>
      </c>
      <c r="O151" s="586" t="e">
        <f>#REF!</f>
        <v>#REF!</v>
      </c>
      <c r="P151" s="586" t="e">
        <f>#REF!</f>
        <v>#REF!</v>
      </c>
      <c r="Q151" s="586" t="e">
        <f t="shared" si="185"/>
        <v>#REF!</v>
      </c>
      <c r="R151" s="586" t="e">
        <f>#REF!</f>
        <v>#REF!</v>
      </c>
      <c r="S151" s="586" t="e">
        <f>#REF!</f>
        <v>#REF!</v>
      </c>
      <c r="T151" s="586" t="e">
        <f t="shared" si="186"/>
        <v>#REF!</v>
      </c>
      <c r="U151" s="586" t="e">
        <f>#REF!</f>
        <v>#REF!</v>
      </c>
      <c r="V151" s="586">
        <f>'Reg4(16-31)'!U39</f>
        <v>273.5</v>
      </c>
      <c r="W151" s="586">
        <f>'Reg4(16-31)'!V39</f>
        <v>273.5</v>
      </c>
      <c r="X151" s="586" t="e">
        <f t="shared" si="187"/>
        <v>#REF!</v>
      </c>
      <c r="Y151" s="586" t="e">
        <f>#REF!+'Reg4(16-31)'!Z39</f>
        <v>#REF!</v>
      </c>
      <c r="Z151" s="586" t="e">
        <f>#REF!+'Reg4(16-31)'!Y39</f>
        <v>#REF!</v>
      </c>
      <c r="AA151" s="586" t="e">
        <f t="shared" si="188"/>
        <v>#REF!</v>
      </c>
      <c r="AB151" s="586"/>
      <c r="AC151" s="586" t="e">
        <f t="shared" si="189"/>
        <v>#REF!</v>
      </c>
      <c r="AE151" s="586">
        <f t="shared" si="190"/>
        <v>9973</v>
      </c>
      <c r="AF151" s="586" t="e">
        <f t="shared" si="191"/>
        <v>#REF!</v>
      </c>
      <c r="AG151" s="586" t="e">
        <f t="shared" si="192"/>
        <v>#REF!</v>
      </c>
      <c r="AH151" s="586">
        <f t="shared" si="193"/>
        <v>9973</v>
      </c>
      <c r="AI151" s="586" t="e">
        <f t="shared" si="194"/>
        <v>#REF!</v>
      </c>
      <c r="AJ151" s="586" t="e">
        <f t="shared" si="195"/>
        <v>#REF!</v>
      </c>
      <c r="AL151" s="566" t="e">
        <f>#REF!+'Reg4(16-31)'!AA39</f>
        <v>#REF!</v>
      </c>
    </row>
    <row r="152" spans="1:38" ht="13.5" thickBot="1" x14ac:dyDescent="0.25">
      <c r="A152" s="530"/>
      <c r="B152" s="583"/>
      <c r="C152" s="589" t="s">
        <v>37</v>
      </c>
      <c r="D152" s="157">
        <f>SUM(D144:D151)</f>
        <v>156181</v>
      </c>
      <c r="E152" s="157" t="e">
        <f t="shared" ref="E152:AC152" si="196">SUM(E144:E151)</f>
        <v>#REF!</v>
      </c>
      <c r="F152" s="157" t="e">
        <f t="shared" si="196"/>
        <v>#REF!</v>
      </c>
      <c r="G152" s="157" t="e">
        <f t="shared" si="196"/>
        <v>#REF!</v>
      </c>
      <c r="H152" s="157" t="e">
        <f t="shared" si="196"/>
        <v>#REF!</v>
      </c>
      <c r="I152" s="157">
        <f t="shared" si="196"/>
        <v>0</v>
      </c>
      <c r="J152" s="157">
        <f t="shared" si="196"/>
        <v>0</v>
      </c>
      <c r="K152" s="157" t="e">
        <f t="shared" si="196"/>
        <v>#REF!</v>
      </c>
      <c r="L152" s="157" t="e">
        <f t="shared" si="196"/>
        <v>#REF!</v>
      </c>
      <c r="M152" s="157" t="e">
        <f t="shared" si="196"/>
        <v>#REF!</v>
      </c>
      <c r="N152" s="157">
        <f>SUM(N144:N151)</f>
        <v>798.92000000000007</v>
      </c>
      <c r="O152" s="157" t="e">
        <f t="shared" si="196"/>
        <v>#REF!</v>
      </c>
      <c r="P152" s="157" t="e">
        <f t="shared" si="196"/>
        <v>#REF!</v>
      </c>
      <c r="Q152" s="157" t="e">
        <f t="shared" si="196"/>
        <v>#REF!</v>
      </c>
      <c r="R152" s="157" t="e">
        <f t="shared" si="196"/>
        <v>#REF!</v>
      </c>
      <c r="S152" s="157" t="e">
        <f t="shared" si="196"/>
        <v>#REF!</v>
      </c>
      <c r="T152" s="157" t="e">
        <f t="shared" si="196"/>
        <v>#REF!</v>
      </c>
      <c r="U152" s="157" t="e">
        <f t="shared" si="196"/>
        <v>#REF!</v>
      </c>
      <c r="V152" s="157" t="e">
        <f t="shared" si="196"/>
        <v>#REF!</v>
      </c>
      <c r="W152" s="157" t="e">
        <f t="shared" si="196"/>
        <v>#REF!</v>
      </c>
      <c r="X152" s="157" t="e">
        <f t="shared" si="196"/>
        <v>#REF!</v>
      </c>
      <c r="Y152" s="157" t="e">
        <f t="shared" si="196"/>
        <v>#REF!</v>
      </c>
      <c r="Z152" s="157" t="e">
        <f t="shared" si="196"/>
        <v>#REF!</v>
      </c>
      <c r="AA152" s="157" t="e">
        <f t="shared" si="196"/>
        <v>#REF!</v>
      </c>
      <c r="AB152" s="157" t="e">
        <f t="shared" si="196"/>
        <v>#REF!</v>
      </c>
      <c r="AC152" s="157" t="e">
        <f t="shared" si="196"/>
        <v>#REF!</v>
      </c>
      <c r="AE152" s="601">
        <f>SUM(AE144:AE151)</f>
        <v>156181</v>
      </c>
      <c r="AF152" s="586"/>
      <c r="AG152" s="586"/>
      <c r="AH152" s="586"/>
      <c r="AI152" s="586"/>
      <c r="AJ152" s="586"/>
    </row>
    <row r="153" spans="1:38" ht="13.5" thickTop="1" x14ac:dyDescent="0.2">
      <c r="A153" s="194" t="s">
        <v>509</v>
      </c>
      <c r="B153" s="576"/>
      <c r="C153" s="586"/>
      <c r="D153" s="56"/>
      <c r="E153" s="586"/>
      <c r="F153" s="586"/>
      <c r="G153" s="586"/>
      <c r="H153" s="586"/>
      <c r="I153" s="586"/>
      <c r="J153" s="586"/>
      <c r="K153" s="586"/>
      <c r="L153" s="586"/>
      <c r="M153" s="586"/>
      <c r="N153" s="586"/>
      <c r="O153" s="586"/>
      <c r="P153" s="586"/>
      <c r="Q153" s="586"/>
      <c r="R153" s="586"/>
      <c r="S153" s="586"/>
      <c r="T153" s="586"/>
      <c r="U153" s="586"/>
      <c r="V153" s="586"/>
      <c r="W153" s="586"/>
      <c r="X153" s="586"/>
      <c r="Y153" s="586"/>
      <c r="Z153" s="586"/>
      <c r="AA153" s="586"/>
      <c r="AB153" s="586"/>
      <c r="AC153" s="586"/>
      <c r="AE153" s="586"/>
      <c r="AF153" s="586"/>
      <c r="AG153" s="586"/>
      <c r="AH153" s="586"/>
      <c r="AI153" s="586"/>
      <c r="AJ153" s="586"/>
    </row>
    <row r="154" spans="1:38" x14ac:dyDescent="0.2">
      <c r="A154" s="512" t="s">
        <v>493</v>
      </c>
      <c r="B154" s="574" t="s">
        <v>83</v>
      </c>
      <c r="C154" s="588" t="s">
        <v>575</v>
      </c>
      <c r="D154" s="57">
        <v>9973</v>
      </c>
      <c r="E154" s="586" t="e">
        <f>#REF!+'Reg4(16-31)'!J43</f>
        <v>#REF!</v>
      </c>
      <c r="F154" s="586" t="e">
        <f>#REF!+'Reg4(16-31)'!K43</f>
        <v>#REF!</v>
      </c>
      <c r="G154" s="586" t="e">
        <f>#REF!+'Reg4(16-31)'!L43</f>
        <v>#REF!</v>
      </c>
      <c r="H154" s="586" t="e">
        <f>#REF!+'Reg4(16-31)'!M43</f>
        <v>#REF!</v>
      </c>
      <c r="I154" s="586"/>
      <c r="J154" s="586"/>
      <c r="K154" s="586" t="e">
        <f>#REF!+'Reg4(16-31)'!O43</f>
        <v>#REF!</v>
      </c>
      <c r="L154" s="586" t="e">
        <f>#REF!+'Reg4(16-31)'!P43</f>
        <v>#REF!</v>
      </c>
      <c r="M154" s="586" t="e">
        <f>#REF!+'Reg4(16-31)'!Q43</f>
        <v>#REF!</v>
      </c>
      <c r="N154" s="586">
        <v>99.73</v>
      </c>
      <c r="O154" s="586" t="e">
        <f>#REF!</f>
        <v>#REF!</v>
      </c>
      <c r="P154" s="586" t="e">
        <f>#REF!</f>
        <v>#REF!</v>
      </c>
      <c r="Q154" s="586" t="e">
        <f t="shared" ref="Q154:Q155" si="197">SUM(E154:P154)</f>
        <v>#REF!</v>
      </c>
      <c r="R154" s="586" t="e">
        <f>#REF!</f>
        <v>#REF!</v>
      </c>
      <c r="S154" s="586" t="e">
        <f>#REF!</f>
        <v>#REF!</v>
      </c>
      <c r="T154" s="586" t="e">
        <f t="shared" ref="T154:T155" si="198">R154+S154</f>
        <v>#REF!</v>
      </c>
      <c r="U154" s="586" t="e">
        <f>#REF!</f>
        <v>#REF!</v>
      </c>
      <c r="V154" s="586">
        <f>'Reg4(16-31)'!U43</f>
        <v>273.5</v>
      </c>
      <c r="W154" s="586">
        <f>'Reg4(16-31)'!V43</f>
        <v>273.5</v>
      </c>
      <c r="X154" s="586" t="e">
        <f t="shared" ref="X154:X155" si="199">SUM(U154:W154)</f>
        <v>#REF!</v>
      </c>
      <c r="Y154" s="602" t="e">
        <f>#REF!+'Reg4(16-31)'!Z43</f>
        <v>#REF!</v>
      </c>
      <c r="Z154" s="586" t="e">
        <f>#REF!+'Reg4(16-31)'!Y43</f>
        <v>#REF!</v>
      </c>
      <c r="AA154" s="586" t="e">
        <f t="shared" ref="AA154:AA155" si="200">SUM(Y154:Z154)</f>
        <v>#REF!</v>
      </c>
      <c r="AB154" s="586"/>
      <c r="AC154" s="586" t="e">
        <f t="shared" ref="AC154:AC155" si="201">Q154+T154+X154+AA154+AB154</f>
        <v>#REF!</v>
      </c>
      <c r="AE154" s="586">
        <f t="shared" ref="AE154:AE155" si="202">D154</f>
        <v>9973</v>
      </c>
      <c r="AF154" s="586" t="e">
        <f t="shared" ref="AF154:AF155" si="203">SUM(E154:M154)+O154+R154+U154+V154+AA154+AB154</f>
        <v>#REF!</v>
      </c>
      <c r="AG154" s="586" t="e">
        <f t="shared" ref="AG154:AG155" si="204">AE154-AF154</f>
        <v>#REF!</v>
      </c>
      <c r="AH154" s="586">
        <f t="shared" ref="AH154:AH155" si="205">AE154</f>
        <v>9973</v>
      </c>
      <c r="AI154" s="586" t="e">
        <f t="shared" ref="AI154:AI155" si="206">P154+S154+W154</f>
        <v>#REF!</v>
      </c>
      <c r="AJ154" s="586" t="e">
        <f t="shared" ref="AJ154:AJ155" si="207">AH154+AI154</f>
        <v>#REF!</v>
      </c>
      <c r="AL154" s="566" t="e">
        <f>#REF!+'Reg4(16-31)'!AA43</f>
        <v>#REF!</v>
      </c>
    </row>
    <row r="155" spans="1:38" x14ac:dyDescent="0.2">
      <c r="A155" s="246" t="s">
        <v>338</v>
      </c>
      <c r="B155" s="575" t="s">
        <v>83</v>
      </c>
      <c r="C155" s="589" t="s">
        <v>253</v>
      </c>
      <c r="D155" s="59">
        <v>9973</v>
      </c>
      <c r="E155" s="586" t="e">
        <f>#REF!+'Reg4(16-31)'!J44</f>
        <v>#REF!</v>
      </c>
      <c r="F155" s="586" t="e">
        <f>#REF!+'Reg4(16-31)'!K44</f>
        <v>#REF!</v>
      </c>
      <c r="G155" s="586" t="e">
        <f>#REF!+'Reg4(16-31)'!L44</f>
        <v>#REF!</v>
      </c>
      <c r="H155" s="586" t="e">
        <f>#REF!+'Reg4(16-31)'!M44</f>
        <v>#REF!</v>
      </c>
      <c r="I155" s="586"/>
      <c r="J155" s="586"/>
      <c r="K155" s="586" t="e">
        <f>#REF!+'Reg4(16-31)'!O44</f>
        <v>#REF!</v>
      </c>
      <c r="L155" s="586" t="e">
        <f>#REF!+'Reg4(16-31)'!P44</f>
        <v>#REF!</v>
      </c>
      <c r="M155" s="586" t="e">
        <f>#REF!+'Reg4(16-31)'!Q44</f>
        <v>#REF!</v>
      </c>
      <c r="N155" s="586">
        <v>99.73</v>
      </c>
      <c r="O155" s="586" t="e">
        <f>#REF!</f>
        <v>#REF!</v>
      </c>
      <c r="P155" s="586" t="e">
        <f>#REF!</f>
        <v>#REF!</v>
      </c>
      <c r="Q155" s="586" t="e">
        <f t="shared" si="197"/>
        <v>#REF!</v>
      </c>
      <c r="R155" s="586" t="e">
        <f>#REF!</f>
        <v>#REF!</v>
      </c>
      <c r="S155" s="586" t="e">
        <f>#REF!</f>
        <v>#REF!</v>
      </c>
      <c r="T155" s="586" t="e">
        <f t="shared" si="198"/>
        <v>#REF!</v>
      </c>
      <c r="U155" s="586" t="e">
        <f>#REF!</f>
        <v>#REF!</v>
      </c>
      <c r="V155" s="586">
        <f>'Reg4(16-31)'!U44</f>
        <v>273.5</v>
      </c>
      <c r="W155" s="586">
        <f>'Reg4(16-31)'!V44</f>
        <v>273.5</v>
      </c>
      <c r="X155" s="586" t="e">
        <f t="shared" si="199"/>
        <v>#REF!</v>
      </c>
      <c r="Y155" s="602" t="e">
        <f>#REF!+'Reg4(16-31)'!Z44</f>
        <v>#REF!</v>
      </c>
      <c r="Z155" s="586" t="e">
        <f>#REF!+'Reg4(16-31)'!Y44</f>
        <v>#REF!</v>
      </c>
      <c r="AA155" s="586" t="e">
        <f t="shared" si="200"/>
        <v>#REF!</v>
      </c>
      <c r="AB155" s="586"/>
      <c r="AC155" s="586" t="e">
        <f t="shared" si="201"/>
        <v>#REF!</v>
      </c>
      <c r="AE155" s="586">
        <f t="shared" si="202"/>
        <v>9973</v>
      </c>
      <c r="AF155" s="586" t="e">
        <f t="shared" si="203"/>
        <v>#REF!</v>
      </c>
      <c r="AG155" s="586" t="e">
        <f t="shared" si="204"/>
        <v>#REF!</v>
      </c>
      <c r="AH155" s="586">
        <f t="shared" si="205"/>
        <v>9973</v>
      </c>
      <c r="AI155" s="586" t="e">
        <f t="shared" si="206"/>
        <v>#REF!</v>
      </c>
      <c r="AJ155" s="586" t="e">
        <f t="shared" si="207"/>
        <v>#REF!</v>
      </c>
      <c r="AL155" s="566" t="e">
        <f>#REF!+'Reg4(16-31)'!AA44</f>
        <v>#REF!</v>
      </c>
    </row>
    <row r="156" spans="1:38" ht="13.5" thickBot="1" x14ac:dyDescent="0.25">
      <c r="A156" s="30"/>
      <c r="B156" s="576"/>
      <c r="C156" s="586"/>
      <c r="D156" s="157">
        <f>SUM(D154:D155)</f>
        <v>19946</v>
      </c>
      <c r="E156" s="157" t="e">
        <f t="shared" ref="E156:AC156" si="208">SUM(E154:E155)</f>
        <v>#REF!</v>
      </c>
      <c r="F156" s="157" t="e">
        <f t="shared" si="208"/>
        <v>#REF!</v>
      </c>
      <c r="G156" s="157" t="e">
        <f t="shared" si="208"/>
        <v>#REF!</v>
      </c>
      <c r="H156" s="157" t="e">
        <f t="shared" si="208"/>
        <v>#REF!</v>
      </c>
      <c r="I156" s="157">
        <f t="shared" si="208"/>
        <v>0</v>
      </c>
      <c r="J156" s="157">
        <f t="shared" si="208"/>
        <v>0</v>
      </c>
      <c r="K156" s="157" t="e">
        <f t="shared" si="208"/>
        <v>#REF!</v>
      </c>
      <c r="L156" s="157" t="e">
        <f t="shared" si="208"/>
        <v>#REF!</v>
      </c>
      <c r="M156" s="157" t="e">
        <f t="shared" si="208"/>
        <v>#REF!</v>
      </c>
      <c r="N156" s="157">
        <f>SUM(N154:N155)</f>
        <v>199.46</v>
      </c>
      <c r="O156" s="157" t="e">
        <f t="shared" si="208"/>
        <v>#REF!</v>
      </c>
      <c r="P156" s="157" t="e">
        <f t="shared" si="208"/>
        <v>#REF!</v>
      </c>
      <c r="Q156" s="157" t="e">
        <f t="shared" si="208"/>
        <v>#REF!</v>
      </c>
      <c r="R156" s="157" t="e">
        <f t="shared" si="208"/>
        <v>#REF!</v>
      </c>
      <c r="S156" s="157" t="e">
        <f t="shared" si="208"/>
        <v>#REF!</v>
      </c>
      <c r="T156" s="157" t="e">
        <f t="shared" si="208"/>
        <v>#REF!</v>
      </c>
      <c r="U156" s="157" t="e">
        <f t="shared" si="208"/>
        <v>#REF!</v>
      </c>
      <c r="V156" s="157">
        <f t="shared" si="208"/>
        <v>547</v>
      </c>
      <c r="W156" s="157">
        <f t="shared" si="208"/>
        <v>547</v>
      </c>
      <c r="X156" s="157" t="e">
        <f t="shared" si="208"/>
        <v>#REF!</v>
      </c>
      <c r="Y156" s="157" t="e">
        <f t="shared" si="208"/>
        <v>#REF!</v>
      </c>
      <c r="Z156" s="157" t="e">
        <f t="shared" si="208"/>
        <v>#REF!</v>
      </c>
      <c r="AA156" s="157" t="e">
        <f t="shared" si="208"/>
        <v>#REF!</v>
      </c>
      <c r="AB156" s="157">
        <f t="shared" si="208"/>
        <v>0</v>
      </c>
      <c r="AC156" s="157" t="e">
        <f t="shared" si="208"/>
        <v>#REF!</v>
      </c>
      <c r="AE156" s="586"/>
      <c r="AF156" s="586"/>
      <c r="AG156" s="586"/>
      <c r="AH156" s="586"/>
      <c r="AI156" s="586"/>
      <c r="AJ156" s="586"/>
    </row>
    <row r="157" spans="1:38" ht="13.5" thickTop="1" x14ac:dyDescent="0.2">
      <c r="A157" s="194" t="s">
        <v>510</v>
      </c>
      <c r="B157" s="576"/>
      <c r="C157" s="586"/>
      <c r="D157" s="55"/>
      <c r="E157" s="586"/>
      <c r="F157" s="586"/>
      <c r="G157" s="586"/>
      <c r="H157" s="586"/>
      <c r="I157" s="586"/>
      <c r="J157" s="586"/>
      <c r="K157" s="586"/>
      <c r="L157" s="586"/>
      <c r="M157" s="586"/>
      <c r="N157" s="586"/>
      <c r="O157" s="586"/>
      <c r="P157" s="586"/>
      <c r="Q157" s="586"/>
      <c r="R157" s="586"/>
      <c r="S157" s="586"/>
      <c r="T157" s="586"/>
      <c r="U157" s="586"/>
      <c r="V157" s="586"/>
      <c r="W157" s="586"/>
      <c r="X157" s="586"/>
      <c r="Y157" s="586"/>
      <c r="Z157" s="586"/>
      <c r="AA157" s="586"/>
      <c r="AB157" s="586"/>
      <c r="AC157" s="586"/>
      <c r="AE157" s="586"/>
      <c r="AF157" s="586"/>
      <c r="AG157" s="586"/>
      <c r="AH157" s="586"/>
      <c r="AI157" s="586"/>
      <c r="AJ157" s="586"/>
    </row>
    <row r="158" spans="1:38" x14ac:dyDescent="0.2">
      <c r="A158" s="30" t="s">
        <v>511</v>
      </c>
      <c r="B158" s="576" t="s">
        <v>83</v>
      </c>
      <c r="C158" s="588" t="s">
        <v>575</v>
      </c>
      <c r="D158" s="59">
        <v>10126</v>
      </c>
      <c r="E158" s="586" t="e">
        <f>#REF!+'Reg4(16-31)'!#REF!</f>
        <v>#REF!</v>
      </c>
      <c r="F158" s="586" t="e">
        <f>#REF!+'Reg4(16-31)'!#REF!</f>
        <v>#REF!</v>
      </c>
      <c r="G158" s="586" t="e">
        <f>#REF!+'Reg4(16-31)'!#REF!</f>
        <v>#REF!</v>
      </c>
      <c r="H158" s="586" t="e">
        <f>#REF!+'Reg4(16-31)'!#REF!</f>
        <v>#REF!</v>
      </c>
      <c r="I158" s="586"/>
      <c r="J158" s="586"/>
      <c r="K158" s="586" t="e">
        <f>#REF!+'Reg4(16-31)'!#REF!</f>
        <v>#REF!</v>
      </c>
      <c r="L158" s="586" t="e">
        <f>#REF!+'Reg4(16-31)'!#REF!</f>
        <v>#REF!</v>
      </c>
      <c r="M158" s="586" t="e">
        <f>#REF!+'Reg4(16-31)'!#REF!</f>
        <v>#REF!</v>
      </c>
      <c r="N158" s="586">
        <v>100</v>
      </c>
      <c r="O158" s="586" t="e">
        <f>#REF!</f>
        <v>#REF!</v>
      </c>
      <c r="P158" s="586" t="e">
        <f>#REF!</f>
        <v>#REF!</v>
      </c>
      <c r="Q158" s="586" t="e">
        <f t="shared" ref="Q158:Q159" si="209">SUM(E158:P158)</f>
        <v>#REF!</v>
      </c>
      <c r="R158" s="586" t="e">
        <f>#REF!</f>
        <v>#REF!</v>
      </c>
      <c r="S158" s="586" t="e">
        <f>#REF!</f>
        <v>#REF!</v>
      </c>
      <c r="T158" s="586" t="e">
        <f t="shared" ref="T158:T159" si="210">R158+S158</f>
        <v>#REF!</v>
      </c>
      <c r="U158" s="586" t="e">
        <f>#REF!</f>
        <v>#REF!</v>
      </c>
      <c r="V158" s="586" t="e">
        <f>'Reg4(16-31)'!#REF!</f>
        <v>#REF!</v>
      </c>
      <c r="W158" s="586" t="e">
        <f>'Reg4(16-31)'!#REF!</f>
        <v>#REF!</v>
      </c>
      <c r="X158" s="586" t="e">
        <f>SUM(U158:W158)</f>
        <v>#REF!</v>
      </c>
      <c r="Y158" s="586" t="e">
        <f>#REF!+'Reg4(16-31)'!#REF!</f>
        <v>#REF!</v>
      </c>
      <c r="Z158" s="586" t="e">
        <f>#REF!+'Reg4(16-31)'!#REF!</f>
        <v>#REF!</v>
      </c>
      <c r="AA158" s="586" t="e">
        <f t="shared" ref="AA158:AA159" si="211">SUM(Y158:Z158)</f>
        <v>#REF!</v>
      </c>
      <c r="AB158" s="586"/>
      <c r="AC158" s="586" t="e">
        <f t="shared" ref="AC158:AC159" si="212">Q158+T158+X158+AA158+AB158</f>
        <v>#REF!</v>
      </c>
      <c r="AE158" s="586">
        <f t="shared" ref="AE158:AE159" si="213">D158</f>
        <v>10126</v>
      </c>
      <c r="AF158" s="586" t="e">
        <f t="shared" ref="AF158:AF159" si="214">SUM(E158:M158)+O158+R158+U158+V158+AA158+AB158</f>
        <v>#REF!</v>
      </c>
      <c r="AG158" s="586" t="e">
        <f t="shared" ref="AG158:AG159" si="215">AE158-AF158</f>
        <v>#REF!</v>
      </c>
      <c r="AH158" s="586">
        <f t="shared" ref="AH158:AH159" si="216">AE158</f>
        <v>10126</v>
      </c>
      <c r="AI158" s="586" t="e">
        <f t="shared" ref="AI158:AI159" si="217">P158+S158+W158</f>
        <v>#REF!</v>
      </c>
      <c r="AJ158" s="586" t="e">
        <f t="shared" ref="AJ158:AJ159" si="218">AH158+AI158</f>
        <v>#REF!</v>
      </c>
      <c r="AL158" s="566" t="e">
        <f>#REF!+'Reg4(16-31)'!#REF!</f>
        <v>#REF!</v>
      </c>
    </row>
    <row r="159" spans="1:38" x14ac:dyDescent="0.2">
      <c r="A159" s="30" t="s">
        <v>512</v>
      </c>
      <c r="B159" s="576" t="s">
        <v>446</v>
      </c>
      <c r="C159" s="589" t="s">
        <v>253</v>
      </c>
      <c r="D159" s="59">
        <v>9230</v>
      </c>
      <c r="E159" s="586" t="e">
        <f>#REF!+'Reg4(16-31)'!#REF!</f>
        <v>#REF!</v>
      </c>
      <c r="F159" s="586" t="e">
        <f>#REF!+'Reg4(16-31)'!#REF!</f>
        <v>#REF!</v>
      </c>
      <c r="G159" s="586" t="e">
        <f>#REF!+'Reg4(16-31)'!#REF!</f>
        <v>#REF!</v>
      </c>
      <c r="H159" s="586" t="e">
        <f>#REF!+'Reg4(16-31)'!#REF!</f>
        <v>#REF!</v>
      </c>
      <c r="I159" s="586"/>
      <c r="J159" s="586"/>
      <c r="K159" s="586" t="e">
        <f>#REF!+'Reg4(16-31)'!#REF!</f>
        <v>#REF!</v>
      </c>
      <c r="L159" s="586" t="e">
        <f>#REF!+'Reg4(16-31)'!#REF!</f>
        <v>#REF!</v>
      </c>
      <c r="M159" s="586" t="e">
        <f>#REF!+'Reg4(16-31)'!#REF!</f>
        <v>#REF!</v>
      </c>
      <c r="N159" s="586">
        <v>92.3</v>
      </c>
      <c r="O159" s="586" t="e">
        <f>#REF!</f>
        <v>#REF!</v>
      </c>
      <c r="P159" s="586" t="e">
        <f>#REF!</f>
        <v>#REF!</v>
      </c>
      <c r="Q159" s="586" t="e">
        <f t="shared" si="209"/>
        <v>#REF!</v>
      </c>
      <c r="R159" s="586" t="e">
        <f>#REF!</f>
        <v>#REF!</v>
      </c>
      <c r="S159" s="586" t="e">
        <f>#REF!</f>
        <v>#REF!</v>
      </c>
      <c r="T159" s="586" t="e">
        <f t="shared" si="210"/>
        <v>#REF!</v>
      </c>
      <c r="U159" s="586" t="e">
        <f>#REF!</f>
        <v>#REF!</v>
      </c>
      <c r="V159" s="586" t="e">
        <f>'Reg4(16-31)'!#REF!</f>
        <v>#REF!</v>
      </c>
      <c r="W159" s="586" t="e">
        <f>'Reg4(16-31)'!#REF!</f>
        <v>#REF!</v>
      </c>
      <c r="X159" s="586" t="e">
        <f>SUM(U159:W159)</f>
        <v>#REF!</v>
      </c>
      <c r="Y159" s="586" t="e">
        <f>#REF!+'Reg4(16-31)'!#REF!</f>
        <v>#REF!</v>
      </c>
      <c r="Z159" s="586" t="e">
        <f>#REF!+'Reg4(16-31)'!#REF!</f>
        <v>#REF!</v>
      </c>
      <c r="AA159" s="586" t="e">
        <f t="shared" si="211"/>
        <v>#REF!</v>
      </c>
      <c r="AB159" s="586"/>
      <c r="AC159" s="586" t="e">
        <f t="shared" si="212"/>
        <v>#REF!</v>
      </c>
      <c r="AE159" s="586">
        <f t="shared" si="213"/>
        <v>9230</v>
      </c>
      <c r="AF159" s="586" t="e">
        <f t="shared" si="214"/>
        <v>#REF!</v>
      </c>
      <c r="AG159" s="586" t="e">
        <f t="shared" si="215"/>
        <v>#REF!</v>
      </c>
      <c r="AH159" s="586">
        <f t="shared" si="216"/>
        <v>9230</v>
      </c>
      <c r="AI159" s="586" t="e">
        <f t="shared" si="217"/>
        <v>#REF!</v>
      </c>
      <c r="AJ159" s="586" t="e">
        <f t="shared" si="218"/>
        <v>#REF!</v>
      </c>
      <c r="AL159" s="566" t="e">
        <f>#REF!+'Reg4(16-31)'!#REF!</f>
        <v>#REF!</v>
      </c>
    </row>
    <row r="160" spans="1:38" ht="13.5" thickBot="1" x14ac:dyDescent="0.25">
      <c r="A160" s="30"/>
      <c r="B160" s="576"/>
      <c r="C160" s="586"/>
      <c r="D160" s="157">
        <f t="shared" ref="D160:AE160" si="219">SUM(D158:D159)</f>
        <v>19356</v>
      </c>
      <c r="E160" s="157" t="e">
        <f t="shared" si="219"/>
        <v>#REF!</v>
      </c>
      <c r="F160" s="157" t="e">
        <f t="shared" si="219"/>
        <v>#REF!</v>
      </c>
      <c r="G160" s="157" t="e">
        <f t="shared" si="219"/>
        <v>#REF!</v>
      </c>
      <c r="H160" s="157" t="e">
        <f t="shared" si="219"/>
        <v>#REF!</v>
      </c>
      <c r="I160" s="157">
        <f t="shared" si="219"/>
        <v>0</v>
      </c>
      <c r="J160" s="157">
        <f t="shared" si="219"/>
        <v>0</v>
      </c>
      <c r="K160" s="157" t="e">
        <f t="shared" si="219"/>
        <v>#REF!</v>
      </c>
      <c r="L160" s="157" t="e">
        <f t="shared" si="219"/>
        <v>#REF!</v>
      </c>
      <c r="M160" s="157" t="e">
        <f t="shared" si="219"/>
        <v>#REF!</v>
      </c>
      <c r="N160" s="157"/>
      <c r="O160" s="157" t="e">
        <f t="shared" si="219"/>
        <v>#REF!</v>
      </c>
      <c r="P160" s="157" t="e">
        <f t="shared" si="219"/>
        <v>#REF!</v>
      </c>
      <c r="Q160" s="157" t="e">
        <f t="shared" si="219"/>
        <v>#REF!</v>
      </c>
      <c r="R160" s="157" t="e">
        <f t="shared" si="219"/>
        <v>#REF!</v>
      </c>
      <c r="S160" s="157" t="e">
        <f t="shared" si="219"/>
        <v>#REF!</v>
      </c>
      <c r="T160" s="157" t="e">
        <f t="shared" si="219"/>
        <v>#REF!</v>
      </c>
      <c r="U160" s="157" t="e">
        <f t="shared" si="219"/>
        <v>#REF!</v>
      </c>
      <c r="V160" s="157" t="e">
        <f t="shared" si="219"/>
        <v>#REF!</v>
      </c>
      <c r="W160" s="157" t="e">
        <f t="shared" si="219"/>
        <v>#REF!</v>
      </c>
      <c r="X160" s="157" t="e">
        <f t="shared" si="219"/>
        <v>#REF!</v>
      </c>
      <c r="Y160" s="157" t="e">
        <f t="shared" si="219"/>
        <v>#REF!</v>
      </c>
      <c r="Z160" s="157" t="e">
        <f t="shared" si="219"/>
        <v>#REF!</v>
      </c>
      <c r="AA160" s="157" t="e">
        <f t="shared" si="219"/>
        <v>#REF!</v>
      </c>
      <c r="AB160" s="157">
        <f t="shared" si="219"/>
        <v>0</v>
      </c>
      <c r="AC160" s="157" t="e">
        <f t="shared" si="219"/>
        <v>#REF!</v>
      </c>
      <c r="AE160" s="450">
        <f t="shared" si="219"/>
        <v>19356</v>
      </c>
      <c r="AF160" s="586"/>
      <c r="AG160" s="586"/>
      <c r="AH160" s="586"/>
      <c r="AI160" s="586"/>
      <c r="AJ160" s="586"/>
    </row>
    <row r="161" spans="1:38" ht="13.5" thickTop="1" x14ac:dyDescent="0.2">
      <c r="A161" s="194" t="s">
        <v>428</v>
      </c>
      <c r="B161" s="576"/>
      <c r="C161" s="586"/>
      <c r="D161" s="55" t="s">
        <v>37</v>
      </c>
      <c r="E161" s="586"/>
      <c r="F161" s="586"/>
      <c r="G161" s="586"/>
      <c r="H161" s="586"/>
      <c r="I161" s="586"/>
      <c r="J161" s="586"/>
      <c r="K161" s="586"/>
      <c r="L161" s="586"/>
      <c r="M161" s="586"/>
      <c r="N161" s="586"/>
      <c r="O161" s="586"/>
      <c r="P161" s="586"/>
      <c r="Q161" s="586"/>
      <c r="R161" s="586"/>
      <c r="S161" s="586"/>
      <c r="T161" s="586"/>
      <c r="U161" s="586"/>
      <c r="V161" s="586"/>
      <c r="W161" s="586"/>
      <c r="X161" s="586"/>
      <c r="Y161" s="586"/>
      <c r="Z161" s="586"/>
      <c r="AA161" s="586"/>
      <c r="AB161" s="586"/>
      <c r="AC161" s="586"/>
      <c r="AE161" s="596"/>
      <c r="AF161" s="586"/>
      <c r="AG161" s="586"/>
      <c r="AH161" s="586"/>
      <c r="AI161" s="586"/>
      <c r="AJ161" s="586"/>
    </row>
    <row r="162" spans="1:38" x14ac:dyDescent="0.2">
      <c r="A162" s="30" t="s">
        <v>444</v>
      </c>
      <c r="B162" s="576" t="s">
        <v>445</v>
      </c>
      <c r="C162" s="588" t="s">
        <v>575</v>
      </c>
      <c r="D162" s="54">
        <v>13406</v>
      </c>
      <c r="E162" s="586" t="e">
        <f>#REF!+'Reg4(16-31)'!#REF!</f>
        <v>#REF!</v>
      </c>
      <c r="F162" s="586" t="e">
        <f>#REF!+'Reg4(16-31)'!#REF!</f>
        <v>#REF!</v>
      </c>
      <c r="G162" s="586" t="e">
        <f>#REF!+'Reg4(16-31)'!#REF!</f>
        <v>#REF!</v>
      </c>
      <c r="H162" s="586" t="e">
        <f>#REF!+'Reg4(16-31)'!#REF!</f>
        <v>#REF!</v>
      </c>
      <c r="I162" s="586"/>
      <c r="J162" s="586"/>
      <c r="K162" s="586" t="e">
        <f>#REF!+'Reg4(16-31)'!#REF!</f>
        <v>#REF!</v>
      </c>
      <c r="L162" s="586" t="e">
        <f>#REF!+'Reg4(16-31)'!#REF!</f>
        <v>#REF!</v>
      </c>
      <c r="M162" s="586" t="e">
        <f>#REF!+'Reg4(16-31)'!#REF!</f>
        <v>#REF!</v>
      </c>
      <c r="N162" s="586">
        <v>100</v>
      </c>
      <c r="O162" s="586" t="e">
        <f>#REF!</f>
        <v>#REF!</v>
      </c>
      <c r="P162" s="586" t="e">
        <f>#REF!</f>
        <v>#REF!</v>
      </c>
      <c r="Q162" s="586" t="e">
        <f t="shared" ref="Q162:Q168" si="220">SUM(E162:P162)</f>
        <v>#REF!</v>
      </c>
      <c r="R162" s="586" t="e">
        <f>#REF!</f>
        <v>#REF!</v>
      </c>
      <c r="S162" s="586" t="e">
        <f>#REF!</f>
        <v>#REF!</v>
      </c>
      <c r="T162" s="586" t="e">
        <f t="shared" ref="T162:T168" si="221">R162+S162</f>
        <v>#REF!</v>
      </c>
      <c r="U162" s="586" t="e">
        <f>#REF!</f>
        <v>#REF!</v>
      </c>
      <c r="V162" s="586" t="e">
        <f>'Reg4(16-31)'!#REF!</f>
        <v>#REF!</v>
      </c>
      <c r="W162" s="586" t="e">
        <f>'Reg4(16-31)'!#REF!</f>
        <v>#REF!</v>
      </c>
      <c r="X162" s="586" t="e">
        <f t="shared" ref="X162:X168" si="222">SUM(U162:W162)</f>
        <v>#REF!</v>
      </c>
      <c r="Y162" s="602" t="e">
        <f>#REF!+'Reg4(16-31)'!#REF!</f>
        <v>#REF!</v>
      </c>
      <c r="Z162" s="586" t="e">
        <f>#REF!+'Reg4(16-31)'!#REF!</f>
        <v>#REF!</v>
      </c>
      <c r="AA162" s="586" t="e">
        <f t="shared" ref="AA162:AA168" si="223">SUM(Y162:Z162)</f>
        <v>#REF!</v>
      </c>
      <c r="AB162" s="586"/>
      <c r="AC162" s="586" t="e">
        <f t="shared" ref="AC162:AC168" si="224">Q162+T162+X162+AA162+AB162</f>
        <v>#REF!</v>
      </c>
      <c r="AE162" s="586">
        <f t="shared" ref="AE162:AE168" si="225">D162</f>
        <v>13406</v>
      </c>
      <c r="AF162" s="586" t="e">
        <f t="shared" ref="AF162:AF168" si="226">SUM(E162:M162)+O162+R162+U162+V162+AA162+AB162</f>
        <v>#REF!</v>
      </c>
      <c r="AG162" s="586" t="e">
        <f t="shared" ref="AG162:AG168" si="227">AE162-AF162</f>
        <v>#REF!</v>
      </c>
      <c r="AH162" s="586">
        <f t="shared" ref="AH162:AH168" si="228">AE162</f>
        <v>13406</v>
      </c>
      <c r="AI162" s="586" t="e">
        <f t="shared" ref="AI162:AI168" si="229">P162+S162+W162</f>
        <v>#REF!</v>
      </c>
      <c r="AJ162" s="586" t="e">
        <f t="shared" ref="AJ162:AJ168" si="230">AH162+AI162</f>
        <v>#REF!</v>
      </c>
      <c r="AL162" s="566" t="e">
        <f>#REF!+'Reg4(16-31)'!#REF!</f>
        <v>#REF!</v>
      </c>
    </row>
    <row r="163" spans="1:38" x14ac:dyDescent="0.2">
      <c r="A163" s="44" t="s">
        <v>311</v>
      </c>
      <c r="B163" s="575" t="s">
        <v>499</v>
      </c>
      <c r="C163" s="589" t="s">
        <v>253</v>
      </c>
      <c r="D163" s="45">
        <v>10571</v>
      </c>
      <c r="E163" s="586" t="e">
        <f>#REF!+'Reg4(16-31)'!#REF!</f>
        <v>#REF!</v>
      </c>
      <c r="F163" s="586" t="e">
        <f>#REF!+'Reg4(16-31)'!#REF!</f>
        <v>#REF!</v>
      </c>
      <c r="G163" s="586" t="e">
        <f>#REF!+'Reg4(16-31)'!#REF!</f>
        <v>#REF!</v>
      </c>
      <c r="H163" s="586" t="e">
        <f>#REF!+'Reg4(16-31)'!#REF!</f>
        <v>#REF!</v>
      </c>
      <c r="I163" s="586"/>
      <c r="J163" s="586"/>
      <c r="K163" s="586" t="e">
        <f>#REF!+'Reg4(16-31)'!#REF!</f>
        <v>#REF!</v>
      </c>
      <c r="L163" s="586" t="e">
        <f>#REF!+'Reg4(16-31)'!#REF!</f>
        <v>#REF!</v>
      </c>
      <c r="M163" s="586" t="e">
        <f>#REF!+'Reg4(16-31)'!#REF!</f>
        <v>#REF!</v>
      </c>
      <c r="N163" s="586">
        <v>100</v>
      </c>
      <c r="O163" s="586" t="e">
        <f>#REF!</f>
        <v>#REF!</v>
      </c>
      <c r="P163" s="586" t="e">
        <f>#REF!</f>
        <v>#REF!</v>
      </c>
      <c r="Q163" s="586" t="e">
        <f t="shared" si="220"/>
        <v>#REF!</v>
      </c>
      <c r="R163" s="586" t="e">
        <f>#REF!</f>
        <v>#REF!</v>
      </c>
      <c r="S163" s="586" t="e">
        <f>#REF!</f>
        <v>#REF!</v>
      </c>
      <c r="T163" s="586" t="e">
        <f t="shared" si="221"/>
        <v>#REF!</v>
      </c>
      <c r="U163" s="586" t="e">
        <f>#REF!</f>
        <v>#REF!</v>
      </c>
      <c r="V163" s="586" t="e">
        <f>'Reg4(16-31)'!#REF!</f>
        <v>#REF!</v>
      </c>
      <c r="W163" s="586" t="e">
        <f>'Reg4(16-31)'!#REF!</f>
        <v>#REF!</v>
      </c>
      <c r="X163" s="586" t="e">
        <f t="shared" si="222"/>
        <v>#REF!</v>
      </c>
      <c r="Y163" s="586" t="e">
        <f>#REF!+'Reg4(16-31)'!#REF!</f>
        <v>#REF!</v>
      </c>
      <c r="Z163" s="586" t="e">
        <f>#REF!+'Reg4(16-31)'!#REF!</f>
        <v>#REF!</v>
      </c>
      <c r="AA163" s="586" t="e">
        <f t="shared" si="223"/>
        <v>#REF!</v>
      </c>
      <c r="AB163" s="586"/>
      <c r="AC163" s="586" t="e">
        <f t="shared" si="224"/>
        <v>#REF!</v>
      </c>
      <c r="AE163" s="586">
        <f t="shared" si="225"/>
        <v>10571</v>
      </c>
      <c r="AF163" s="586" t="e">
        <f t="shared" si="226"/>
        <v>#REF!</v>
      </c>
      <c r="AG163" s="586" t="e">
        <f t="shared" si="227"/>
        <v>#REF!</v>
      </c>
      <c r="AH163" s="586">
        <f t="shared" si="228"/>
        <v>10571</v>
      </c>
      <c r="AI163" s="586" t="e">
        <f t="shared" si="229"/>
        <v>#REF!</v>
      </c>
      <c r="AJ163" s="586" t="e">
        <f t="shared" si="230"/>
        <v>#REF!</v>
      </c>
      <c r="AL163" s="566" t="e">
        <f>#REF!+'Reg4(16-31)'!#REF!</f>
        <v>#REF!</v>
      </c>
    </row>
    <row r="164" spans="1:38" x14ac:dyDescent="0.2">
      <c r="A164" s="44" t="s">
        <v>522</v>
      </c>
      <c r="B164" s="575" t="s">
        <v>499</v>
      </c>
      <c r="C164" s="589" t="s">
        <v>253</v>
      </c>
      <c r="D164" s="45">
        <v>10571</v>
      </c>
      <c r="E164" s="586" t="e">
        <f>#REF!+'Reg4(16-31)'!J51</f>
        <v>#REF!</v>
      </c>
      <c r="F164" s="586" t="e">
        <f>#REF!+'Reg4(16-31)'!K51</f>
        <v>#REF!</v>
      </c>
      <c r="G164" s="586" t="e">
        <f>#REF!+'Reg4(16-31)'!L51</f>
        <v>#REF!</v>
      </c>
      <c r="H164" s="586" t="e">
        <f>#REF!+'Reg4(16-31)'!M51</f>
        <v>#REF!</v>
      </c>
      <c r="I164" s="586"/>
      <c r="J164" s="586"/>
      <c r="K164" s="586" t="e">
        <f>#REF!+'Reg4(16-31)'!O51</f>
        <v>#REF!</v>
      </c>
      <c r="L164" s="586" t="e">
        <f>#REF!+'Reg4(16-31)'!P51</f>
        <v>#REF!</v>
      </c>
      <c r="M164" s="586" t="e">
        <f>#REF!+'Reg4(16-31)'!Q51</f>
        <v>#REF!</v>
      </c>
      <c r="N164" s="586">
        <v>100</v>
      </c>
      <c r="O164" s="586" t="e">
        <f>#REF!</f>
        <v>#REF!</v>
      </c>
      <c r="P164" s="586" t="e">
        <f>#REF!</f>
        <v>#REF!</v>
      </c>
      <c r="Q164" s="586" t="e">
        <f t="shared" si="220"/>
        <v>#REF!</v>
      </c>
      <c r="R164" s="586" t="e">
        <f>#REF!</f>
        <v>#REF!</v>
      </c>
      <c r="S164" s="586" t="e">
        <f>#REF!</f>
        <v>#REF!</v>
      </c>
      <c r="T164" s="586" t="e">
        <f t="shared" si="221"/>
        <v>#REF!</v>
      </c>
      <c r="U164" s="586" t="e">
        <f>#REF!</f>
        <v>#REF!</v>
      </c>
      <c r="V164" s="586">
        <f>'Reg4(16-31)'!U51</f>
        <v>341.88</v>
      </c>
      <c r="W164" s="586">
        <f>'Reg4(16-31)'!V51</f>
        <v>341.88</v>
      </c>
      <c r="X164" s="586" t="e">
        <f t="shared" si="222"/>
        <v>#REF!</v>
      </c>
      <c r="Y164" s="586" t="e">
        <f>#REF!+'Reg4(16-31)'!Z51</f>
        <v>#REF!</v>
      </c>
      <c r="Z164" s="586" t="e">
        <f>#REF!+'Reg4(16-31)'!Y51</f>
        <v>#REF!</v>
      </c>
      <c r="AA164" s="586" t="e">
        <f t="shared" si="223"/>
        <v>#REF!</v>
      </c>
      <c r="AB164" s="586"/>
      <c r="AC164" s="586" t="e">
        <f t="shared" si="224"/>
        <v>#REF!</v>
      </c>
      <c r="AE164" s="586">
        <f t="shared" si="225"/>
        <v>10571</v>
      </c>
      <c r="AF164" s="586" t="e">
        <f t="shared" si="226"/>
        <v>#REF!</v>
      </c>
      <c r="AG164" s="586" t="e">
        <f t="shared" si="227"/>
        <v>#REF!</v>
      </c>
      <c r="AH164" s="586">
        <f t="shared" si="228"/>
        <v>10571</v>
      </c>
      <c r="AI164" s="586" t="e">
        <f t="shared" si="229"/>
        <v>#REF!</v>
      </c>
      <c r="AJ164" s="586" t="e">
        <f t="shared" si="230"/>
        <v>#REF!</v>
      </c>
      <c r="AL164" s="566" t="e">
        <f>#REF!+'Reg4(16-31)'!AA51</f>
        <v>#REF!</v>
      </c>
    </row>
    <row r="165" spans="1:38" x14ac:dyDescent="0.2">
      <c r="A165" s="44" t="s">
        <v>540</v>
      </c>
      <c r="B165" s="575" t="s">
        <v>499</v>
      </c>
      <c r="C165" s="589" t="s">
        <v>253</v>
      </c>
      <c r="D165" s="45">
        <v>10571</v>
      </c>
      <c r="E165" s="586" t="e">
        <f>#REF!+'Reg4(16-31)'!J52</f>
        <v>#REF!</v>
      </c>
      <c r="F165" s="586" t="e">
        <f>#REF!+'Reg4(16-31)'!K52</f>
        <v>#REF!</v>
      </c>
      <c r="G165" s="586" t="e">
        <f>#REF!+'Reg4(16-31)'!L52</f>
        <v>#REF!</v>
      </c>
      <c r="H165" s="586" t="e">
        <f>#REF!+'Reg4(16-31)'!M52</f>
        <v>#REF!</v>
      </c>
      <c r="I165" s="586"/>
      <c r="J165" s="586"/>
      <c r="K165" s="586" t="e">
        <f>#REF!+'Reg4(16-31)'!O52</f>
        <v>#REF!</v>
      </c>
      <c r="L165" s="586" t="e">
        <f>#REF!+'Reg4(16-31)'!P52</f>
        <v>#REF!</v>
      </c>
      <c r="M165" s="586" t="e">
        <f>#REF!+'Reg4(16-31)'!Q52</f>
        <v>#REF!</v>
      </c>
      <c r="N165" s="586">
        <v>100</v>
      </c>
      <c r="O165" s="586" t="e">
        <f>#REF!</f>
        <v>#REF!</v>
      </c>
      <c r="P165" s="586" t="e">
        <f>#REF!</f>
        <v>#REF!</v>
      </c>
      <c r="Q165" s="586" t="e">
        <f t="shared" si="220"/>
        <v>#REF!</v>
      </c>
      <c r="R165" s="586" t="e">
        <f>#REF!</f>
        <v>#REF!</v>
      </c>
      <c r="S165" s="586" t="e">
        <f>#REF!</f>
        <v>#REF!</v>
      </c>
      <c r="T165" s="586" t="e">
        <f t="shared" si="221"/>
        <v>#REF!</v>
      </c>
      <c r="U165" s="586" t="e">
        <f>#REF!</f>
        <v>#REF!</v>
      </c>
      <c r="V165" s="586">
        <f>'Reg4(16-31)'!U52</f>
        <v>288.28000000000003</v>
      </c>
      <c r="W165" s="586">
        <f>'Reg4(16-31)'!V52</f>
        <v>288.28000000000003</v>
      </c>
      <c r="X165" s="586" t="e">
        <f t="shared" si="222"/>
        <v>#REF!</v>
      </c>
      <c r="Y165" s="586" t="e">
        <f>#REF!+'Reg4(16-31)'!Z52</f>
        <v>#REF!</v>
      </c>
      <c r="Z165" s="586" t="e">
        <f>#REF!+'Reg4(16-31)'!Y52</f>
        <v>#REF!</v>
      </c>
      <c r="AA165" s="586" t="e">
        <f t="shared" si="223"/>
        <v>#REF!</v>
      </c>
      <c r="AB165" s="586"/>
      <c r="AC165" s="586" t="e">
        <f t="shared" si="224"/>
        <v>#REF!</v>
      </c>
      <c r="AE165" s="586">
        <f t="shared" si="225"/>
        <v>10571</v>
      </c>
      <c r="AF165" s="586" t="e">
        <f t="shared" si="226"/>
        <v>#REF!</v>
      </c>
      <c r="AG165" s="586" t="e">
        <f t="shared" si="227"/>
        <v>#REF!</v>
      </c>
      <c r="AH165" s="586">
        <f t="shared" si="228"/>
        <v>10571</v>
      </c>
      <c r="AI165" s="586" t="e">
        <f t="shared" si="229"/>
        <v>#REF!</v>
      </c>
      <c r="AJ165" s="586" t="e">
        <f t="shared" si="230"/>
        <v>#REF!</v>
      </c>
      <c r="AL165" s="566" t="e">
        <f>#REF!+'Reg4(16-31)'!AA52</f>
        <v>#REF!</v>
      </c>
    </row>
    <row r="166" spans="1:38" x14ac:dyDescent="0.2">
      <c r="A166" s="30" t="s">
        <v>471</v>
      </c>
      <c r="B166" s="576" t="s">
        <v>446</v>
      </c>
      <c r="C166" s="589" t="s">
        <v>253</v>
      </c>
      <c r="D166" s="54">
        <v>9973</v>
      </c>
      <c r="E166" s="586" t="e">
        <f>#REF!+'Reg4(16-31)'!J53</f>
        <v>#REF!</v>
      </c>
      <c r="F166" s="586" t="e">
        <f>#REF!+'Reg4(16-31)'!K53</f>
        <v>#REF!</v>
      </c>
      <c r="G166" s="586" t="e">
        <f>#REF!+'Reg4(16-31)'!L53</f>
        <v>#REF!</v>
      </c>
      <c r="H166" s="586" t="e">
        <f>#REF!+'Reg4(16-31)'!M53</f>
        <v>#REF!</v>
      </c>
      <c r="I166" s="586"/>
      <c r="J166" s="586"/>
      <c r="K166" s="586" t="e">
        <f>#REF!+'Reg4(16-31)'!O53</f>
        <v>#REF!</v>
      </c>
      <c r="L166" s="586" t="e">
        <f>#REF!+'Reg4(16-31)'!P53</f>
        <v>#REF!</v>
      </c>
      <c r="M166" s="586" t="e">
        <f>#REF!+'Reg4(16-31)'!Q53</f>
        <v>#REF!</v>
      </c>
      <c r="N166" s="586">
        <v>99.73</v>
      </c>
      <c r="O166" s="586" t="e">
        <f>#REF!</f>
        <v>#REF!</v>
      </c>
      <c r="P166" s="586" t="e">
        <f>#REF!</f>
        <v>#REF!</v>
      </c>
      <c r="Q166" s="586" t="e">
        <f t="shared" si="220"/>
        <v>#REF!</v>
      </c>
      <c r="R166" s="586" t="e">
        <f>#REF!</f>
        <v>#REF!</v>
      </c>
      <c r="S166" s="586" t="e">
        <f>#REF!</f>
        <v>#REF!</v>
      </c>
      <c r="T166" s="586" t="e">
        <f t="shared" si="221"/>
        <v>#REF!</v>
      </c>
      <c r="U166" s="586" t="e">
        <f>#REF!</f>
        <v>#REF!</v>
      </c>
      <c r="V166" s="586">
        <f>'Reg4(16-31)'!U53</f>
        <v>286.16000000000003</v>
      </c>
      <c r="W166" s="586">
        <f>'Reg4(16-31)'!V53</f>
        <v>286.16000000000003</v>
      </c>
      <c r="X166" s="586" t="e">
        <f t="shared" si="222"/>
        <v>#REF!</v>
      </c>
      <c r="Y166" s="602" t="e">
        <f>#REF!+'Reg4(16-31)'!Z53</f>
        <v>#REF!</v>
      </c>
      <c r="Z166" s="586" t="e">
        <f>#REF!+'Reg4(16-31)'!Y53</f>
        <v>#REF!</v>
      </c>
      <c r="AA166" s="586" t="e">
        <f t="shared" si="223"/>
        <v>#REF!</v>
      </c>
      <c r="AB166" s="586"/>
      <c r="AC166" s="586" t="e">
        <f t="shared" si="224"/>
        <v>#REF!</v>
      </c>
      <c r="AE166" s="586">
        <f t="shared" si="225"/>
        <v>9973</v>
      </c>
      <c r="AF166" s="586" t="e">
        <f t="shared" si="226"/>
        <v>#REF!</v>
      </c>
      <c r="AG166" s="586" t="e">
        <f t="shared" si="227"/>
        <v>#REF!</v>
      </c>
      <c r="AH166" s="586">
        <f t="shared" si="228"/>
        <v>9973</v>
      </c>
      <c r="AI166" s="586" t="e">
        <f t="shared" si="229"/>
        <v>#REF!</v>
      </c>
      <c r="AJ166" s="586" t="e">
        <f t="shared" si="230"/>
        <v>#REF!</v>
      </c>
      <c r="AL166" s="566" t="e">
        <f>#REF!+'Reg4(16-31)'!AA53</f>
        <v>#REF!</v>
      </c>
    </row>
    <row r="167" spans="1:38" x14ac:dyDescent="0.2">
      <c r="A167" s="30" t="s">
        <v>472</v>
      </c>
      <c r="B167" s="576" t="s">
        <v>446</v>
      </c>
      <c r="C167" s="589" t="s">
        <v>253</v>
      </c>
      <c r="D167" s="54">
        <v>9973</v>
      </c>
      <c r="E167" s="586" t="e">
        <f>#REF!+'Reg4(16-31)'!J54</f>
        <v>#REF!</v>
      </c>
      <c r="F167" s="586" t="e">
        <f>#REF!+'Reg4(16-31)'!K54</f>
        <v>#REF!</v>
      </c>
      <c r="G167" s="586" t="e">
        <f>#REF!+'Reg4(16-31)'!L54</f>
        <v>#REF!</v>
      </c>
      <c r="H167" s="586" t="e">
        <f>#REF!+'Reg4(16-31)'!M54</f>
        <v>#REF!</v>
      </c>
      <c r="I167" s="586"/>
      <c r="J167" s="586"/>
      <c r="K167" s="586" t="e">
        <f>#REF!+'Reg4(16-31)'!O54</f>
        <v>#REF!</v>
      </c>
      <c r="L167" s="586" t="e">
        <f>#REF!+'Reg4(16-31)'!P54</f>
        <v>#REF!</v>
      </c>
      <c r="M167" s="586" t="e">
        <f>#REF!+'Reg4(16-31)'!Q54</f>
        <v>#REF!</v>
      </c>
      <c r="N167" s="586">
        <v>99.73</v>
      </c>
      <c r="O167" s="586" t="e">
        <f>#REF!</f>
        <v>#REF!</v>
      </c>
      <c r="P167" s="586" t="e">
        <f>#REF!</f>
        <v>#REF!</v>
      </c>
      <c r="Q167" s="586" t="e">
        <f t="shared" si="220"/>
        <v>#REF!</v>
      </c>
      <c r="R167" s="586" t="e">
        <f>#REF!</f>
        <v>#REF!</v>
      </c>
      <c r="S167" s="586" t="e">
        <f>#REF!</f>
        <v>#REF!</v>
      </c>
      <c r="T167" s="586" t="e">
        <f t="shared" si="221"/>
        <v>#REF!</v>
      </c>
      <c r="U167" s="586" t="e">
        <f>#REF!</f>
        <v>#REF!</v>
      </c>
      <c r="V167" s="586">
        <f>'Reg4(16-31)'!U54</f>
        <v>286.16000000000003</v>
      </c>
      <c r="W167" s="586">
        <f>'Reg4(16-31)'!V54</f>
        <v>286.16000000000003</v>
      </c>
      <c r="X167" s="586" t="e">
        <f t="shared" si="222"/>
        <v>#REF!</v>
      </c>
      <c r="Y167" s="602" t="e">
        <f>#REF!+'Reg4(16-31)'!Z54</f>
        <v>#REF!</v>
      </c>
      <c r="Z167" s="586" t="e">
        <f>#REF!+'Reg4(16-31)'!Y54</f>
        <v>#REF!</v>
      </c>
      <c r="AA167" s="586" t="e">
        <f t="shared" si="223"/>
        <v>#REF!</v>
      </c>
      <c r="AB167" s="586"/>
      <c r="AC167" s="586" t="e">
        <f t="shared" si="224"/>
        <v>#REF!</v>
      </c>
      <c r="AE167" s="586">
        <f t="shared" si="225"/>
        <v>9973</v>
      </c>
      <c r="AF167" s="586" t="e">
        <f t="shared" si="226"/>
        <v>#REF!</v>
      </c>
      <c r="AG167" s="586" t="e">
        <f t="shared" si="227"/>
        <v>#REF!</v>
      </c>
      <c r="AH167" s="586">
        <f t="shared" si="228"/>
        <v>9973</v>
      </c>
      <c r="AI167" s="586" t="e">
        <f t="shared" si="229"/>
        <v>#REF!</v>
      </c>
      <c r="AJ167" s="586" t="e">
        <f t="shared" si="230"/>
        <v>#REF!</v>
      </c>
      <c r="AL167" s="566" t="e">
        <f>#REF!+'Reg4(16-31)'!AA54</f>
        <v>#REF!</v>
      </c>
    </row>
    <row r="168" spans="1:38" x14ac:dyDescent="0.2">
      <c r="A168" s="30" t="s">
        <v>548</v>
      </c>
      <c r="B168" s="576" t="s">
        <v>446</v>
      </c>
      <c r="C168" s="589" t="s">
        <v>253</v>
      </c>
      <c r="D168" s="62">
        <v>9973</v>
      </c>
      <c r="E168" s="586" t="e">
        <f>#REF!+'Reg4(16-31)'!J55</f>
        <v>#REF!</v>
      </c>
      <c r="F168" s="586" t="e">
        <f>#REF!+'Reg4(16-31)'!K55</f>
        <v>#REF!</v>
      </c>
      <c r="G168" s="586" t="e">
        <f>#REF!+'Reg4(16-31)'!L55</f>
        <v>#REF!</v>
      </c>
      <c r="H168" s="586" t="e">
        <f>#REF!+'Reg4(16-31)'!M55</f>
        <v>#REF!</v>
      </c>
      <c r="I168" s="586"/>
      <c r="J168" s="586"/>
      <c r="K168" s="586" t="e">
        <f>#REF!+'Reg4(16-31)'!O55</f>
        <v>#REF!</v>
      </c>
      <c r="L168" s="586" t="e">
        <f>#REF!+'Reg4(16-31)'!P55</f>
        <v>#REF!</v>
      </c>
      <c r="M168" s="586" t="e">
        <f>#REF!+'Reg4(16-31)'!Q55</f>
        <v>#REF!</v>
      </c>
      <c r="N168" s="586">
        <v>99.73</v>
      </c>
      <c r="O168" s="586" t="e">
        <f>#REF!</f>
        <v>#REF!</v>
      </c>
      <c r="P168" s="586" t="e">
        <f>#REF!</f>
        <v>#REF!</v>
      </c>
      <c r="Q168" s="586" t="e">
        <f t="shared" si="220"/>
        <v>#REF!</v>
      </c>
      <c r="R168" s="586" t="e">
        <f>#REF!</f>
        <v>#REF!</v>
      </c>
      <c r="S168" s="586" t="e">
        <f>#REF!</f>
        <v>#REF!</v>
      </c>
      <c r="T168" s="586" t="e">
        <f t="shared" si="221"/>
        <v>#REF!</v>
      </c>
      <c r="U168" s="586" t="e">
        <f>#REF!</f>
        <v>#REF!</v>
      </c>
      <c r="V168" s="586">
        <f>'Reg4(16-31)'!U55</f>
        <v>286.16000000000003</v>
      </c>
      <c r="W168" s="586">
        <f>'Reg4(16-31)'!V55</f>
        <v>286.16000000000003</v>
      </c>
      <c r="X168" s="586" t="e">
        <f t="shared" si="222"/>
        <v>#REF!</v>
      </c>
      <c r="Y168" s="586" t="e">
        <f>#REF!+'Reg4(16-31)'!Z55</f>
        <v>#REF!</v>
      </c>
      <c r="Z168" s="586" t="e">
        <f>#REF!+'Reg4(16-31)'!Y55</f>
        <v>#REF!</v>
      </c>
      <c r="AA168" s="586" t="e">
        <f t="shared" si="223"/>
        <v>#REF!</v>
      </c>
      <c r="AB168" s="586"/>
      <c r="AC168" s="586" t="e">
        <f t="shared" si="224"/>
        <v>#REF!</v>
      </c>
      <c r="AE168" s="586">
        <f t="shared" si="225"/>
        <v>9973</v>
      </c>
      <c r="AF168" s="586" t="e">
        <f t="shared" si="226"/>
        <v>#REF!</v>
      </c>
      <c r="AG168" s="586" t="e">
        <f t="shared" si="227"/>
        <v>#REF!</v>
      </c>
      <c r="AH168" s="586">
        <f t="shared" si="228"/>
        <v>9973</v>
      </c>
      <c r="AI168" s="586" t="e">
        <f t="shared" si="229"/>
        <v>#REF!</v>
      </c>
      <c r="AJ168" s="586" t="e">
        <f t="shared" si="230"/>
        <v>#REF!</v>
      </c>
      <c r="AL168" s="566" t="e">
        <f>#REF!+'Reg4(16-31)'!AA55</f>
        <v>#REF!</v>
      </c>
    </row>
    <row r="169" spans="1:38" x14ac:dyDescent="0.2">
      <c r="A169" s="30"/>
      <c r="B169" s="576"/>
      <c r="C169" s="586"/>
      <c r="D169" s="450">
        <f t="shared" ref="D169" si="231">SUM(D162:D168)</f>
        <v>75038</v>
      </c>
      <c r="E169" s="450" t="e">
        <f t="shared" ref="E169:AC169" si="232">SUM(E162:E168)</f>
        <v>#REF!</v>
      </c>
      <c r="F169" s="450" t="e">
        <f t="shared" si="232"/>
        <v>#REF!</v>
      </c>
      <c r="G169" s="450" t="e">
        <f t="shared" si="232"/>
        <v>#REF!</v>
      </c>
      <c r="H169" s="450" t="e">
        <f t="shared" si="232"/>
        <v>#REF!</v>
      </c>
      <c r="I169" s="450">
        <f t="shared" si="232"/>
        <v>0</v>
      </c>
      <c r="J169" s="450">
        <f t="shared" si="232"/>
        <v>0</v>
      </c>
      <c r="K169" s="450" t="e">
        <f t="shared" si="232"/>
        <v>#REF!</v>
      </c>
      <c r="L169" s="450" t="e">
        <f t="shared" si="232"/>
        <v>#REF!</v>
      </c>
      <c r="M169" s="450" t="e">
        <f t="shared" si="232"/>
        <v>#REF!</v>
      </c>
      <c r="N169" s="450">
        <f>SUM(N162:N168)</f>
        <v>699.19</v>
      </c>
      <c r="O169" s="450" t="e">
        <f t="shared" si="232"/>
        <v>#REF!</v>
      </c>
      <c r="P169" s="450" t="e">
        <f t="shared" si="232"/>
        <v>#REF!</v>
      </c>
      <c r="Q169" s="450" t="e">
        <f t="shared" si="232"/>
        <v>#REF!</v>
      </c>
      <c r="R169" s="450" t="e">
        <f t="shared" si="232"/>
        <v>#REF!</v>
      </c>
      <c r="S169" s="450" t="e">
        <f t="shared" si="232"/>
        <v>#REF!</v>
      </c>
      <c r="T169" s="450" t="e">
        <f t="shared" si="232"/>
        <v>#REF!</v>
      </c>
      <c r="U169" s="450" t="e">
        <f t="shared" si="232"/>
        <v>#REF!</v>
      </c>
      <c r="V169" s="450" t="e">
        <f t="shared" si="232"/>
        <v>#REF!</v>
      </c>
      <c r="W169" s="450" t="e">
        <f t="shared" si="232"/>
        <v>#REF!</v>
      </c>
      <c r="X169" s="450" t="e">
        <f t="shared" si="232"/>
        <v>#REF!</v>
      </c>
      <c r="Y169" s="450" t="e">
        <f t="shared" si="232"/>
        <v>#REF!</v>
      </c>
      <c r="Z169" s="450" t="e">
        <f t="shared" si="232"/>
        <v>#REF!</v>
      </c>
      <c r="AA169" s="450" t="e">
        <f t="shared" si="232"/>
        <v>#REF!</v>
      </c>
      <c r="AB169" s="450">
        <f t="shared" si="232"/>
        <v>0</v>
      </c>
      <c r="AC169" s="450" t="e">
        <f t="shared" si="232"/>
        <v>#REF!</v>
      </c>
      <c r="AE169" s="601">
        <f>SUM(AE162:AE168)</f>
        <v>75038</v>
      </c>
      <c r="AF169" s="586"/>
      <c r="AG169" s="586"/>
      <c r="AH169" s="586"/>
      <c r="AI169" s="586"/>
      <c r="AJ169" s="586"/>
    </row>
    <row r="170" spans="1:38" ht="13.5" thickBot="1" x14ac:dyDescent="0.25">
      <c r="A170" s="593" t="s">
        <v>581</v>
      </c>
      <c r="B170" s="582"/>
      <c r="C170" s="597"/>
      <c r="D170" s="366">
        <f>D169+D160+D156+D152+D142+D136</f>
        <v>452153</v>
      </c>
      <c r="E170" s="366" t="e">
        <f t="shared" ref="E170:AC170" si="233">E169+E160+E156+E152+E142+E136</f>
        <v>#REF!</v>
      </c>
      <c r="F170" s="366" t="e">
        <f t="shared" si="233"/>
        <v>#REF!</v>
      </c>
      <c r="G170" s="366" t="e">
        <f t="shared" si="233"/>
        <v>#REF!</v>
      </c>
      <c r="H170" s="366" t="e">
        <f t="shared" si="233"/>
        <v>#REF!</v>
      </c>
      <c r="I170" s="366">
        <f t="shared" si="233"/>
        <v>0</v>
      </c>
      <c r="J170" s="366">
        <f t="shared" si="233"/>
        <v>0</v>
      </c>
      <c r="K170" s="366" t="e">
        <f t="shared" si="233"/>
        <v>#REF!</v>
      </c>
      <c r="L170" s="366" t="e">
        <f t="shared" si="233"/>
        <v>#REF!</v>
      </c>
      <c r="M170" s="366" t="e">
        <f t="shared" si="233"/>
        <v>#REF!</v>
      </c>
      <c r="N170" s="366">
        <f t="shared" si="233"/>
        <v>2895.4800000000005</v>
      </c>
      <c r="O170" s="366" t="e">
        <f t="shared" si="233"/>
        <v>#REF!</v>
      </c>
      <c r="P170" s="366" t="e">
        <f t="shared" si="233"/>
        <v>#REF!</v>
      </c>
      <c r="Q170" s="366" t="e">
        <f t="shared" si="233"/>
        <v>#REF!</v>
      </c>
      <c r="R170" s="366" t="e">
        <f t="shared" si="233"/>
        <v>#REF!</v>
      </c>
      <c r="S170" s="366" t="e">
        <f t="shared" si="233"/>
        <v>#REF!</v>
      </c>
      <c r="T170" s="366" t="e">
        <f t="shared" si="233"/>
        <v>#REF!</v>
      </c>
      <c r="U170" s="366" t="e">
        <f t="shared" si="233"/>
        <v>#REF!</v>
      </c>
      <c r="V170" s="366" t="e">
        <f t="shared" si="233"/>
        <v>#REF!</v>
      </c>
      <c r="W170" s="366" t="e">
        <f t="shared" si="233"/>
        <v>#REF!</v>
      </c>
      <c r="X170" s="366" t="e">
        <f t="shared" si="233"/>
        <v>#REF!</v>
      </c>
      <c r="Y170" s="366" t="e">
        <f t="shared" si="233"/>
        <v>#REF!</v>
      </c>
      <c r="Z170" s="366" t="e">
        <f t="shared" si="233"/>
        <v>#REF!</v>
      </c>
      <c r="AA170" s="366" t="e">
        <f t="shared" si="233"/>
        <v>#REF!</v>
      </c>
      <c r="AB170" s="366" t="e">
        <f t="shared" si="233"/>
        <v>#REF!</v>
      </c>
      <c r="AC170" s="366" t="e">
        <f t="shared" si="233"/>
        <v>#REF!</v>
      </c>
      <c r="AE170" s="450">
        <f>AE169+AE160+AE156+AE152+AE142+AE136</f>
        <v>432207</v>
      </c>
      <c r="AF170" s="586"/>
      <c r="AG170" s="586"/>
      <c r="AH170" s="586"/>
      <c r="AI170" s="586"/>
      <c r="AJ170" s="586"/>
    </row>
    <row r="171" spans="1:38" ht="13.5" thickTop="1" x14ac:dyDescent="0.2">
      <c r="A171" s="594"/>
      <c r="B171" s="328"/>
      <c r="C171" s="596"/>
      <c r="D171" s="61"/>
      <c r="E171" s="586"/>
      <c r="F171" s="586"/>
      <c r="G171" s="586"/>
      <c r="H171" s="586"/>
      <c r="I171" s="586"/>
      <c r="J171" s="586"/>
      <c r="K171" s="586"/>
      <c r="L171" s="586"/>
      <c r="M171" s="586"/>
      <c r="N171" s="586"/>
      <c r="O171" s="586"/>
      <c r="P171" s="586"/>
      <c r="Q171" s="586"/>
      <c r="R171" s="586"/>
      <c r="S171" s="586"/>
      <c r="T171" s="586"/>
      <c r="U171" s="586"/>
      <c r="V171" s="586"/>
      <c r="W171" s="586"/>
      <c r="X171" s="586"/>
      <c r="Y171" s="586"/>
      <c r="Z171" s="586"/>
      <c r="AA171" s="586"/>
      <c r="AB171" s="586"/>
      <c r="AC171" s="586"/>
      <c r="AE171" s="596"/>
      <c r="AF171" s="586"/>
      <c r="AG171" s="586"/>
      <c r="AH171" s="586"/>
      <c r="AI171" s="586"/>
      <c r="AJ171" s="586"/>
    </row>
    <row r="172" spans="1:38" x14ac:dyDescent="0.2">
      <c r="A172" s="194" t="s">
        <v>435</v>
      </c>
      <c r="B172" s="575"/>
      <c r="C172" s="586"/>
      <c r="D172" s="586"/>
      <c r="E172" s="586"/>
      <c r="F172" s="586"/>
      <c r="G172" s="586"/>
      <c r="H172" s="586"/>
      <c r="I172" s="586"/>
      <c r="J172" s="586"/>
      <c r="K172" s="586"/>
      <c r="L172" s="586"/>
      <c r="M172" s="586"/>
      <c r="N172" s="586"/>
      <c r="O172" s="586"/>
      <c r="P172" s="586"/>
      <c r="Q172" s="586"/>
      <c r="R172" s="586"/>
      <c r="S172" s="586"/>
      <c r="T172" s="586"/>
      <c r="U172" s="586"/>
      <c r="V172" s="586"/>
      <c r="W172" s="586"/>
      <c r="X172" s="586"/>
      <c r="Y172" s="586"/>
      <c r="Z172" s="586"/>
      <c r="AA172" s="586"/>
      <c r="AB172" s="586"/>
      <c r="AC172" s="586"/>
      <c r="AE172" s="586"/>
      <c r="AF172" s="586"/>
      <c r="AG172" s="586"/>
      <c r="AH172" s="586"/>
      <c r="AI172" s="586"/>
      <c r="AJ172" s="586"/>
    </row>
    <row r="173" spans="1:38" x14ac:dyDescent="0.2">
      <c r="A173" s="30" t="s">
        <v>200</v>
      </c>
      <c r="B173" s="575" t="s">
        <v>36</v>
      </c>
      <c r="C173" s="588" t="s">
        <v>575</v>
      </c>
      <c r="D173" s="54">
        <v>76066</v>
      </c>
      <c r="E173" s="586" t="e">
        <f>'SB(1-15)'!#REF!+'SB (16-31)'!#REF!</f>
        <v>#REF!</v>
      </c>
      <c r="F173" s="586" t="e">
        <f>#REF!+'SB (16-31)'!#REF!</f>
        <v>#REF!</v>
      </c>
      <c r="G173" s="586" t="e">
        <f>#REF!+'SB (16-31)'!#REF!</f>
        <v>#REF!</v>
      </c>
      <c r="H173" s="586" t="e">
        <f>#REF!+'SB (16-31)'!#REF!</f>
        <v>#REF!</v>
      </c>
      <c r="I173" s="586" t="e">
        <f>#REF!+'SB (16-31)'!#REF!</f>
        <v>#REF!</v>
      </c>
      <c r="J173" s="586" t="e">
        <f>#REF!</f>
        <v>#REF!</v>
      </c>
      <c r="K173" s="586" t="e">
        <f>#REF!+'SB (16-31)'!#REF!</f>
        <v>#REF!</v>
      </c>
      <c r="L173" s="586" t="e">
        <f>#REF!+'SB (16-31)'!#REF!</f>
        <v>#REF!</v>
      </c>
      <c r="M173" s="586" t="e">
        <f>#REF!+'SB (16-31)'!#REF!</f>
        <v>#REF!</v>
      </c>
      <c r="N173" s="586">
        <v>100</v>
      </c>
      <c r="O173" s="586" t="e">
        <f>#REF!</f>
        <v>#REF!</v>
      </c>
      <c r="P173" s="586" t="e">
        <f>#REF!</f>
        <v>#REF!</v>
      </c>
      <c r="Q173" s="586" t="e">
        <f t="shared" ref="Q173:Q176" si="234">SUM(E173:P173)</f>
        <v>#REF!</v>
      </c>
      <c r="R173" s="586" t="e">
        <f>#REF!</f>
        <v>#REF!</v>
      </c>
      <c r="S173" s="586" t="e">
        <f>#REF!</f>
        <v>#REF!</v>
      </c>
      <c r="T173" s="586" t="e">
        <f t="shared" ref="T173:T176" si="235">R173+S173</f>
        <v>#REF!</v>
      </c>
      <c r="U173" s="586" t="e">
        <f>#REF!+'SB (16-31)'!#REF!</f>
        <v>#REF!</v>
      </c>
      <c r="V173" s="586" t="e">
        <f>'SB (16-31)'!#REF!</f>
        <v>#REF!</v>
      </c>
      <c r="W173" s="586" t="e">
        <f>'SB (16-31)'!#REF!</f>
        <v>#REF!</v>
      </c>
      <c r="X173" s="586" t="e">
        <f t="shared" ref="X173:X176" si="236">SUM(U173:W173)</f>
        <v>#REF!</v>
      </c>
      <c r="Y173" s="586" t="e">
        <f>#REF!+'SB (16-31)'!#REF!</f>
        <v>#REF!</v>
      </c>
      <c r="Z173" s="586" t="e">
        <f>#REF!+'SB (16-31)'!#REF!</f>
        <v>#REF!</v>
      </c>
      <c r="AA173" s="586" t="e">
        <f t="shared" ref="AA173:AA176" si="237">SUM(Y173:Z173)</f>
        <v>#REF!</v>
      </c>
      <c r="AB173" s="586" t="e">
        <f>'SB (16-31)'!#REF!</f>
        <v>#REF!</v>
      </c>
      <c r="AC173" s="586" t="e">
        <f t="shared" ref="AC173:AC176" si="238">Q173+T173+X173+AA173+AB173</f>
        <v>#REF!</v>
      </c>
      <c r="AE173" s="586">
        <f t="shared" ref="AE173:AE176" si="239">D173</f>
        <v>76066</v>
      </c>
      <c r="AF173" s="586" t="e">
        <f t="shared" ref="AF173:AF176" si="240">SUM(E173:M173)+O173+R173+U173+V173+AA173+AB173</f>
        <v>#REF!</v>
      </c>
      <c r="AG173" s="586" t="e">
        <f t="shared" ref="AG173:AG176" si="241">AE173-AF173</f>
        <v>#REF!</v>
      </c>
      <c r="AH173" s="586">
        <f t="shared" ref="AH173:AH176" si="242">AE173</f>
        <v>76066</v>
      </c>
      <c r="AI173" s="586" t="e">
        <f t="shared" ref="AI173:AI176" si="243">P173+S173+W173</f>
        <v>#REF!</v>
      </c>
      <c r="AJ173" s="586" t="e">
        <f t="shared" ref="AJ173:AJ176" si="244">AH173+AI173</f>
        <v>#REF!</v>
      </c>
      <c r="AL173" s="566" t="e">
        <f>#REF!+'Reg4(16-31)'!AA65</f>
        <v>#REF!</v>
      </c>
    </row>
    <row r="174" spans="1:38" x14ac:dyDescent="0.2">
      <c r="A174" s="44" t="s">
        <v>494</v>
      </c>
      <c r="B174" s="574" t="s">
        <v>513</v>
      </c>
      <c r="C174" s="589" t="s">
        <v>253</v>
      </c>
      <c r="D174" s="54">
        <v>16603</v>
      </c>
      <c r="E174" s="586" t="e">
        <f>'SB(1-15)'!#REF!+'SB (16-31)'!#REF!</f>
        <v>#REF!</v>
      </c>
      <c r="F174" s="586" t="e">
        <f>#REF!+'SB (16-31)'!#REF!</f>
        <v>#REF!</v>
      </c>
      <c r="G174" s="586" t="e">
        <f>#REF!+'SB (16-31)'!#REF!</f>
        <v>#REF!</v>
      </c>
      <c r="H174" s="586" t="e">
        <f>#REF!+'SB (16-31)'!#REF!</f>
        <v>#REF!</v>
      </c>
      <c r="I174" s="586" t="e">
        <f>#REF!+'SB (16-31)'!#REF!</f>
        <v>#REF!</v>
      </c>
      <c r="J174" s="586" t="e">
        <f>#REF!</f>
        <v>#REF!</v>
      </c>
      <c r="K174" s="586" t="e">
        <f>#REF!+'SB (16-31)'!#REF!</f>
        <v>#REF!</v>
      </c>
      <c r="L174" s="586" t="e">
        <f>#REF!+'SB (16-31)'!#REF!</f>
        <v>#REF!</v>
      </c>
      <c r="M174" s="586" t="e">
        <f>#REF!+'SB (16-31)'!#REF!</f>
        <v>#REF!</v>
      </c>
      <c r="N174" s="586">
        <v>100</v>
      </c>
      <c r="O174" s="586" t="e">
        <f>#REF!</f>
        <v>#REF!</v>
      </c>
      <c r="P174" s="586" t="e">
        <f>#REF!</f>
        <v>#REF!</v>
      </c>
      <c r="Q174" s="586" t="e">
        <f t="shared" si="234"/>
        <v>#REF!</v>
      </c>
      <c r="R174" s="586" t="e">
        <f>#REF!</f>
        <v>#REF!</v>
      </c>
      <c r="S174" s="586" t="e">
        <f>#REF!</f>
        <v>#REF!</v>
      </c>
      <c r="T174" s="586" t="e">
        <f t="shared" si="235"/>
        <v>#REF!</v>
      </c>
      <c r="U174" s="586" t="e">
        <f>#REF!+'SB (16-31)'!#REF!</f>
        <v>#REF!</v>
      </c>
      <c r="V174" s="586" t="e">
        <f>'SB (16-31)'!#REF!</f>
        <v>#REF!</v>
      </c>
      <c r="W174" s="586" t="e">
        <f>'SB (16-31)'!#REF!</f>
        <v>#REF!</v>
      </c>
      <c r="X174" s="586" t="e">
        <f t="shared" si="236"/>
        <v>#REF!</v>
      </c>
      <c r="Y174" s="586" t="e">
        <f>#REF!+'SB (16-31)'!#REF!</f>
        <v>#REF!</v>
      </c>
      <c r="Z174" s="586" t="e">
        <f>#REF!+'SB (16-31)'!#REF!</f>
        <v>#REF!</v>
      </c>
      <c r="AA174" s="586" t="e">
        <f t="shared" si="237"/>
        <v>#REF!</v>
      </c>
      <c r="AB174" s="586" t="e">
        <f>'SB (16-31)'!#REF!</f>
        <v>#REF!</v>
      </c>
      <c r="AC174" s="586" t="e">
        <f t="shared" si="238"/>
        <v>#REF!</v>
      </c>
      <c r="AE174" s="586">
        <f t="shared" si="239"/>
        <v>16603</v>
      </c>
      <c r="AF174" s="586" t="e">
        <f t="shared" si="240"/>
        <v>#REF!</v>
      </c>
      <c r="AG174" s="586" t="e">
        <f t="shared" si="241"/>
        <v>#REF!</v>
      </c>
      <c r="AH174" s="586">
        <f t="shared" si="242"/>
        <v>16603</v>
      </c>
      <c r="AI174" s="586" t="e">
        <f t="shared" si="243"/>
        <v>#REF!</v>
      </c>
      <c r="AJ174" s="586" t="e">
        <f t="shared" si="244"/>
        <v>#REF!</v>
      </c>
      <c r="AL174" s="566" t="e">
        <f>#REF!+'Reg4(16-31)'!AA66</f>
        <v>#REF!</v>
      </c>
    </row>
    <row r="175" spans="1:38" x14ac:dyDescent="0.2">
      <c r="A175" s="30" t="s">
        <v>204</v>
      </c>
      <c r="B175" s="575" t="s">
        <v>499</v>
      </c>
      <c r="C175" s="589" t="s">
        <v>253</v>
      </c>
      <c r="D175" s="54">
        <v>10571</v>
      </c>
      <c r="E175" s="586" t="e">
        <f>'SB(1-15)'!I38+'SB (16-31)'!#REF!</f>
        <v>#REF!</v>
      </c>
      <c r="F175" s="586" t="e">
        <f>#REF!+'SB (16-31)'!J38</f>
        <v>#REF!</v>
      </c>
      <c r="G175" s="586" t="e">
        <f>#REF!+'SB (16-31)'!#REF!</f>
        <v>#REF!</v>
      </c>
      <c r="H175" s="586" t="e">
        <f>#REF!+'SB (16-31)'!#REF!</f>
        <v>#REF!</v>
      </c>
      <c r="I175" s="586" t="e">
        <f>#REF!+'SB (16-31)'!M38</f>
        <v>#REF!</v>
      </c>
      <c r="J175" s="586" t="e">
        <f>#REF!</f>
        <v>#REF!</v>
      </c>
      <c r="K175" s="586" t="e">
        <f>#REF!+'SB (16-31)'!#REF!</f>
        <v>#REF!</v>
      </c>
      <c r="L175" s="586" t="e">
        <f>#REF!+'SB (16-31)'!P38</f>
        <v>#REF!</v>
      </c>
      <c r="M175" s="586" t="e">
        <f>#REF!+'SB (16-31)'!#REF!</f>
        <v>#REF!</v>
      </c>
      <c r="N175" s="586">
        <v>100</v>
      </c>
      <c r="O175" s="586" t="e">
        <f>#REF!</f>
        <v>#REF!</v>
      </c>
      <c r="P175" s="586" t="e">
        <f>#REF!</f>
        <v>#REF!</v>
      </c>
      <c r="Q175" s="586" t="e">
        <f t="shared" si="234"/>
        <v>#REF!</v>
      </c>
      <c r="R175" s="586" t="e">
        <f>#REF!</f>
        <v>#REF!</v>
      </c>
      <c r="S175" s="586" t="e">
        <f>#REF!</f>
        <v>#REF!</v>
      </c>
      <c r="T175" s="586" t="e">
        <f t="shared" si="235"/>
        <v>#REF!</v>
      </c>
      <c r="U175" s="586" t="e">
        <f>#REF!+'SB (16-31)'!#REF!</f>
        <v>#REF!</v>
      </c>
      <c r="V175" s="586" t="e">
        <f>'SB (16-31)'!#REF!</f>
        <v>#REF!</v>
      </c>
      <c r="W175" s="586" t="e">
        <f>'SB (16-31)'!#REF!</f>
        <v>#REF!</v>
      </c>
      <c r="X175" s="586" t="e">
        <f t="shared" si="236"/>
        <v>#REF!</v>
      </c>
      <c r="Y175" s="586" t="e">
        <f>#REF!+'SB (16-31)'!#REF!</f>
        <v>#REF!</v>
      </c>
      <c r="Z175" s="586" t="e">
        <f>#REF!+'SB (16-31)'!#REF!</f>
        <v>#REF!</v>
      </c>
      <c r="AA175" s="586" t="e">
        <f t="shared" si="237"/>
        <v>#REF!</v>
      </c>
      <c r="AB175" s="586" t="e">
        <f>'SB (16-31)'!#REF!</f>
        <v>#REF!</v>
      </c>
      <c r="AC175" s="586" t="e">
        <f t="shared" si="238"/>
        <v>#REF!</v>
      </c>
      <c r="AE175" s="586">
        <f t="shared" si="239"/>
        <v>10571</v>
      </c>
      <c r="AF175" s="586" t="e">
        <f t="shared" si="240"/>
        <v>#REF!</v>
      </c>
      <c r="AG175" s="586" t="e">
        <f t="shared" si="241"/>
        <v>#REF!</v>
      </c>
      <c r="AH175" s="586">
        <f t="shared" si="242"/>
        <v>10571</v>
      </c>
      <c r="AI175" s="586" t="e">
        <f t="shared" si="243"/>
        <v>#REF!</v>
      </c>
      <c r="AJ175" s="586" t="e">
        <f t="shared" si="244"/>
        <v>#REF!</v>
      </c>
      <c r="AL175" s="566" t="e">
        <f>#REF!+'Reg4(16-31)'!AA67</f>
        <v>#REF!</v>
      </c>
    </row>
    <row r="176" spans="1:38" x14ac:dyDescent="0.2">
      <c r="A176" s="30" t="s">
        <v>545</v>
      </c>
      <c r="B176" s="576" t="s">
        <v>546</v>
      </c>
      <c r="C176" s="589" t="s">
        <v>253</v>
      </c>
      <c r="D176" s="368">
        <v>8854</v>
      </c>
      <c r="E176" s="586">
        <f>'SB(1-15)'!I16+'SB (16-31)'!I16</f>
        <v>0</v>
      </c>
      <c r="F176" s="586" t="e">
        <f>#REF!+'SB (16-31)'!J16</f>
        <v>#REF!</v>
      </c>
      <c r="G176" s="586" t="e">
        <f>#REF!+'SB (16-31)'!K16</f>
        <v>#REF!</v>
      </c>
      <c r="H176" s="586" t="e">
        <f>#REF!+'SB (16-31)'!L16</f>
        <v>#REF!</v>
      </c>
      <c r="I176" s="586" t="e">
        <f>#REF!+'SB (16-31)'!M16</f>
        <v>#REF!</v>
      </c>
      <c r="J176" s="586" t="e">
        <f>#REF!</f>
        <v>#REF!</v>
      </c>
      <c r="K176" s="586" t="e">
        <f>#REF!+'SB (16-31)'!O16</f>
        <v>#REF!</v>
      </c>
      <c r="L176" s="586" t="e">
        <f>#REF!+'SB (16-31)'!P16</f>
        <v>#REF!</v>
      </c>
      <c r="M176" s="586" t="e">
        <f>#REF!+'SB (16-31)'!R16</f>
        <v>#REF!</v>
      </c>
      <c r="N176" s="586">
        <v>88.54</v>
      </c>
      <c r="O176" s="586" t="e">
        <f>#REF!</f>
        <v>#REF!</v>
      </c>
      <c r="P176" s="586" t="e">
        <f>#REF!</f>
        <v>#REF!</v>
      </c>
      <c r="Q176" s="586" t="e">
        <f t="shared" si="234"/>
        <v>#REF!</v>
      </c>
      <c r="R176" s="586" t="e">
        <f>#REF!</f>
        <v>#REF!</v>
      </c>
      <c r="S176" s="586" t="e">
        <f>#REF!</f>
        <v>#REF!</v>
      </c>
      <c r="T176" s="586" t="e">
        <f t="shared" si="235"/>
        <v>#REF!</v>
      </c>
      <c r="U176" s="586" t="e">
        <f>#REF!+'SB (16-31)'!X16</f>
        <v>#REF!</v>
      </c>
      <c r="V176" s="586">
        <f>'SB (16-31)'!V16</f>
        <v>240.78</v>
      </c>
      <c r="W176" s="586">
        <f>'SB (16-31)'!W16</f>
        <v>240.78</v>
      </c>
      <c r="X176" s="586" t="e">
        <f t="shared" si="236"/>
        <v>#REF!</v>
      </c>
      <c r="Y176" s="586" t="e">
        <f>#REF!+'SB (16-31)'!AA16</f>
        <v>#REF!</v>
      </c>
      <c r="Z176" s="586" t="e">
        <f>#REF!+'SB (16-31)'!#REF!</f>
        <v>#REF!</v>
      </c>
      <c r="AA176" s="586" t="e">
        <f t="shared" si="237"/>
        <v>#REF!</v>
      </c>
      <c r="AB176" s="586">
        <f>'SB (16-31)'!U16</f>
        <v>0</v>
      </c>
      <c r="AC176" s="586" t="e">
        <f t="shared" si="238"/>
        <v>#REF!</v>
      </c>
      <c r="AE176" s="586">
        <f t="shared" si="239"/>
        <v>8854</v>
      </c>
      <c r="AF176" s="586" t="e">
        <f t="shared" si="240"/>
        <v>#REF!</v>
      </c>
      <c r="AG176" s="586" t="e">
        <f t="shared" si="241"/>
        <v>#REF!</v>
      </c>
      <c r="AH176" s="586">
        <f t="shared" si="242"/>
        <v>8854</v>
      </c>
      <c r="AI176" s="586" t="e">
        <f t="shared" si="243"/>
        <v>#REF!</v>
      </c>
      <c r="AJ176" s="586" t="e">
        <f t="shared" si="244"/>
        <v>#REF!</v>
      </c>
      <c r="AL176" s="566" t="e">
        <f>#REF!+'Reg4(16-31)'!AA68</f>
        <v>#REF!</v>
      </c>
    </row>
    <row r="177" spans="1:36" ht="13.5" thickBot="1" x14ac:dyDescent="0.25">
      <c r="A177" s="30" t="s">
        <v>37</v>
      </c>
      <c r="B177" s="576" t="s">
        <v>37</v>
      </c>
      <c r="C177" s="586"/>
      <c r="D177" s="157">
        <f>SUM(D173:D176)</f>
        <v>112094</v>
      </c>
      <c r="E177" s="157" t="e">
        <f t="shared" ref="E177:AC177" si="245">SUM(E173:E176)</f>
        <v>#REF!</v>
      </c>
      <c r="F177" s="157" t="e">
        <f t="shared" si="245"/>
        <v>#REF!</v>
      </c>
      <c r="G177" s="157" t="e">
        <f t="shared" si="245"/>
        <v>#REF!</v>
      </c>
      <c r="H177" s="157" t="e">
        <f t="shared" si="245"/>
        <v>#REF!</v>
      </c>
      <c r="I177" s="157" t="e">
        <f t="shared" si="245"/>
        <v>#REF!</v>
      </c>
      <c r="J177" s="157" t="e">
        <f t="shared" si="245"/>
        <v>#REF!</v>
      </c>
      <c r="K177" s="157" t="e">
        <f t="shared" si="245"/>
        <v>#REF!</v>
      </c>
      <c r="L177" s="157" t="e">
        <f t="shared" si="245"/>
        <v>#REF!</v>
      </c>
      <c r="M177" s="157" t="e">
        <f t="shared" si="245"/>
        <v>#REF!</v>
      </c>
      <c r="N177" s="157">
        <f>SUM(N173:N176)</f>
        <v>388.54</v>
      </c>
      <c r="O177" s="157" t="e">
        <f t="shared" si="245"/>
        <v>#REF!</v>
      </c>
      <c r="P177" s="157" t="e">
        <f t="shared" si="245"/>
        <v>#REF!</v>
      </c>
      <c r="Q177" s="157" t="e">
        <f t="shared" si="245"/>
        <v>#REF!</v>
      </c>
      <c r="R177" s="157" t="e">
        <f t="shared" si="245"/>
        <v>#REF!</v>
      </c>
      <c r="S177" s="157" t="e">
        <f t="shared" si="245"/>
        <v>#REF!</v>
      </c>
      <c r="T177" s="157" t="e">
        <f t="shared" si="245"/>
        <v>#REF!</v>
      </c>
      <c r="U177" s="157" t="e">
        <f t="shared" si="245"/>
        <v>#REF!</v>
      </c>
      <c r="V177" s="157" t="e">
        <f t="shared" si="245"/>
        <v>#REF!</v>
      </c>
      <c r="W177" s="157" t="e">
        <f t="shared" si="245"/>
        <v>#REF!</v>
      </c>
      <c r="X177" s="157" t="e">
        <f t="shared" si="245"/>
        <v>#REF!</v>
      </c>
      <c r="Y177" s="157" t="e">
        <f t="shared" si="245"/>
        <v>#REF!</v>
      </c>
      <c r="Z177" s="157" t="e">
        <f t="shared" si="245"/>
        <v>#REF!</v>
      </c>
      <c r="AA177" s="157" t="e">
        <f t="shared" si="245"/>
        <v>#REF!</v>
      </c>
      <c r="AB177" s="157" t="e">
        <f t="shared" si="245"/>
        <v>#REF!</v>
      </c>
      <c r="AC177" s="157" t="e">
        <f t="shared" si="245"/>
        <v>#REF!</v>
      </c>
      <c r="AE177" s="601">
        <f>SUM(AE173:AE176)</f>
        <v>112094</v>
      </c>
      <c r="AF177" s="586"/>
      <c r="AG177" s="586"/>
      <c r="AH177" s="586"/>
      <c r="AI177" s="586"/>
      <c r="AJ177" s="586"/>
    </row>
    <row r="178" spans="1:36" ht="13.5" thickTop="1" x14ac:dyDescent="0.2">
      <c r="A178" s="194" t="s">
        <v>39</v>
      </c>
      <c r="B178" s="576" t="s">
        <v>37</v>
      </c>
      <c r="C178" s="586"/>
      <c r="D178" s="56" t="s">
        <v>37</v>
      </c>
      <c r="E178" s="586"/>
      <c r="F178" s="586"/>
      <c r="G178" s="586"/>
      <c r="H178" s="586"/>
      <c r="I178" s="586"/>
      <c r="J178" s="586"/>
      <c r="K178" s="586"/>
      <c r="L178" s="586"/>
      <c r="M178" s="586"/>
      <c r="N178" s="586"/>
      <c r="O178" s="586"/>
      <c r="P178" s="586"/>
      <c r="Q178" s="586"/>
      <c r="R178" s="586"/>
      <c r="S178" s="586"/>
      <c r="T178" s="586"/>
      <c r="U178" s="586"/>
      <c r="V178" s="586"/>
      <c r="W178" s="586"/>
      <c r="X178" s="586"/>
      <c r="Y178" s="586"/>
      <c r="Z178" s="586"/>
      <c r="AA178" s="586"/>
      <c r="AB178" s="586"/>
      <c r="AC178" s="586"/>
      <c r="AE178" s="586"/>
      <c r="AF178" s="586"/>
      <c r="AG178" s="586"/>
      <c r="AH178" s="586"/>
      <c r="AI178" s="586"/>
      <c r="AJ178" s="586"/>
    </row>
    <row r="179" spans="1:36" x14ac:dyDescent="0.2">
      <c r="A179" s="44" t="s">
        <v>486</v>
      </c>
      <c r="B179" s="576" t="s">
        <v>40</v>
      </c>
      <c r="C179" s="588" t="s">
        <v>575</v>
      </c>
      <c r="D179" s="54">
        <v>67814</v>
      </c>
      <c r="E179" s="586" t="e">
        <f>'SB(1-15)'!#REF!+'SB (16-31)'!#REF!</f>
        <v>#REF!</v>
      </c>
      <c r="F179" s="586" t="e">
        <f>#REF!+'SB (16-31)'!#REF!</f>
        <v>#REF!</v>
      </c>
      <c r="G179" s="586" t="e">
        <f>#REF!+'SB (16-31)'!#REF!</f>
        <v>#REF!</v>
      </c>
      <c r="H179" s="586" t="e">
        <f>#REF!+'SB (16-31)'!#REF!</f>
        <v>#REF!</v>
      </c>
      <c r="I179" s="586" t="e">
        <f>#REF!+'SB (16-31)'!#REF!</f>
        <v>#REF!</v>
      </c>
      <c r="J179" s="586" t="e">
        <f>#REF!</f>
        <v>#REF!</v>
      </c>
      <c r="K179" s="586" t="e">
        <f>#REF!+'SB (16-31)'!#REF!</f>
        <v>#REF!</v>
      </c>
      <c r="L179" s="586" t="e">
        <f>#REF!+'SB (16-31)'!#REF!</f>
        <v>#REF!</v>
      </c>
      <c r="M179" s="586" t="e">
        <f>#REF!+'SB (16-31)'!#REF!</f>
        <v>#REF!</v>
      </c>
      <c r="N179" s="586">
        <v>100</v>
      </c>
      <c r="O179" s="586" t="e">
        <f>#REF!</f>
        <v>#REF!</v>
      </c>
      <c r="P179" s="586" t="e">
        <f>#REF!</f>
        <v>#REF!</v>
      </c>
      <c r="Q179" s="586" t="e">
        <f t="shared" ref="Q179:Q188" si="246">SUM(E179:P179)</f>
        <v>#REF!</v>
      </c>
      <c r="R179" s="586" t="e">
        <f>#REF!</f>
        <v>#REF!</v>
      </c>
      <c r="S179" s="586" t="e">
        <f>#REF!</f>
        <v>#REF!</v>
      </c>
      <c r="T179" s="586" t="e">
        <f t="shared" ref="T179:T188" si="247">R179+S179</f>
        <v>#REF!</v>
      </c>
      <c r="U179" s="586" t="e">
        <f>#REF!+'SB (16-31)'!#REF!</f>
        <v>#REF!</v>
      </c>
      <c r="V179" s="586" t="e">
        <f>'SB (16-31)'!#REF!</f>
        <v>#REF!</v>
      </c>
      <c r="W179" s="586" t="e">
        <f>'SB (16-31)'!#REF!</f>
        <v>#REF!</v>
      </c>
      <c r="X179" s="586" t="e">
        <f t="shared" ref="X179:X188" si="248">SUM(U179:W179)</f>
        <v>#REF!</v>
      </c>
      <c r="Y179" s="586" t="e">
        <f>#REF!+'SB (16-31)'!#REF!</f>
        <v>#REF!</v>
      </c>
      <c r="Z179" s="586" t="e">
        <f>#REF!+'SB (16-31)'!#REF!</f>
        <v>#REF!</v>
      </c>
      <c r="AA179" s="586" t="e">
        <f t="shared" ref="AA179:AA188" si="249">SUM(Y179:Z179)</f>
        <v>#REF!</v>
      </c>
      <c r="AB179" s="586" t="e">
        <f>'SB (16-31)'!#REF!</f>
        <v>#REF!</v>
      </c>
      <c r="AC179" s="586" t="e">
        <f t="shared" ref="AC179:AC188" si="250">Q179+T179+X179+AA179+AB179</f>
        <v>#REF!</v>
      </c>
      <c r="AE179" s="586">
        <f t="shared" ref="AE179:AE188" si="251">D179</f>
        <v>67814</v>
      </c>
      <c r="AF179" s="586" t="e">
        <f t="shared" ref="AF179:AF188" si="252">SUM(E179:M179)+O179+R179+U179+V179+AA179+AB179</f>
        <v>#REF!</v>
      </c>
      <c r="AG179" s="586" t="e">
        <f t="shared" ref="AG179:AG188" si="253">AE179-AF179</f>
        <v>#REF!</v>
      </c>
      <c r="AH179" s="586">
        <f t="shared" ref="AH179:AH188" si="254">AE179</f>
        <v>67814</v>
      </c>
      <c r="AI179" s="586" t="e">
        <f t="shared" ref="AI179:AI188" si="255">P179+S179+W179</f>
        <v>#REF!</v>
      </c>
      <c r="AJ179" s="586" t="e">
        <f t="shared" ref="AJ179:AJ188" si="256">AH179+AI179</f>
        <v>#REF!</v>
      </c>
    </row>
    <row r="180" spans="1:36" x14ac:dyDescent="0.2">
      <c r="A180" s="30" t="s">
        <v>300</v>
      </c>
      <c r="B180" s="576" t="s">
        <v>40</v>
      </c>
      <c r="C180" s="589" t="s">
        <v>253</v>
      </c>
      <c r="D180" s="54">
        <v>68921</v>
      </c>
      <c r="E180" s="586" t="e">
        <f>'SB(1-15)'!#REF!+'SB (16-31)'!#REF!</f>
        <v>#REF!</v>
      </c>
      <c r="F180" s="586" t="e">
        <f>#REF!+'SB (16-31)'!#REF!</f>
        <v>#REF!</v>
      </c>
      <c r="G180" s="586" t="e">
        <f>#REF!+'SB (16-31)'!#REF!</f>
        <v>#REF!</v>
      </c>
      <c r="H180" s="586" t="e">
        <f>#REF!+'SB (16-31)'!#REF!</f>
        <v>#REF!</v>
      </c>
      <c r="I180" s="586" t="e">
        <f>#REF!+'SB (16-31)'!#REF!</f>
        <v>#REF!</v>
      </c>
      <c r="J180" s="586" t="e">
        <f>#REF!</f>
        <v>#REF!</v>
      </c>
      <c r="K180" s="586" t="e">
        <f>#REF!+'SB (16-31)'!#REF!</f>
        <v>#REF!</v>
      </c>
      <c r="L180" s="586" t="e">
        <f>#REF!+'SB (16-31)'!#REF!</f>
        <v>#REF!</v>
      </c>
      <c r="M180" s="586" t="e">
        <f>#REF!+'SB (16-31)'!#REF!</f>
        <v>#REF!</v>
      </c>
      <c r="N180" s="586">
        <v>100</v>
      </c>
      <c r="O180" s="586" t="e">
        <f>#REF!</f>
        <v>#REF!</v>
      </c>
      <c r="P180" s="586" t="e">
        <f>#REF!</f>
        <v>#REF!</v>
      </c>
      <c r="Q180" s="586" t="e">
        <f t="shared" si="246"/>
        <v>#REF!</v>
      </c>
      <c r="R180" s="586" t="e">
        <f>#REF!</f>
        <v>#REF!</v>
      </c>
      <c r="S180" s="586" t="e">
        <f>#REF!</f>
        <v>#REF!</v>
      </c>
      <c r="T180" s="586" t="e">
        <f t="shared" si="247"/>
        <v>#REF!</v>
      </c>
      <c r="U180" s="586" t="e">
        <f>#REF!+'SB (16-31)'!#REF!</f>
        <v>#REF!</v>
      </c>
      <c r="V180" s="586" t="e">
        <f>'SB (16-31)'!#REF!</f>
        <v>#REF!</v>
      </c>
      <c r="W180" s="586" t="e">
        <f>'SB (16-31)'!#REF!</f>
        <v>#REF!</v>
      </c>
      <c r="X180" s="586" t="e">
        <f t="shared" si="248"/>
        <v>#REF!</v>
      </c>
      <c r="Y180" s="586" t="e">
        <f>#REF!+'SB (16-31)'!#REF!</f>
        <v>#REF!</v>
      </c>
      <c r="Z180" s="586" t="e">
        <f>#REF!+'SB (16-31)'!#REF!</f>
        <v>#REF!</v>
      </c>
      <c r="AA180" s="586" t="e">
        <f t="shared" si="249"/>
        <v>#REF!</v>
      </c>
      <c r="AB180" s="586" t="e">
        <f>'SB (16-31)'!#REF!</f>
        <v>#REF!</v>
      </c>
      <c r="AC180" s="586" t="e">
        <f t="shared" si="250"/>
        <v>#REF!</v>
      </c>
      <c r="AE180" s="586">
        <f t="shared" si="251"/>
        <v>68921</v>
      </c>
      <c r="AF180" s="586" t="e">
        <f t="shared" si="252"/>
        <v>#REF!</v>
      </c>
      <c r="AG180" s="586" t="e">
        <f t="shared" si="253"/>
        <v>#REF!</v>
      </c>
      <c r="AH180" s="586">
        <f t="shared" si="254"/>
        <v>68921</v>
      </c>
      <c r="AI180" s="586" t="e">
        <f t="shared" si="255"/>
        <v>#REF!</v>
      </c>
      <c r="AJ180" s="586" t="e">
        <f t="shared" si="256"/>
        <v>#REF!</v>
      </c>
    </row>
    <row r="181" spans="1:36" x14ac:dyDescent="0.2">
      <c r="A181" s="44" t="s">
        <v>487</v>
      </c>
      <c r="B181" s="445" t="s">
        <v>40</v>
      </c>
      <c r="C181" s="589" t="s">
        <v>253</v>
      </c>
      <c r="D181" s="54">
        <v>68921</v>
      </c>
      <c r="E181" s="586" t="e">
        <f>'SB(1-15)'!#REF!+'SB (16-31)'!#REF!</f>
        <v>#REF!</v>
      </c>
      <c r="F181" s="586" t="e">
        <f>#REF!+'SB (16-31)'!#REF!</f>
        <v>#REF!</v>
      </c>
      <c r="G181" s="586" t="e">
        <f>#REF!+'SB (16-31)'!#REF!</f>
        <v>#REF!</v>
      </c>
      <c r="H181" s="586" t="e">
        <f>#REF!+'SB (16-31)'!#REF!</f>
        <v>#REF!</v>
      </c>
      <c r="I181" s="586" t="e">
        <f>#REF!+'SB (16-31)'!#REF!</f>
        <v>#REF!</v>
      </c>
      <c r="J181" s="586" t="e">
        <f>#REF!</f>
        <v>#REF!</v>
      </c>
      <c r="K181" s="586" t="e">
        <f>#REF!+'SB (16-31)'!#REF!</f>
        <v>#REF!</v>
      </c>
      <c r="L181" s="586" t="e">
        <f>#REF!+'SB (16-31)'!#REF!</f>
        <v>#REF!</v>
      </c>
      <c r="M181" s="586" t="e">
        <f>#REF!+'SB (16-31)'!#REF!</f>
        <v>#REF!</v>
      </c>
      <c r="N181" s="586">
        <v>100</v>
      </c>
      <c r="O181" s="586" t="e">
        <f>#REF!</f>
        <v>#REF!</v>
      </c>
      <c r="P181" s="586" t="e">
        <f>#REF!</f>
        <v>#REF!</v>
      </c>
      <c r="Q181" s="586" t="e">
        <f t="shared" si="246"/>
        <v>#REF!</v>
      </c>
      <c r="R181" s="586" t="e">
        <f>#REF!</f>
        <v>#REF!</v>
      </c>
      <c r="S181" s="586" t="e">
        <f>#REF!</f>
        <v>#REF!</v>
      </c>
      <c r="T181" s="586" t="e">
        <f t="shared" si="247"/>
        <v>#REF!</v>
      </c>
      <c r="U181" s="586" t="e">
        <f>#REF!+'SB (16-31)'!#REF!</f>
        <v>#REF!</v>
      </c>
      <c r="V181" s="586" t="e">
        <f>'SB (16-31)'!#REF!</f>
        <v>#REF!</v>
      </c>
      <c r="W181" s="586" t="e">
        <f>'SB (16-31)'!#REF!</f>
        <v>#REF!</v>
      </c>
      <c r="X181" s="586" t="e">
        <f t="shared" si="248"/>
        <v>#REF!</v>
      </c>
      <c r="Y181" s="586" t="e">
        <f>#REF!+'SB (16-31)'!#REF!</f>
        <v>#REF!</v>
      </c>
      <c r="Z181" s="586" t="e">
        <f>#REF!+'SB (16-31)'!#REF!</f>
        <v>#REF!</v>
      </c>
      <c r="AA181" s="586" t="e">
        <f t="shared" si="249"/>
        <v>#REF!</v>
      </c>
      <c r="AB181" s="586" t="e">
        <f>'SB (16-31)'!#REF!</f>
        <v>#REF!</v>
      </c>
      <c r="AC181" s="586" t="e">
        <f t="shared" si="250"/>
        <v>#REF!</v>
      </c>
      <c r="AE181" s="586">
        <f t="shared" si="251"/>
        <v>68921</v>
      </c>
      <c r="AF181" s="586" t="e">
        <f t="shared" si="252"/>
        <v>#REF!</v>
      </c>
      <c r="AG181" s="586" t="e">
        <f t="shared" si="253"/>
        <v>#REF!</v>
      </c>
      <c r="AH181" s="586">
        <f t="shared" si="254"/>
        <v>68921</v>
      </c>
      <c r="AI181" s="586" t="e">
        <f t="shared" si="255"/>
        <v>#REF!</v>
      </c>
      <c r="AJ181" s="586" t="e">
        <f t="shared" si="256"/>
        <v>#REF!</v>
      </c>
    </row>
    <row r="182" spans="1:36" x14ac:dyDescent="0.2">
      <c r="A182" s="44" t="s">
        <v>488</v>
      </c>
      <c r="B182" s="445" t="s">
        <v>40</v>
      </c>
      <c r="C182" s="589" t="s">
        <v>253</v>
      </c>
      <c r="D182" s="54">
        <v>66725</v>
      </c>
      <c r="E182" s="586" t="e">
        <f>'SB(1-15)'!#REF!+'SB (16-31)'!#REF!</f>
        <v>#REF!</v>
      </c>
      <c r="F182" s="586" t="e">
        <f>#REF!+'SB (16-31)'!#REF!</f>
        <v>#REF!</v>
      </c>
      <c r="G182" s="586" t="e">
        <f>#REF!+'SB (16-31)'!#REF!</f>
        <v>#REF!</v>
      </c>
      <c r="H182" s="586" t="e">
        <f>#REF!+'SB (16-31)'!#REF!</f>
        <v>#REF!</v>
      </c>
      <c r="I182" s="586" t="e">
        <f>#REF!+'SB (16-31)'!#REF!</f>
        <v>#REF!</v>
      </c>
      <c r="J182" s="586" t="e">
        <f>#REF!</f>
        <v>#REF!</v>
      </c>
      <c r="K182" s="586" t="e">
        <f>#REF!+'SB (16-31)'!#REF!</f>
        <v>#REF!</v>
      </c>
      <c r="L182" s="586" t="e">
        <f>#REF!+'SB (16-31)'!#REF!</f>
        <v>#REF!</v>
      </c>
      <c r="M182" s="586" t="e">
        <f>#REF!+'SB (16-31)'!#REF!</f>
        <v>#REF!</v>
      </c>
      <c r="N182" s="586">
        <v>100</v>
      </c>
      <c r="O182" s="586" t="e">
        <f>#REF!</f>
        <v>#REF!</v>
      </c>
      <c r="P182" s="586" t="e">
        <f>#REF!</f>
        <v>#REF!</v>
      </c>
      <c r="Q182" s="586" t="e">
        <f t="shared" si="246"/>
        <v>#REF!</v>
      </c>
      <c r="R182" s="586" t="e">
        <f>#REF!</f>
        <v>#REF!</v>
      </c>
      <c r="S182" s="586" t="e">
        <f>#REF!</f>
        <v>#REF!</v>
      </c>
      <c r="T182" s="586" t="e">
        <f t="shared" si="247"/>
        <v>#REF!</v>
      </c>
      <c r="U182" s="586" t="e">
        <f>#REF!+'SB (16-31)'!#REF!</f>
        <v>#REF!</v>
      </c>
      <c r="V182" s="586" t="e">
        <f>'SB (16-31)'!#REF!</f>
        <v>#REF!</v>
      </c>
      <c r="W182" s="586" t="e">
        <f>'SB (16-31)'!#REF!</f>
        <v>#REF!</v>
      </c>
      <c r="X182" s="586" t="e">
        <f t="shared" si="248"/>
        <v>#REF!</v>
      </c>
      <c r="Y182" s="586" t="e">
        <f>#REF!+'SB (16-31)'!#REF!</f>
        <v>#REF!</v>
      </c>
      <c r="Z182" s="586" t="e">
        <f>#REF!+'SB (16-31)'!#REF!</f>
        <v>#REF!</v>
      </c>
      <c r="AA182" s="586" t="e">
        <f t="shared" si="249"/>
        <v>#REF!</v>
      </c>
      <c r="AB182" s="586" t="e">
        <f>'SB (16-31)'!#REF!</f>
        <v>#REF!</v>
      </c>
      <c r="AC182" s="586" t="e">
        <f t="shared" si="250"/>
        <v>#REF!</v>
      </c>
      <c r="AE182" s="586">
        <f t="shared" si="251"/>
        <v>66725</v>
      </c>
      <c r="AF182" s="586" t="e">
        <f t="shared" si="252"/>
        <v>#REF!</v>
      </c>
      <c r="AG182" s="586" t="e">
        <f t="shared" si="253"/>
        <v>#REF!</v>
      </c>
      <c r="AH182" s="586">
        <f t="shared" si="254"/>
        <v>66725</v>
      </c>
      <c r="AI182" s="586" t="e">
        <f t="shared" si="255"/>
        <v>#REF!</v>
      </c>
      <c r="AJ182" s="586" t="e">
        <f t="shared" si="256"/>
        <v>#REF!</v>
      </c>
    </row>
    <row r="183" spans="1:36" x14ac:dyDescent="0.2">
      <c r="A183" s="30" t="s">
        <v>203</v>
      </c>
      <c r="B183" s="576" t="s">
        <v>40</v>
      </c>
      <c r="C183" s="589" t="s">
        <v>253</v>
      </c>
      <c r="D183" s="54">
        <v>68921</v>
      </c>
      <c r="E183" s="586" t="e">
        <f>'SB(1-15)'!#REF!+'SB (16-31)'!#REF!</f>
        <v>#REF!</v>
      </c>
      <c r="F183" s="586" t="e">
        <f>#REF!+'SB (16-31)'!#REF!</f>
        <v>#REF!</v>
      </c>
      <c r="G183" s="586" t="e">
        <f>#REF!+'SB (16-31)'!#REF!</f>
        <v>#REF!</v>
      </c>
      <c r="H183" s="586" t="e">
        <f>#REF!+'SB (16-31)'!#REF!</f>
        <v>#REF!</v>
      </c>
      <c r="I183" s="586" t="e">
        <f>#REF!+'SB (16-31)'!#REF!</f>
        <v>#REF!</v>
      </c>
      <c r="J183" s="586" t="e">
        <f>#REF!</f>
        <v>#REF!</v>
      </c>
      <c r="K183" s="586" t="e">
        <f>#REF!+'SB (16-31)'!#REF!</f>
        <v>#REF!</v>
      </c>
      <c r="L183" s="586" t="e">
        <f>#REF!+'SB (16-31)'!#REF!</f>
        <v>#REF!</v>
      </c>
      <c r="M183" s="586" t="e">
        <f>#REF!+'SB (16-31)'!#REF!</f>
        <v>#REF!</v>
      </c>
      <c r="N183" s="586">
        <v>100</v>
      </c>
      <c r="O183" s="586" t="e">
        <f>#REF!</f>
        <v>#REF!</v>
      </c>
      <c r="P183" s="586" t="e">
        <f>#REF!</f>
        <v>#REF!</v>
      </c>
      <c r="Q183" s="586" t="e">
        <f t="shared" si="246"/>
        <v>#REF!</v>
      </c>
      <c r="R183" s="586" t="e">
        <f>#REF!</f>
        <v>#REF!</v>
      </c>
      <c r="S183" s="586" t="e">
        <f>#REF!</f>
        <v>#REF!</v>
      </c>
      <c r="T183" s="586" t="e">
        <f t="shared" si="247"/>
        <v>#REF!</v>
      </c>
      <c r="U183" s="586" t="e">
        <f>#REF!+'SB (16-31)'!#REF!</f>
        <v>#REF!</v>
      </c>
      <c r="V183" s="586" t="e">
        <f>'SB (16-31)'!#REF!</f>
        <v>#REF!</v>
      </c>
      <c r="W183" s="586" t="e">
        <f>'SB (16-31)'!#REF!</f>
        <v>#REF!</v>
      </c>
      <c r="X183" s="586" t="e">
        <f t="shared" si="248"/>
        <v>#REF!</v>
      </c>
      <c r="Y183" s="586" t="e">
        <f>#REF!+'SB (16-31)'!#REF!</f>
        <v>#REF!</v>
      </c>
      <c r="Z183" s="586" t="e">
        <f>#REF!+'SB (16-31)'!#REF!</f>
        <v>#REF!</v>
      </c>
      <c r="AA183" s="586" t="e">
        <f t="shared" si="249"/>
        <v>#REF!</v>
      </c>
      <c r="AB183" s="586" t="e">
        <f>'SB (16-31)'!#REF!</f>
        <v>#REF!</v>
      </c>
      <c r="AC183" s="586" t="e">
        <f t="shared" si="250"/>
        <v>#REF!</v>
      </c>
      <c r="AE183" s="586">
        <f t="shared" si="251"/>
        <v>68921</v>
      </c>
      <c r="AF183" s="586" t="e">
        <f t="shared" si="252"/>
        <v>#REF!</v>
      </c>
      <c r="AG183" s="586" t="e">
        <f t="shared" si="253"/>
        <v>#REF!</v>
      </c>
      <c r="AH183" s="586">
        <f t="shared" si="254"/>
        <v>68921</v>
      </c>
      <c r="AI183" s="586" t="e">
        <f t="shared" si="255"/>
        <v>#REF!</v>
      </c>
      <c r="AJ183" s="586" t="e">
        <f t="shared" si="256"/>
        <v>#REF!</v>
      </c>
    </row>
    <row r="184" spans="1:36" x14ac:dyDescent="0.2">
      <c r="A184" s="30" t="s">
        <v>301</v>
      </c>
      <c r="B184" s="576" t="s">
        <v>40</v>
      </c>
      <c r="C184" s="589" t="s">
        <v>253</v>
      </c>
      <c r="D184" s="54">
        <v>67814</v>
      </c>
      <c r="E184" s="586" t="e">
        <f>'SB(1-15)'!#REF!+'SB (16-31)'!#REF!</f>
        <v>#REF!</v>
      </c>
      <c r="F184" s="586" t="e">
        <f>#REF!+'SB (16-31)'!#REF!</f>
        <v>#REF!</v>
      </c>
      <c r="G184" s="586" t="e">
        <f>#REF!+'SB (16-31)'!#REF!</f>
        <v>#REF!</v>
      </c>
      <c r="H184" s="586" t="e">
        <f>#REF!+'SB (16-31)'!#REF!</f>
        <v>#REF!</v>
      </c>
      <c r="I184" s="586" t="e">
        <f>#REF!+'SB (16-31)'!#REF!</f>
        <v>#REF!</v>
      </c>
      <c r="J184" s="586" t="e">
        <f>#REF!</f>
        <v>#REF!</v>
      </c>
      <c r="K184" s="586" t="e">
        <f>#REF!+'SB (16-31)'!#REF!</f>
        <v>#REF!</v>
      </c>
      <c r="L184" s="586" t="e">
        <f>#REF!+'SB (16-31)'!#REF!</f>
        <v>#REF!</v>
      </c>
      <c r="M184" s="586" t="e">
        <f>#REF!+'SB (16-31)'!#REF!</f>
        <v>#REF!</v>
      </c>
      <c r="N184" s="586">
        <v>100</v>
      </c>
      <c r="O184" s="586" t="e">
        <f>#REF!</f>
        <v>#REF!</v>
      </c>
      <c r="P184" s="586" t="e">
        <f>#REF!</f>
        <v>#REF!</v>
      </c>
      <c r="Q184" s="586" t="e">
        <f t="shared" si="246"/>
        <v>#REF!</v>
      </c>
      <c r="R184" s="586" t="e">
        <f>#REF!</f>
        <v>#REF!</v>
      </c>
      <c r="S184" s="586" t="e">
        <f>#REF!</f>
        <v>#REF!</v>
      </c>
      <c r="T184" s="586" t="e">
        <f t="shared" si="247"/>
        <v>#REF!</v>
      </c>
      <c r="U184" s="586" t="e">
        <f>#REF!+'SB (16-31)'!#REF!</f>
        <v>#REF!</v>
      </c>
      <c r="V184" s="586" t="e">
        <f>'SB (16-31)'!#REF!</f>
        <v>#REF!</v>
      </c>
      <c r="W184" s="586" t="e">
        <f>'SB (16-31)'!#REF!</f>
        <v>#REF!</v>
      </c>
      <c r="X184" s="586" t="e">
        <f t="shared" si="248"/>
        <v>#REF!</v>
      </c>
      <c r="Y184" s="586" t="e">
        <f>#REF!+'SB (16-31)'!#REF!</f>
        <v>#REF!</v>
      </c>
      <c r="Z184" s="586" t="e">
        <f>#REF!+'SB (16-31)'!#REF!</f>
        <v>#REF!</v>
      </c>
      <c r="AA184" s="586" t="e">
        <f t="shared" si="249"/>
        <v>#REF!</v>
      </c>
      <c r="AB184" s="586" t="e">
        <f>'SB (16-31)'!#REF!</f>
        <v>#REF!</v>
      </c>
      <c r="AC184" s="586" t="e">
        <f t="shared" si="250"/>
        <v>#REF!</v>
      </c>
      <c r="AE184" s="586">
        <f t="shared" si="251"/>
        <v>67814</v>
      </c>
      <c r="AF184" s="586" t="e">
        <f t="shared" si="252"/>
        <v>#REF!</v>
      </c>
      <c r="AG184" s="586" t="e">
        <f t="shared" si="253"/>
        <v>#REF!</v>
      </c>
      <c r="AH184" s="586">
        <f t="shared" si="254"/>
        <v>67814</v>
      </c>
      <c r="AI184" s="586" t="e">
        <f t="shared" si="255"/>
        <v>#REF!</v>
      </c>
      <c r="AJ184" s="586" t="e">
        <f t="shared" si="256"/>
        <v>#REF!</v>
      </c>
    </row>
    <row r="185" spans="1:36" x14ac:dyDescent="0.2">
      <c r="A185" s="30" t="s">
        <v>244</v>
      </c>
      <c r="B185" s="576" t="s">
        <v>40</v>
      </c>
      <c r="C185" s="589" t="s">
        <v>253</v>
      </c>
      <c r="D185" s="54">
        <v>68921</v>
      </c>
      <c r="E185" s="586" t="e">
        <f>'SB(1-15)'!#REF!+'SB (16-31)'!#REF!</f>
        <v>#REF!</v>
      </c>
      <c r="F185" s="586" t="e">
        <f>#REF!+'SB (16-31)'!#REF!</f>
        <v>#REF!</v>
      </c>
      <c r="G185" s="586" t="e">
        <f>#REF!+'SB (16-31)'!#REF!</f>
        <v>#REF!</v>
      </c>
      <c r="H185" s="586" t="e">
        <f>#REF!+'SB (16-31)'!#REF!</f>
        <v>#REF!</v>
      </c>
      <c r="I185" s="586" t="e">
        <f>#REF!+'SB (16-31)'!#REF!</f>
        <v>#REF!</v>
      </c>
      <c r="J185" s="586" t="e">
        <f>#REF!</f>
        <v>#REF!</v>
      </c>
      <c r="K185" s="586" t="e">
        <f>#REF!+'SB (16-31)'!#REF!</f>
        <v>#REF!</v>
      </c>
      <c r="L185" s="586" t="e">
        <f>#REF!+'SB (16-31)'!#REF!</f>
        <v>#REF!</v>
      </c>
      <c r="M185" s="586" t="e">
        <f>#REF!+'SB (16-31)'!#REF!</f>
        <v>#REF!</v>
      </c>
      <c r="N185" s="586">
        <v>100</v>
      </c>
      <c r="O185" s="586" t="e">
        <f>#REF!</f>
        <v>#REF!</v>
      </c>
      <c r="P185" s="586" t="e">
        <f>#REF!</f>
        <v>#REF!</v>
      </c>
      <c r="Q185" s="586" t="e">
        <f t="shared" si="246"/>
        <v>#REF!</v>
      </c>
      <c r="R185" s="586" t="e">
        <f>#REF!</f>
        <v>#REF!</v>
      </c>
      <c r="S185" s="586" t="e">
        <f>#REF!</f>
        <v>#REF!</v>
      </c>
      <c r="T185" s="586" t="e">
        <f t="shared" si="247"/>
        <v>#REF!</v>
      </c>
      <c r="U185" s="586" t="e">
        <f>#REF!+'SB (16-31)'!#REF!</f>
        <v>#REF!</v>
      </c>
      <c r="V185" s="586" t="e">
        <f>'SB (16-31)'!#REF!</f>
        <v>#REF!</v>
      </c>
      <c r="W185" s="586" t="e">
        <f>'SB (16-31)'!#REF!</f>
        <v>#REF!</v>
      </c>
      <c r="X185" s="586" t="e">
        <f t="shared" si="248"/>
        <v>#REF!</v>
      </c>
      <c r="Y185" s="586" t="e">
        <f>#REF!+'SB (16-31)'!#REF!</f>
        <v>#REF!</v>
      </c>
      <c r="Z185" s="586" t="e">
        <f>#REF!+'SB (16-31)'!#REF!</f>
        <v>#REF!</v>
      </c>
      <c r="AA185" s="586" t="e">
        <f t="shared" si="249"/>
        <v>#REF!</v>
      </c>
      <c r="AB185" s="586" t="e">
        <f>'SB (16-31)'!#REF!</f>
        <v>#REF!</v>
      </c>
      <c r="AC185" s="586" t="e">
        <f t="shared" si="250"/>
        <v>#REF!</v>
      </c>
      <c r="AE185" s="586">
        <f t="shared" si="251"/>
        <v>68921</v>
      </c>
      <c r="AF185" s="586" t="e">
        <f t="shared" si="252"/>
        <v>#REF!</v>
      </c>
      <c r="AG185" s="586" t="e">
        <f t="shared" si="253"/>
        <v>#REF!</v>
      </c>
      <c r="AH185" s="586">
        <f t="shared" si="254"/>
        <v>68921</v>
      </c>
      <c r="AI185" s="586" t="e">
        <f t="shared" si="255"/>
        <v>#REF!</v>
      </c>
      <c r="AJ185" s="586" t="e">
        <f t="shared" si="256"/>
        <v>#REF!</v>
      </c>
    </row>
    <row r="186" spans="1:36" x14ac:dyDescent="0.2">
      <c r="A186" s="30" t="s">
        <v>245</v>
      </c>
      <c r="B186" s="576" t="s">
        <v>40</v>
      </c>
      <c r="C186" s="589" t="s">
        <v>253</v>
      </c>
      <c r="D186" s="54">
        <v>68921</v>
      </c>
      <c r="E186" s="586" t="e">
        <f>'SB(1-15)'!#REF!+'SB (16-31)'!#REF!</f>
        <v>#REF!</v>
      </c>
      <c r="F186" s="586" t="e">
        <f>#REF!+'SB (16-31)'!#REF!</f>
        <v>#REF!</v>
      </c>
      <c r="G186" s="586" t="e">
        <f>#REF!+'SB (16-31)'!#REF!</f>
        <v>#REF!</v>
      </c>
      <c r="H186" s="586" t="e">
        <f>#REF!+'SB (16-31)'!#REF!</f>
        <v>#REF!</v>
      </c>
      <c r="I186" s="586" t="e">
        <f>#REF!+'SB (16-31)'!#REF!</f>
        <v>#REF!</v>
      </c>
      <c r="J186" s="586" t="e">
        <f>#REF!</f>
        <v>#REF!</v>
      </c>
      <c r="K186" s="586" t="e">
        <f>#REF!+'SB (16-31)'!#REF!</f>
        <v>#REF!</v>
      </c>
      <c r="L186" s="586" t="e">
        <f>#REF!+'SB (16-31)'!#REF!</f>
        <v>#REF!</v>
      </c>
      <c r="M186" s="586" t="e">
        <f>#REF!+'SB (16-31)'!#REF!</f>
        <v>#REF!</v>
      </c>
      <c r="N186" s="586">
        <v>100</v>
      </c>
      <c r="O186" s="586" t="e">
        <f>#REF!</f>
        <v>#REF!</v>
      </c>
      <c r="P186" s="586" t="e">
        <f>#REF!</f>
        <v>#REF!</v>
      </c>
      <c r="Q186" s="586" t="e">
        <f t="shared" si="246"/>
        <v>#REF!</v>
      </c>
      <c r="R186" s="586" t="e">
        <f>#REF!</f>
        <v>#REF!</v>
      </c>
      <c r="S186" s="586" t="e">
        <f>#REF!</f>
        <v>#REF!</v>
      </c>
      <c r="T186" s="586" t="e">
        <f t="shared" si="247"/>
        <v>#REF!</v>
      </c>
      <c r="U186" s="586" t="e">
        <f>#REF!+'SB (16-31)'!#REF!</f>
        <v>#REF!</v>
      </c>
      <c r="V186" s="586" t="e">
        <f>'SB (16-31)'!#REF!</f>
        <v>#REF!</v>
      </c>
      <c r="W186" s="586" t="e">
        <f>'SB (16-31)'!#REF!</f>
        <v>#REF!</v>
      </c>
      <c r="X186" s="586" t="e">
        <f t="shared" si="248"/>
        <v>#REF!</v>
      </c>
      <c r="Y186" s="586" t="e">
        <f>#REF!+'SB (16-31)'!#REF!</f>
        <v>#REF!</v>
      </c>
      <c r="Z186" s="586" t="e">
        <f>#REF!+'SB (16-31)'!#REF!</f>
        <v>#REF!</v>
      </c>
      <c r="AA186" s="586" t="e">
        <f t="shared" si="249"/>
        <v>#REF!</v>
      </c>
      <c r="AB186" s="586" t="e">
        <f>'SB (16-31)'!#REF!</f>
        <v>#REF!</v>
      </c>
      <c r="AC186" s="586" t="e">
        <f t="shared" si="250"/>
        <v>#REF!</v>
      </c>
      <c r="AE186" s="586">
        <f t="shared" si="251"/>
        <v>68921</v>
      </c>
      <c r="AF186" s="586" t="e">
        <f t="shared" si="252"/>
        <v>#REF!</v>
      </c>
      <c r="AG186" s="586" t="e">
        <f t="shared" si="253"/>
        <v>#REF!</v>
      </c>
      <c r="AH186" s="586">
        <f t="shared" si="254"/>
        <v>68921</v>
      </c>
      <c r="AI186" s="586" t="e">
        <f t="shared" si="255"/>
        <v>#REF!</v>
      </c>
      <c r="AJ186" s="586" t="e">
        <f t="shared" si="256"/>
        <v>#REF!</v>
      </c>
    </row>
    <row r="187" spans="1:36" x14ac:dyDescent="0.2">
      <c r="A187" s="30" t="s">
        <v>436</v>
      </c>
      <c r="B187" s="576" t="s">
        <v>439</v>
      </c>
      <c r="C187" s="589" t="s">
        <v>253</v>
      </c>
      <c r="D187" s="54">
        <v>66725</v>
      </c>
      <c r="E187" s="586" t="e">
        <f>'SB(1-15)'!#REF!+'SB (16-31)'!#REF!</f>
        <v>#REF!</v>
      </c>
      <c r="F187" s="586" t="e">
        <f>#REF!+'SB (16-31)'!#REF!</f>
        <v>#REF!</v>
      </c>
      <c r="G187" s="586" t="e">
        <f>#REF!+'SB (16-31)'!#REF!</f>
        <v>#REF!</v>
      </c>
      <c r="H187" s="586" t="e">
        <f>#REF!+'SB (16-31)'!#REF!</f>
        <v>#REF!</v>
      </c>
      <c r="I187" s="586" t="e">
        <f>#REF!+'SB (16-31)'!#REF!</f>
        <v>#REF!</v>
      </c>
      <c r="J187" s="586" t="e">
        <f>#REF!</f>
        <v>#REF!</v>
      </c>
      <c r="K187" s="586" t="e">
        <f>#REF!+'SB (16-31)'!#REF!</f>
        <v>#REF!</v>
      </c>
      <c r="L187" s="586" t="e">
        <f>#REF!+'SB (16-31)'!#REF!</f>
        <v>#REF!</v>
      </c>
      <c r="M187" s="586" t="e">
        <f>#REF!+'SB (16-31)'!#REF!</f>
        <v>#REF!</v>
      </c>
      <c r="N187" s="586">
        <v>100</v>
      </c>
      <c r="O187" s="586" t="e">
        <f>#REF!</f>
        <v>#REF!</v>
      </c>
      <c r="P187" s="586" t="e">
        <f>#REF!</f>
        <v>#REF!</v>
      </c>
      <c r="Q187" s="586" t="e">
        <f t="shared" si="246"/>
        <v>#REF!</v>
      </c>
      <c r="R187" s="586" t="e">
        <f>#REF!</f>
        <v>#REF!</v>
      </c>
      <c r="S187" s="586" t="e">
        <f>#REF!</f>
        <v>#REF!</v>
      </c>
      <c r="T187" s="586" t="e">
        <f t="shared" si="247"/>
        <v>#REF!</v>
      </c>
      <c r="U187" s="586" t="e">
        <f>#REF!+'SB (16-31)'!#REF!</f>
        <v>#REF!</v>
      </c>
      <c r="V187" s="586" t="e">
        <f>'SB (16-31)'!#REF!</f>
        <v>#REF!</v>
      </c>
      <c r="W187" s="586" t="e">
        <f>'SB (16-31)'!#REF!</f>
        <v>#REF!</v>
      </c>
      <c r="X187" s="586" t="e">
        <f t="shared" si="248"/>
        <v>#REF!</v>
      </c>
      <c r="Y187" s="586" t="e">
        <f>#REF!+'SB (16-31)'!#REF!</f>
        <v>#REF!</v>
      </c>
      <c r="Z187" s="586" t="e">
        <f>#REF!+'SB (16-31)'!#REF!</f>
        <v>#REF!</v>
      </c>
      <c r="AA187" s="586" t="e">
        <f t="shared" si="249"/>
        <v>#REF!</v>
      </c>
      <c r="AB187" s="586" t="e">
        <f>'SB (16-31)'!#REF!</f>
        <v>#REF!</v>
      </c>
      <c r="AC187" s="586" t="e">
        <f t="shared" si="250"/>
        <v>#REF!</v>
      </c>
      <c r="AE187" s="586">
        <f t="shared" si="251"/>
        <v>66725</v>
      </c>
      <c r="AF187" s="586" t="e">
        <f t="shared" si="252"/>
        <v>#REF!</v>
      </c>
      <c r="AG187" s="586" t="e">
        <f t="shared" si="253"/>
        <v>#REF!</v>
      </c>
      <c r="AH187" s="586">
        <f t="shared" si="254"/>
        <v>66725</v>
      </c>
      <c r="AI187" s="586" t="e">
        <f t="shared" si="255"/>
        <v>#REF!</v>
      </c>
      <c r="AJ187" s="586" t="e">
        <f t="shared" si="256"/>
        <v>#REF!</v>
      </c>
    </row>
    <row r="188" spans="1:36" x14ac:dyDescent="0.2">
      <c r="A188" s="30" t="s">
        <v>437</v>
      </c>
      <c r="B188" s="576" t="s">
        <v>438</v>
      </c>
      <c r="C188" s="589" t="s">
        <v>253</v>
      </c>
      <c r="D188" s="59">
        <v>66725</v>
      </c>
      <c r="E188" s="586" t="e">
        <f>'SB(1-15)'!#REF!+'SB (16-31)'!#REF!</f>
        <v>#REF!</v>
      </c>
      <c r="F188" s="586" t="e">
        <f>#REF!+'SB (16-31)'!#REF!</f>
        <v>#REF!</v>
      </c>
      <c r="G188" s="586" t="e">
        <f>#REF!+'SB (16-31)'!#REF!</f>
        <v>#REF!</v>
      </c>
      <c r="H188" s="586" t="e">
        <f>#REF!+'SB (16-31)'!#REF!</f>
        <v>#REF!</v>
      </c>
      <c r="I188" s="586" t="e">
        <f>#REF!+'SB (16-31)'!#REF!</f>
        <v>#REF!</v>
      </c>
      <c r="J188" s="586" t="e">
        <f>#REF!</f>
        <v>#REF!</v>
      </c>
      <c r="K188" s="586" t="e">
        <f>#REF!+'SB (16-31)'!#REF!</f>
        <v>#REF!</v>
      </c>
      <c r="L188" s="586" t="e">
        <f>#REF!+'SB (16-31)'!#REF!</f>
        <v>#REF!</v>
      </c>
      <c r="M188" s="586" t="e">
        <f>#REF!+'SB (16-31)'!#REF!</f>
        <v>#REF!</v>
      </c>
      <c r="N188" s="586">
        <v>100</v>
      </c>
      <c r="O188" s="586" t="e">
        <f>#REF!</f>
        <v>#REF!</v>
      </c>
      <c r="P188" s="586" t="e">
        <f>#REF!</f>
        <v>#REF!</v>
      </c>
      <c r="Q188" s="586" t="e">
        <f t="shared" si="246"/>
        <v>#REF!</v>
      </c>
      <c r="R188" s="586" t="e">
        <f>#REF!</f>
        <v>#REF!</v>
      </c>
      <c r="S188" s="586" t="e">
        <f>#REF!</f>
        <v>#REF!</v>
      </c>
      <c r="T188" s="586" t="e">
        <f t="shared" si="247"/>
        <v>#REF!</v>
      </c>
      <c r="U188" s="586" t="e">
        <f>#REF!+'SB (16-31)'!#REF!</f>
        <v>#REF!</v>
      </c>
      <c r="V188" s="586" t="e">
        <f>'SB (16-31)'!#REF!</f>
        <v>#REF!</v>
      </c>
      <c r="W188" s="586" t="e">
        <f>'SB (16-31)'!#REF!</f>
        <v>#REF!</v>
      </c>
      <c r="X188" s="586" t="e">
        <f t="shared" si="248"/>
        <v>#REF!</v>
      </c>
      <c r="Y188" s="586" t="e">
        <f>#REF!+'SB (16-31)'!#REF!</f>
        <v>#REF!</v>
      </c>
      <c r="Z188" s="586" t="e">
        <f>#REF!+'SB (16-31)'!#REF!</f>
        <v>#REF!</v>
      </c>
      <c r="AA188" s="586" t="e">
        <f t="shared" si="249"/>
        <v>#REF!</v>
      </c>
      <c r="AB188" s="586" t="e">
        <f>'SB (16-31)'!#REF!</f>
        <v>#REF!</v>
      </c>
      <c r="AC188" s="586" t="e">
        <f t="shared" si="250"/>
        <v>#REF!</v>
      </c>
      <c r="AE188" s="586">
        <f t="shared" si="251"/>
        <v>66725</v>
      </c>
      <c r="AF188" s="586" t="e">
        <f t="shared" si="252"/>
        <v>#REF!</v>
      </c>
      <c r="AG188" s="586" t="e">
        <f t="shared" si="253"/>
        <v>#REF!</v>
      </c>
      <c r="AH188" s="586">
        <f t="shared" si="254"/>
        <v>66725</v>
      </c>
      <c r="AI188" s="586" t="e">
        <f t="shared" si="255"/>
        <v>#REF!</v>
      </c>
      <c r="AJ188" s="586" t="e">
        <f t="shared" si="256"/>
        <v>#REF!</v>
      </c>
    </row>
    <row r="189" spans="1:36" ht="13.5" thickBot="1" x14ac:dyDescent="0.25">
      <c r="A189" s="30" t="s">
        <v>37</v>
      </c>
      <c r="B189" s="576"/>
      <c r="C189" s="586"/>
      <c r="D189" s="157">
        <f>SUM(D179:D188)</f>
        <v>680408</v>
      </c>
      <c r="E189" s="157" t="e">
        <f t="shared" ref="E189:AC189" si="257">SUM(E179:E188)</f>
        <v>#REF!</v>
      </c>
      <c r="F189" s="157" t="e">
        <f t="shared" si="257"/>
        <v>#REF!</v>
      </c>
      <c r="G189" s="157" t="e">
        <f t="shared" si="257"/>
        <v>#REF!</v>
      </c>
      <c r="H189" s="157" t="e">
        <f t="shared" si="257"/>
        <v>#REF!</v>
      </c>
      <c r="I189" s="157" t="e">
        <f t="shared" si="257"/>
        <v>#REF!</v>
      </c>
      <c r="J189" s="157" t="e">
        <f t="shared" si="257"/>
        <v>#REF!</v>
      </c>
      <c r="K189" s="157" t="e">
        <f t="shared" si="257"/>
        <v>#REF!</v>
      </c>
      <c r="L189" s="157" t="e">
        <f t="shared" si="257"/>
        <v>#REF!</v>
      </c>
      <c r="M189" s="157" t="e">
        <f t="shared" si="257"/>
        <v>#REF!</v>
      </c>
      <c r="N189" s="157">
        <f>SUM(N179:N188)</f>
        <v>1000</v>
      </c>
      <c r="O189" s="157" t="e">
        <f t="shared" si="257"/>
        <v>#REF!</v>
      </c>
      <c r="P189" s="157" t="e">
        <f t="shared" si="257"/>
        <v>#REF!</v>
      </c>
      <c r="Q189" s="157" t="e">
        <f t="shared" si="257"/>
        <v>#REF!</v>
      </c>
      <c r="R189" s="157" t="e">
        <f t="shared" si="257"/>
        <v>#REF!</v>
      </c>
      <c r="S189" s="157" t="e">
        <f t="shared" si="257"/>
        <v>#REF!</v>
      </c>
      <c r="T189" s="157" t="e">
        <f t="shared" si="257"/>
        <v>#REF!</v>
      </c>
      <c r="U189" s="157" t="e">
        <f t="shared" si="257"/>
        <v>#REF!</v>
      </c>
      <c r="V189" s="157" t="e">
        <f t="shared" si="257"/>
        <v>#REF!</v>
      </c>
      <c r="W189" s="157" t="e">
        <f t="shared" si="257"/>
        <v>#REF!</v>
      </c>
      <c r="X189" s="157" t="e">
        <f t="shared" si="257"/>
        <v>#REF!</v>
      </c>
      <c r="Y189" s="157" t="e">
        <f t="shared" si="257"/>
        <v>#REF!</v>
      </c>
      <c r="Z189" s="157" t="e">
        <f t="shared" si="257"/>
        <v>#REF!</v>
      </c>
      <c r="AA189" s="157" t="e">
        <f t="shared" si="257"/>
        <v>#REF!</v>
      </c>
      <c r="AB189" s="157" t="e">
        <f t="shared" si="257"/>
        <v>#REF!</v>
      </c>
      <c r="AC189" s="157" t="e">
        <f t="shared" si="257"/>
        <v>#REF!</v>
      </c>
      <c r="AE189" s="601">
        <f>SUM(AE179:AE188)</f>
        <v>680408</v>
      </c>
      <c r="AF189" s="586"/>
      <c r="AG189" s="586"/>
      <c r="AH189" s="586"/>
      <c r="AI189" s="586"/>
      <c r="AJ189" s="586"/>
    </row>
    <row r="190" spans="1:36" ht="13.5" thickTop="1" x14ac:dyDescent="0.2">
      <c r="A190" s="194" t="s">
        <v>43</v>
      </c>
      <c r="B190" s="576" t="s">
        <v>37</v>
      </c>
      <c r="C190" s="586"/>
      <c r="D190" s="56" t="s">
        <v>37</v>
      </c>
      <c r="E190" s="586"/>
      <c r="F190" s="586"/>
      <c r="G190" s="586"/>
      <c r="H190" s="586"/>
      <c r="I190" s="586"/>
      <c r="J190" s="586"/>
      <c r="K190" s="586"/>
      <c r="L190" s="586"/>
      <c r="M190" s="586"/>
      <c r="N190" s="586"/>
      <c r="O190" s="586"/>
      <c r="P190" s="586"/>
      <c r="Q190" s="586"/>
      <c r="R190" s="586"/>
      <c r="S190" s="586"/>
      <c r="T190" s="586"/>
      <c r="U190" s="586"/>
      <c r="V190" s="586"/>
      <c r="W190" s="586"/>
      <c r="X190" s="586"/>
      <c r="Y190" s="586"/>
      <c r="Z190" s="586"/>
      <c r="AA190" s="586"/>
      <c r="AB190" s="586"/>
      <c r="AC190" s="586"/>
      <c r="AE190" s="586"/>
      <c r="AF190" s="586"/>
      <c r="AG190" s="586"/>
      <c r="AH190" s="586"/>
      <c r="AI190" s="586"/>
      <c r="AJ190" s="586"/>
    </row>
    <row r="191" spans="1:36" x14ac:dyDescent="0.2">
      <c r="A191" s="30" t="s">
        <v>44</v>
      </c>
      <c r="B191" s="576" t="s">
        <v>45</v>
      </c>
      <c r="C191" s="588" t="s">
        <v>575</v>
      </c>
      <c r="D191" s="54">
        <v>73532</v>
      </c>
      <c r="E191" s="586">
        <f>'SB(1-15)'!I36+'SB (16-31)'!I36</f>
        <v>0</v>
      </c>
      <c r="F191" s="586" t="e">
        <f>#REF!+'SB (16-31)'!J36</f>
        <v>#REF!</v>
      </c>
      <c r="G191" s="586" t="e">
        <f>#REF!+'SB (16-31)'!K36</f>
        <v>#REF!</v>
      </c>
      <c r="H191" s="586" t="e">
        <f>#REF!+'SB (16-31)'!L36</f>
        <v>#REF!</v>
      </c>
      <c r="I191" s="586" t="e">
        <f>#REF!+'SB (16-31)'!M36</f>
        <v>#REF!</v>
      </c>
      <c r="J191" s="586" t="e">
        <f>#REF!</f>
        <v>#REF!</v>
      </c>
      <c r="K191" s="586" t="e">
        <f>#REF!+'SB (16-31)'!O36</f>
        <v>#REF!</v>
      </c>
      <c r="L191" s="586" t="e">
        <f>#REF!+'SB (16-31)'!P36</f>
        <v>#REF!</v>
      </c>
      <c r="M191" s="586" t="e">
        <f>#REF!+'SB (16-31)'!R36</f>
        <v>#REF!</v>
      </c>
      <c r="N191" s="586">
        <v>100</v>
      </c>
      <c r="O191" s="586" t="e">
        <f>#REF!</f>
        <v>#REF!</v>
      </c>
      <c r="P191" s="586" t="e">
        <f>#REF!</f>
        <v>#REF!</v>
      </c>
      <c r="Q191" s="586" t="e">
        <f t="shared" ref="Q191:Q201" si="258">SUM(E191:P191)</f>
        <v>#REF!</v>
      </c>
      <c r="R191" s="586" t="e">
        <f>#REF!</f>
        <v>#REF!</v>
      </c>
      <c r="S191" s="586" t="e">
        <f>#REF!</f>
        <v>#REF!</v>
      </c>
      <c r="T191" s="586" t="e">
        <f t="shared" ref="T191:T201" si="259">R191+S191</f>
        <v>#REF!</v>
      </c>
      <c r="U191" s="586" t="e">
        <f>#REF!+'SB (16-31)'!X36</f>
        <v>#REF!</v>
      </c>
      <c r="V191" s="586">
        <f>'SB (16-31)'!V36</f>
        <v>1860.32</v>
      </c>
      <c r="W191" s="586">
        <f>'SB (16-31)'!W36</f>
        <v>1860.32</v>
      </c>
      <c r="X191" s="586" t="e">
        <f t="shared" ref="X191:X201" si="260">SUM(U191:W191)</f>
        <v>#REF!</v>
      </c>
      <c r="Y191" s="586" t="e">
        <f>#REF!+'SB (16-31)'!AA36</f>
        <v>#REF!</v>
      </c>
      <c r="Z191" s="586" t="e">
        <f>#REF!+'SB (16-31)'!#REF!</f>
        <v>#REF!</v>
      </c>
      <c r="AA191" s="586" t="e">
        <f t="shared" ref="AA191:AA201" si="261">SUM(Y191:Z191)</f>
        <v>#REF!</v>
      </c>
      <c r="AB191" s="586">
        <f>'SB (16-31)'!U36</f>
        <v>11989.71</v>
      </c>
      <c r="AC191" s="586" t="e">
        <f t="shared" ref="AC191:AC201" si="262">Q191+T191+X191+AA191+AB191</f>
        <v>#REF!</v>
      </c>
      <c r="AE191" s="586">
        <f t="shared" ref="AE191:AE201" si="263">D191</f>
        <v>73532</v>
      </c>
      <c r="AF191" s="586" t="e">
        <f t="shared" ref="AF191:AF201" si="264">SUM(E191:M191)+O191+R191+U191+V191+AA191+AB191</f>
        <v>#REF!</v>
      </c>
      <c r="AG191" s="586" t="e">
        <f t="shared" ref="AG191:AG201" si="265">AE191-AF191</f>
        <v>#REF!</v>
      </c>
      <c r="AH191" s="586">
        <f t="shared" ref="AH191:AH201" si="266">AE191</f>
        <v>73532</v>
      </c>
      <c r="AI191" s="586" t="e">
        <f t="shared" ref="AI191:AI201" si="267">P191+S191+W191</f>
        <v>#REF!</v>
      </c>
      <c r="AJ191" s="586" t="e">
        <f t="shared" ref="AJ191:AJ201" si="268">AH191+AI191</f>
        <v>#REF!</v>
      </c>
    </row>
    <row r="192" spans="1:36" x14ac:dyDescent="0.2">
      <c r="A192" s="30" t="s">
        <v>41</v>
      </c>
      <c r="B192" s="576" t="s">
        <v>261</v>
      </c>
      <c r="C192" s="589" t="s">
        <v>253</v>
      </c>
      <c r="D192" s="59">
        <v>20436</v>
      </c>
      <c r="E192" s="586">
        <f>'SB(1-15)'!I28+'SB (16-31)'!I28</f>
        <v>0</v>
      </c>
      <c r="F192" s="586" t="e">
        <f>#REF!+'SB (16-31)'!J28</f>
        <v>#REF!</v>
      </c>
      <c r="G192" s="586" t="e">
        <f>#REF!+'SB (16-31)'!K28</f>
        <v>#REF!</v>
      </c>
      <c r="H192" s="586" t="e">
        <f>#REF!+'SB (16-31)'!L28</f>
        <v>#REF!</v>
      </c>
      <c r="I192" s="586" t="e">
        <f>#REF!+'SB (16-31)'!M28</f>
        <v>#REF!</v>
      </c>
      <c r="J192" s="586" t="e">
        <f>#REF!</f>
        <v>#REF!</v>
      </c>
      <c r="K192" s="586" t="e">
        <f>#REF!+'SB (16-31)'!O28</f>
        <v>#REF!</v>
      </c>
      <c r="L192" s="586" t="e">
        <f>#REF!+'SB (16-31)'!P28</f>
        <v>#REF!</v>
      </c>
      <c r="M192" s="586" t="e">
        <f>#REF!+'SB (16-31)'!R28</f>
        <v>#REF!</v>
      </c>
      <c r="N192" s="586">
        <v>100</v>
      </c>
      <c r="O192" s="586" t="e">
        <f>#REF!</f>
        <v>#REF!</v>
      </c>
      <c r="P192" s="586" t="e">
        <f>#REF!</f>
        <v>#REF!</v>
      </c>
      <c r="Q192" s="586" t="e">
        <f t="shared" si="258"/>
        <v>#REF!</v>
      </c>
      <c r="R192" s="586" t="e">
        <f>#REF!</f>
        <v>#REF!</v>
      </c>
      <c r="S192" s="586" t="e">
        <f>#REF!</f>
        <v>#REF!</v>
      </c>
      <c r="T192" s="586" t="e">
        <f t="shared" si="259"/>
        <v>#REF!</v>
      </c>
      <c r="U192" s="586" t="e">
        <f>#REF!+'SB (16-31)'!X28</f>
        <v>#REF!</v>
      </c>
      <c r="V192" s="586">
        <f>'SB (16-31)'!V28</f>
        <v>881.14</v>
      </c>
      <c r="W192" s="586">
        <f>'SB (16-31)'!W28</f>
        <v>881.14</v>
      </c>
      <c r="X192" s="586" t="e">
        <f t="shared" si="260"/>
        <v>#REF!</v>
      </c>
      <c r="Y192" s="586" t="e">
        <f>#REF!+'SB (16-31)'!AA28</f>
        <v>#REF!</v>
      </c>
      <c r="Z192" s="586" t="e">
        <f>#REF!+'SB (16-31)'!#REF!</f>
        <v>#REF!</v>
      </c>
      <c r="AA192" s="586" t="e">
        <f t="shared" si="261"/>
        <v>#REF!</v>
      </c>
      <c r="AB192" s="586">
        <f>'SB (16-31)'!U28</f>
        <v>2830.19</v>
      </c>
      <c r="AC192" s="586" t="e">
        <f t="shared" si="262"/>
        <v>#REF!</v>
      </c>
      <c r="AE192" s="586">
        <f t="shared" si="263"/>
        <v>20436</v>
      </c>
      <c r="AF192" s="586" t="e">
        <f t="shared" si="264"/>
        <v>#REF!</v>
      </c>
      <c r="AG192" s="586" t="e">
        <f t="shared" si="265"/>
        <v>#REF!</v>
      </c>
      <c r="AH192" s="586">
        <f t="shared" si="266"/>
        <v>20436</v>
      </c>
      <c r="AI192" s="586" t="e">
        <f t="shared" si="267"/>
        <v>#REF!</v>
      </c>
      <c r="AJ192" s="586" t="e">
        <f t="shared" si="268"/>
        <v>#REF!</v>
      </c>
    </row>
    <row r="193" spans="1:36" x14ac:dyDescent="0.2">
      <c r="A193" s="30" t="s">
        <v>426</v>
      </c>
      <c r="B193" s="576" t="s">
        <v>427</v>
      </c>
      <c r="C193" s="589" t="s">
        <v>253</v>
      </c>
      <c r="D193" s="54">
        <v>15386</v>
      </c>
      <c r="E193" s="586">
        <f>'SB(1-15)'!I37+'SB (16-31)'!I37</f>
        <v>0</v>
      </c>
      <c r="F193" s="586" t="e">
        <f>#REF!+'SB (16-31)'!J37</f>
        <v>#REF!</v>
      </c>
      <c r="G193" s="586" t="e">
        <f>#REF!+'SB (16-31)'!K37</f>
        <v>#REF!</v>
      </c>
      <c r="H193" s="586" t="e">
        <f>#REF!+'SB (16-31)'!L37</f>
        <v>#REF!</v>
      </c>
      <c r="I193" s="586" t="e">
        <f>#REF!+'SB (16-31)'!M37</f>
        <v>#REF!</v>
      </c>
      <c r="J193" s="586" t="e">
        <f>#REF!</f>
        <v>#REF!</v>
      </c>
      <c r="K193" s="586" t="e">
        <f>#REF!+'SB (16-31)'!O37</f>
        <v>#REF!</v>
      </c>
      <c r="L193" s="586" t="e">
        <f>#REF!+'SB (16-31)'!P37</f>
        <v>#REF!</v>
      </c>
      <c r="M193" s="586" t="e">
        <f>#REF!+'SB (16-31)'!R37</f>
        <v>#REF!</v>
      </c>
      <c r="N193" s="586">
        <v>100</v>
      </c>
      <c r="O193" s="586" t="e">
        <f>#REF!</f>
        <v>#REF!</v>
      </c>
      <c r="P193" s="586" t="e">
        <f>#REF!</f>
        <v>#REF!</v>
      </c>
      <c r="Q193" s="586" t="e">
        <f t="shared" si="258"/>
        <v>#REF!</v>
      </c>
      <c r="R193" s="586" t="e">
        <f>#REF!</f>
        <v>#REF!</v>
      </c>
      <c r="S193" s="586" t="e">
        <f>#REF!</f>
        <v>#REF!</v>
      </c>
      <c r="T193" s="586" t="e">
        <f t="shared" si="259"/>
        <v>#REF!</v>
      </c>
      <c r="U193" s="586" t="e">
        <f>#REF!+'SB (16-31)'!X37</f>
        <v>#REF!</v>
      </c>
      <c r="V193" s="586">
        <f>'SB (16-31)'!V37</f>
        <v>441.94</v>
      </c>
      <c r="W193" s="586">
        <f>'SB (16-31)'!W37</f>
        <v>441.94</v>
      </c>
      <c r="X193" s="586" t="e">
        <f t="shared" si="260"/>
        <v>#REF!</v>
      </c>
      <c r="Y193" s="586" t="e">
        <f>#REF!+'SB (16-31)'!AA37</f>
        <v>#REF!</v>
      </c>
      <c r="Z193" s="586" t="e">
        <f>#REF!+'SB (16-31)'!#REF!</f>
        <v>#REF!</v>
      </c>
      <c r="AA193" s="586" t="e">
        <f t="shared" si="261"/>
        <v>#REF!</v>
      </c>
      <c r="AB193" s="586">
        <f>'SB (16-31)'!U37</f>
        <v>0</v>
      </c>
      <c r="AC193" s="586" t="e">
        <f t="shared" si="262"/>
        <v>#REF!</v>
      </c>
      <c r="AE193" s="586">
        <f t="shared" si="263"/>
        <v>15386</v>
      </c>
      <c r="AF193" s="586" t="e">
        <f t="shared" si="264"/>
        <v>#REF!</v>
      </c>
      <c r="AG193" s="586" t="e">
        <f t="shared" si="265"/>
        <v>#REF!</v>
      </c>
      <c r="AH193" s="586">
        <f t="shared" si="266"/>
        <v>15386</v>
      </c>
      <c r="AI193" s="586" t="e">
        <f t="shared" si="267"/>
        <v>#REF!</v>
      </c>
      <c r="AJ193" s="586" t="e">
        <f t="shared" si="268"/>
        <v>#REF!</v>
      </c>
    </row>
    <row r="194" spans="1:36" x14ac:dyDescent="0.2">
      <c r="A194" s="30" t="s">
        <v>251</v>
      </c>
      <c r="B194" s="576" t="s">
        <v>473</v>
      </c>
      <c r="C194" s="589" t="s">
        <v>253</v>
      </c>
      <c r="D194" s="59">
        <v>15386</v>
      </c>
      <c r="E194" s="586">
        <f>'SB(1-15)'!I29+'SB (16-31)'!I29</f>
        <v>0</v>
      </c>
      <c r="F194" s="586" t="e">
        <f>#REF!+'SB (16-31)'!J29</f>
        <v>#REF!</v>
      </c>
      <c r="G194" s="586" t="e">
        <f>#REF!+'SB (16-31)'!K29</f>
        <v>#REF!</v>
      </c>
      <c r="H194" s="586" t="e">
        <f>#REF!+'SB (16-31)'!L29</f>
        <v>#REF!</v>
      </c>
      <c r="I194" s="586" t="e">
        <f>#REF!+'SB (16-31)'!M29</f>
        <v>#REF!</v>
      </c>
      <c r="J194" s="586" t="e">
        <f>#REF!</f>
        <v>#REF!</v>
      </c>
      <c r="K194" s="586" t="e">
        <f>#REF!+'SB (16-31)'!O29</f>
        <v>#REF!</v>
      </c>
      <c r="L194" s="586" t="e">
        <f>#REF!+'SB (16-31)'!P29</f>
        <v>#REF!</v>
      </c>
      <c r="M194" s="586" t="e">
        <f>#REF!+'SB (16-31)'!R29</f>
        <v>#REF!</v>
      </c>
      <c r="N194" s="586">
        <v>100</v>
      </c>
      <c r="O194" s="586" t="e">
        <f>#REF!</f>
        <v>#REF!</v>
      </c>
      <c r="P194" s="586" t="e">
        <f>#REF!</f>
        <v>#REF!</v>
      </c>
      <c r="Q194" s="586" t="e">
        <f t="shared" si="258"/>
        <v>#REF!</v>
      </c>
      <c r="R194" s="586" t="e">
        <f>#REF!</f>
        <v>#REF!</v>
      </c>
      <c r="S194" s="586" t="e">
        <f>#REF!</f>
        <v>#REF!</v>
      </c>
      <c r="T194" s="586" t="e">
        <f t="shared" si="259"/>
        <v>#REF!</v>
      </c>
      <c r="U194" s="586" t="e">
        <f>#REF!+'SB (16-31)'!X29</f>
        <v>#REF!</v>
      </c>
      <c r="V194" s="586">
        <f>'SB (16-31)'!V29</f>
        <v>441.94</v>
      </c>
      <c r="W194" s="586">
        <f>'SB (16-31)'!W29</f>
        <v>441.94</v>
      </c>
      <c r="X194" s="586" t="e">
        <f t="shared" si="260"/>
        <v>#REF!</v>
      </c>
      <c r="Y194" s="586" t="e">
        <f>#REF!+'SB (16-31)'!AA29</f>
        <v>#REF!</v>
      </c>
      <c r="Z194" s="586" t="e">
        <f>#REF!+'SB (16-31)'!#REF!</f>
        <v>#REF!</v>
      </c>
      <c r="AA194" s="586" t="e">
        <f t="shared" si="261"/>
        <v>#REF!</v>
      </c>
      <c r="AB194" s="586">
        <f>'SB (16-31)'!U29</f>
        <v>0</v>
      </c>
      <c r="AC194" s="586" t="e">
        <f t="shared" si="262"/>
        <v>#REF!</v>
      </c>
      <c r="AE194" s="586">
        <f t="shared" si="263"/>
        <v>15386</v>
      </c>
      <c r="AF194" s="586" t="e">
        <f t="shared" si="264"/>
        <v>#REF!</v>
      </c>
      <c r="AG194" s="586" t="e">
        <f t="shared" si="265"/>
        <v>#REF!</v>
      </c>
      <c r="AH194" s="586">
        <f t="shared" si="266"/>
        <v>15386</v>
      </c>
      <c r="AI194" s="586" t="e">
        <f t="shared" si="267"/>
        <v>#REF!</v>
      </c>
      <c r="AJ194" s="586" t="e">
        <f t="shared" si="268"/>
        <v>#REF!</v>
      </c>
    </row>
    <row r="195" spans="1:36" x14ac:dyDescent="0.2">
      <c r="A195" s="30" t="s">
        <v>258</v>
      </c>
      <c r="B195" s="576" t="s">
        <v>429</v>
      </c>
      <c r="C195" s="589" t="s">
        <v>253</v>
      </c>
      <c r="D195" s="59">
        <v>13406</v>
      </c>
      <c r="E195" s="586" t="e">
        <f>'SB(1-15)'!#REF!+'SB (16-31)'!#REF!</f>
        <v>#REF!</v>
      </c>
      <c r="F195" s="586" t="e">
        <f>#REF!+'SB (16-31)'!#REF!</f>
        <v>#REF!</v>
      </c>
      <c r="G195" s="586" t="e">
        <f>#REF!+'SB (16-31)'!#REF!</f>
        <v>#REF!</v>
      </c>
      <c r="H195" s="586" t="e">
        <f>#REF!+'SB (16-31)'!#REF!</f>
        <v>#REF!</v>
      </c>
      <c r="I195" s="586" t="e">
        <f>#REF!+'SB (16-31)'!#REF!</f>
        <v>#REF!</v>
      </c>
      <c r="J195" s="586" t="e">
        <f>#REF!</f>
        <v>#REF!</v>
      </c>
      <c r="K195" s="586" t="e">
        <f>#REF!+'SB (16-31)'!#REF!</f>
        <v>#REF!</v>
      </c>
      <c r="L195" s="586" t="e">
        <f>#REF!+'SB (16-31)'!#REF!</f>
        <v>#REF!</v>
      </c>
      <c r="M195" s="586" t="e">
        <f>#REF!+'SB (16-31)'!#REF!</f>
        <v>#REF!</v>
      </c>
      <c r="N195" s="586">
        <v>100</v>
      </c>
      <c r="O195" s="586" t="e">
        <f>#REF!</f>
        <v>#REF!</v>
      </c>
      <c r="P195" s="586" t="e">
        <f>#REF!</f>
        <v>#REF!</v>
      </c>
      <c r="Q195" s="586" t="e">
        <f t="shared" si="258"/>
        <v>#REF!</v>
      </c>
      <c r="R195" s="586" t="e">
        <f>#REF!</f>
        <v>#REF!</v>
      </c>
      <c r="S195" s="586" t="e">
        <f>#REF!</f>
        <v>#REF!</v>
      </c>
      <c r="T195" s="586" t="e">
        <f t="shared" si="259"/>
        <v>#REF!</v>
      </c>
      <c r="U195" s="586" t="e">
        <f>#REF!+'SB (16-31)'!#REF!</f>
        <v>#REF!</v>
      </c>
      <c r="V195" s="586" t="e">
        <f>'SB (16-31)'!#REF!</f>
        <v>#REF!</v>
      </c>
      <c r="W195" s="586" t="e">
        <f>'SB (16-31)'!#REF!</f>
        <v>#REF!</v>
      </c>
      <c r="X195" s="586" t="e">
        <f t="shared" si="260"/>
        <v>#REF!</v>
      </c>
      <c r="Y195" s="586" t="e">
        <f>#REF!+'SB (16-31)'!#REF!</f>
        <v>#REF!</v>
      </c>
      <c r="Z195" s="586" t="e">
        <f>#REF!+'SB (16-31)'!#REF!</f>
        <v>#REF!</v>
      </c>
      <c r="AA195" s="586" t="e">
        <f t="shared" si="261"/>
        <v>#REF!</v>
      </c>
      <c r="AB195" s="586" t="e">
        <f>'SB (16-31)'!#REF!</f>
        <v>#REF!</v>
      </c>
      <c r="AC195" s="586" t="e">
        <f t="shared" si="262"/>
        <v>#REF!</v>
      </c>
      <c r="AE195" s="586">
        <f t="shared" si="263"/>
        <v>13406</v>
      </c>
      <c r="AF195" s="586" t="e">
        <f t="shared" si="264"/>
        <v>#REF!</v>
      </c>
      <c r="AG195" s="586" t="e">
        <f t="shared" si="265"/>
        <v>#REF!</v>
      </c>
      <c r="AH195" s="586">
        <f t="shared" si="266"/>
        <v>13406</v>
      </c>
      <c r="AI195" s="586" t="e">
        <f t="shared" si="267"/>
        <v>#REF!</v>
      </c>
      <c r="AJ195" s="586" t="e">
        <f t="shared" si="268"/>
        <v>#REF!</v>
      </c>
    </row>
    <row r="196" spans="1:36" x14ac:dyDescent="0.2">
      <c r="A196" s="30" t="s">
        <v>474</v>
      </c>
      <c r="B196" s="576" t="s">
        <v>446</v>
      </c>
      <c r="C196" s="589" t="s">
        <v>253</v>
      </c>
      <c r="D196" s="59">
        <v>10571</v>
      </c>
      <c r="E196" s="586">
        <f>'SB(1-15)'!I39+'SB (16-31)'!I39</f>
        <v>596.54999999999995</v>
      </c>
      <c r="F196" s="586" t="e">
        <f>#REF!+'SB (16-31)'!J39</f>
        <v>#REF!</v>
      </c>
      <c r="G196" s="586" t="e">
        <f>#REF!+'SB (16-31)'!#REF!</f>
        <v>#REF!</v>
      </c>
      <c r="H196" s="586" t="e">
        <f>#REF!+'SB (16-31)'!#REF!</f>
        <v>#REF!</v>
      </c>
      <c r="I196" s="586" t="e">
        <f>#REF!+'SB (16-31)'!M39</f>
        <v>#REF!</v>
      </c>
      <c r="J196" s="586" t="e">
        <f>#REF!</f>
        <v>#REF!</v>
      </c>
      <c r="K196" s="586" t="e">
        <f>#REF!+'SB (16-31)'!#REF!</f>
        <v>#REF!</v>
      </c>
      <c r="L196" s="586" t="e">
        <f>#REF!+'SB (16-31)'!#REF!</f>
        <v>#REF!</v>
      </c>
      <c r="M196" s="586" t="e">
        <f>#REF!+'SB (16-31)'!#REF!</f>
        <v>#REF!</v>
      </c>
      <c r="N196" s="586">
        <v>100</v>
      </c>
      <c r="O196" s="586" t="e">
        <f>#REF!</f>
        <v>#REF!</v>
      </c>
      <c r="P196" s="586" t="e">
        <f>#REF!</f>
        <v>#REF!</v>
      </c>
      <c r="Q196" s="586" t="e">
        <f t="shared" si="258"/>
        <v>#REF!</v>
      </c>
      <c r="R196" s="586" t="e">
        <f>#REF!</f>
        <v>#REF!</v>
      </c>
      <c r="S196" s="586" t="e">
        <f>#REF!</f>
        <v>#REF!</v>
      </c>
      <c r="T196" s="586" t="e">
        <f t="shared" si="259"/>
        <v>#REF!</v>
      </c>
      <c r="U196" s="586" t="e">
        <f>#REF!+'SB (16-31)'!#REF!</f>
        <v>#REF!</v>
      </c>
      <c r="V196" s="586" t="e">
        <f>'SB (16-31)'!#REF!</f>
        <v>#REF!</v>
      </c>
      <c r="W196" s="586" t="e">
        <f>'SB (16-31)'!#REF!</f>
        <v>#REF!</v>
      </c>
      <c r="X196" s="586" t="e">
        <f t="shared" si="260"/>
        <v>#REF!</v>
      </c>
      <c r="Y196" s="586" t="e">
        <f>#REF!+'SB (16-31)'!#REF!</f>
        <v>#REF!</v>
      </c>
      <c r="Z196" s="586" t="e">
        <f>#REF!+'SB (16-31)'!#REF!</f>
        <v>#REF!</v>
      </c>
      <c r="AA196" s="586" t="e">
        <f t="shared" si="261"/>
        <v>#REF!</v>
      </c>
      <c r="AB196" s="586" t="e">
        <f>'SB (16-31)'!#REF!</f>
        <v>#REF!</v>
      </c>
      <c r="AC196" s="586" t="e">
        <f t="shared" si="262"/>
        <v>#REF!</v>
      </c>
      <c r="AE196" s="586">
        <f t="shared" si="263"/>
        <v>10571</v>
      </c>
      <c r="AF196" s="586" t="e">
        <f t="shared" si="264"/>
        <v>#REF!</v>
      </c>
      <c r="AG196" s="586" t="e">
        <f t="shared" si="265"/>
        <v>#REF!</v>
      </c>
      <c r="AH196" s="586">
        <f t="shared" si="266"/>
        <v>10571</v>
      </c>
      <c r="AI196" s="586" t="e">
        <f t="shared" si="267"/>
        <v>#REF!</v>
      </c>
      <c r="AJ196" s="586" t="e">
        <f t="shared" si="268"/>
        <v>#REF!</v>
      </c>
    </row>
    <row r="197" spans="1:36" x14ac:dyDescent="0.2">
      <c r="A197" s="44" t="s">
        <v>542</v>
      </c>
      <c r="B197" s="576" t="s">
        <v>499</v>
      </c>
      <c r="C197" s="589" t="s">
        <v>253</v>
      </c>
      <c r="D197" s="45">
        <v>10571</v>
      </c>
      <c r="E197" s="586" t="e">
        <f>'SB(1-15)'!#REF!+'SB (16-31)'!#REF!</f>
        <v>#REF!</v>
      </c>
      <c r="F197" s="586" t="e">
        <f>#REF!+'SB (16-31)'!#REF!</f>
        <v>#REF!</v>
      </c>
      <c r="G197" s="586" t="e">
        <f>#REF!+'SB (16-31)'!#REF!</f>
        <v>#REF!</v>
      </c>
      <c r="H197" s="586" t="e">
        <f>#REF!+'SB (16-31)'!#REF!</f>
        <v>#REF!</v>
      </c>
      <c r="I197" s="586" t="e">
        <f>#REF!+'SB (16-31)'!#REF!</f>
        <v>#REF!</v>
      </c>
      <c r="J197" s="586" t="e">
        <f>#REF!</f>
        <v>#REF!</v>
      </c>
      <c r="K197" s="586" t="e">
        <f>#REF!+'SB (16-31)'!#REF!</f>
        <v>#REF!</v>
      </c>
      <c r="L197" s="586" t="e">
        <f>#REF!+'SB (16-31)'!#REF!</f>
        <v>#REF!</v>
      </c>
      <c r="M197" s="586" t="e">
        <f>#REF!+'SB (16-31)'!#REF!</f>
        <v>#REF!</v>
      </c>
      <c r="N197" s="586">
        <v>100</v>
      </c>
      <c r="O197" s="586" t="e">
        <f>#REF!</f>
        <v>#REF!</v>
      </c>
      <c r="P197" s="586" t="e">
        <f>#REF!</f>
        <v>#REF!</v>
      </c>
      <c r="Q197" s="586" t="e">
        <f t="shared" si="258"/>
        <v>#REF!</v>
      </c>
      <c r="R197" s="586" t="e">
        <f>#REF!</f>
        <v>#REF!</v>
      </c>
      <c r="S197" s="586" t="e">
        <f>#REF!</f>
        <v>#REF!</v>
      </c>
      <c r="T197" s="586" t="e">
        <f t="shared" si="259"/>
        <v>#REF!</v>
      </c>
      <c r="U197" s="586" t="e">
        <f>#REF!+'SB (16-31)'!#REF!</f>
        <v>#REF!</v>
      </c>
      <c r="V197" s="586" t="e">
        <f>'SB (16-31)'!#REF!</f>
        <v>#REF!</v>
      </c>
      <c r="W197" s="586" t="e">
        <f>'SB (16-31)'!#REF!</f>
        <v>#REF!</v>
      </c>
      <c r="X197" s="586" t="e">
        <f t="shared" si="260"/>
        <v>#REF!</v>
      </c>
      <c r="Y197" s="586" t="e">
        <f>#REF!+'SB (16-31)'!#REF!</f>
        <v>#REF!</v>
      </c>
      <c r="Z197" s="586" t="e">
        <f>#REF!+'SB (16-31)'!#REF!</f>
        <v>#REF!</v>
      </c>
      <c r="AA197" s="586" t="e">
        <f t="shared" si="261"/>
        <v>#REF!</v>
      </c>
      <c r="AB197" s="586" t="e">
        <f>'SB (16-31)'!#REF!</f>
        <v>#REF!</v>
      </c>
      <c r="AC197" s="586" t="e">
        <f t="shared" si="262"/>
        <v>#REF!</v>
      </c>
      <c r="AE197" s="586">
        <f t="shared" si="263"/>
        <v>10571</v>
      </c>
      <c r="AF197" s="586" t="e">
        <f t="shared" si="264"/>
        <v>#REF!</v>
      </c>
      <c r="AG197" s="586" t="e">
        <f t="shared" si="265"/>
        <v>#REF!</v>
      </c>
      <c r="AH197" s="586">
        <f t="shared" si="266"/>
        <v>10571</v>
      </c>
      <c r="AI197" s="586" t="e">
        <f t="shared" si="267"/>
        <v>#REF!</v>
      </c>
      <c r="AJ197" s="586" t="e">
        <f t="shared" si="268"/>
        <v>#REF!</v>
      </c>
    </row>
    <row r="198" spans="1:36" x14ac:dyDescent="0.2">
      <c r="A198" s="44" t="s">
        <v>543</v>
      </c>
      <c r="B198" s="576" t="s">
        <v>499</v>
      </c>
      <c r="C198" s="589" t="s">
        <v>253</v>
      </c>
      <c r="D198" s="45">
        <v>10571</v>
      </c>
      <c r="E198" s="586" t="e">
        <f>'SB(1-15)'!#REF!+'SB (16-31)'!#REF!</f>
        <v>#REF!</v>
      </c>
      <c r="F198" s="586" t="e">
        <f>#REF!+'SB (16-31)'!#REF!</f>
        <v>#REF!</v>
      </c>
      <c r="G198" s="586" t="e">
        <f>#REF!+'SB (16-31)'!#REF!</f>
        <v>#REF!</v>
      </c>
      <c r="H198" s="586" t="e">
        <f>#REF!+'SB (16-31)'!#REF!</f>
        <v>#REF!</v>
      </c>
      <c r="I198" s="586" t="e">
        <f>#REF!+'SB (16-31)'!#REF!</f>
        <v>#REF!</v>
      </c>
      <c r="J198" s="586" t="e">
        <f>#REF!</f>
        <v>#REF!</v>
      </c>
      <c r="K198" s="586" t="e">
        <f>#REF!+'SB (16-31)'!#REF!</f>
        <v>#REF!</v>
      </c>
      <c r="L198" s="586" t="e">
        <f>#REF!+'SB (16-31)'!#REF!</f>
        <v>#REF!</v>
      </c>
      <c r="M198" s="586" t="e">
        <f>#REF!+'SB (16-31)'!#REF!</f>
        <v>#REF!</v>
      </c>
      <c r="N198" s="586">
        <v>100</v>
      </c>
      <c r="O198" s="586" t="e">
        <f>#REF!</f>
        <v>#REF!</v>
      </c>
      <c r="P198" s="586" t="e">
        <f>#REF!</f>
        <v>#REF!</v>
      </c>
      <c r="Q198" s="586" t="e">
        <f t="shared" si="258"/>
        <v>#REF!</v>
      </c>
      <c r="R198" s="586" t="e">
        <f>#REF!</f>
        <v>#REF!</v>
      </c>
      <c r="S198" s="586" t="e">
        <f>#REF!</f>
        <v>#REF!</v>
      </c>
      <c r="T198" s="586" t="e">
        <f t="shared" si="259"/>
        <v>#REF!</v>
      </c>
      <c r="U198" s="586" t="e">
        <f>#REF!+'SB (16-31)'!#REF!</f>
        <v>#REF!</v>
      </c>
      <c r="V198" s="586" t="e">
        <f>'SB (16-31)'!#REF!</f>
        <v>#REF!</v>
      </c>
      <c r="W198" s="586" t="e">
        <f>'SB (16-31)'!#REF!</f>
        <v>#REF!</v>
      </c>
      <c r="X198" s="586" t="e">
        <f t="shared" si="260"/>
        <v>#REF!</v>
      </c>
      <c r="Y198" s="586" t="e">
        <f>#REF!+'SB (16-31)'!#REF!</f>
        <v>#REF!</v>
      </c>
      <c r="Z198" s="586" t="e">
        <f>#REF!+'SB (16-31)'!#REF!</f>
        <v>#REF!</v>
      </c>
      <c r="AA198" s="586" t="e">
        <f t="shared" si="261"/>
        <v>#REF!</v>
      </c>
      <c r="AB198" s="586" t="e">
        <f>'SB (16-31)'!#REF!</f>
        <v>#REF!</v>
      </c>
      <c r="AC198" s="586" t="e">
        <f t="shared" si="262"/>
        <v>#REF!</v>
      </c>
      <c r="AE198" s="586">
        <f t="shared" si="263"/>
        <v>10571</v>
      </c>
      <c r="AF198" s="586" t="e">
        <f t="shared" si="264"/>
        <v>#REF!</v>
      </c>
      <c r="AG198" s="586" t="e">
        <f t="shared" si="265"/>
        <v>#REF!</v>
      </c>
      <c r="AH198" s="586">
        <f t="shared" si="266"/>
        <v>10571</v>
      </c>
      <c r="AI198" s="586" t="e">
        <f t="shared" si="267"/>
        <v>#REF!</v>
      </c>
      <c r="AJ198" s="586" t="e">
        <f t="shared" si="268"/>
        <v>#REF!</v>
      </c>
    </row>
    <row r="199" spans="1:36" x14ac:dyDescent="0.2">
      <c r="A199" s="44" t="s">
        <v>544</v>
      </c>
      <c r="B199" s="576" t="s">
        <v>499</v>
      </c>
      <c r="C199" s="589" t="s">
        <v>253</v>
      </c>
      <c r="D199" s="45">
        <v>10571</v>
      </c>
      <c r="E199" s="586" t="e">
        <f>'SB(1-15)'!#REF!+'SB (16-31)'!#REF!</f>
        <v>#REF!</v>
      </c>
      <c r="F199" s="586" t="e">
        <f>#REF!+'SB (16-31)'!#REF!</f>
        <v>#REF!</v>
      </c>
      <c r="G199" s="586" t="e">
        <f>#REF!+'SB (16-31)'!#REF!</f>
        <v>#REF!</v>
      </c>
      <c r="H199" s="586" t="e">
        <f>#REF!+'SB (16-31)'!#REF!</f>
        <v>#REF!</v>
      </c>
      <c r="I199" s="586" t="e">
        <f>#REF!+'SB (16-31)'!#REF!</f>
        <v>#REF!</v>
      </c>
      <c r="J199" s="586" t="e">
        <f>#REF!</f>
        <v>#REF!</v>
      </c>
      <c r="K199" s="586" t="e">
        <f>#REF!+'SB (16-31)'!#REF!</f>
        <v>#REF!</v>
      </c>
      <c r="L199" s="586" t="e">
        <f>#REF!+'SB (16-31)'!#REF!</f>
        <v>#REF!</v>
      </c>
      <c r="M199" s="586" t="e">
        <f>#REF!+'SB (16-31)'!#REF!</f>
        <v>#REF!</v>
      </c>
      <c r="N199" s="586">
        <v>100</v>
      </c>
      <c r="O199" s="586" t="e">
        <f>#REF!</f>
        <v>#REF!</v>
      </c>
      <c r="P199" s="586" t="e">
        <f>#REF!</f>
        <v>#REF!</v>
      </c>
      <c r="Q199" s="586" t="e">
        <f t="shared" si="258"/>
        <v>#REF!</v>
      </c>
      <c r="R199" s="586" t="e">
        <f>#REF!</f>
        <v>#REF!</v>
      </c>
      <c r="S199" s="586" t="e">
        <f>#REF!</f>
        <v>#REF!</v>
      </c>
      <c r="T199" s="586" t="e">
        <f t="shared" si="259"/>
        <v>#REF!</v>
      </c>
      <c r="U199" s="586" t="e">
        <f>#REF!+'SB (16-31)'!#REF!</f>
        <v>#REF!</v>
      </c>
      <c r="V199" s="586" t="e">
        <f>'SB (16-31)'!#REF!</f>
        <v>#REF!</v>
      </c>
      <c r="W199" s="586" t="e">
        <f>'SB (16-31)'!#REF!</f>
        <v>#REF!</v>
      </c>
      <c r="X199" s="586" t="e">
        <f t="shared" si="260"/>
        <v>#REF!</v>
      </c>
      <c r="Y199" s="586" t="e">
        <f>#REF!+'SB (16-31)'!#REF!</f>
        <v>#REF!</v>
      </c>
      <c r="Z199" s="586" t="e">
        <f>#REF!+'SB (16-31)'!#REF!</f>
        <v>#REF!</v>
      </c>
      <c r="AA199" s="586" t="e">
        <f t="shared" si="261"/>
        <v>#REF!</v>
      </c>
      <c r="AB199" s="586" t="e">
        <f>'SB (16-31)'!#REF!</f>
        <v>#REF!</v>
      </c>
      <c r="AC199" s="586" t="e">
        <f t="shared" si="262"/>
        <v>#REF!</v>
      </c>
      <c r="AE199" s="586">
        <f t="shared" si="263"/>
        <v>10571</v>
      </c>
      <c r="AF199" s="586" t="e">
        <f t="shared" si="264"/>
        <v>#REF!</v>
      </c>
      <c r="AG199" s="586" t="e">
        <f t="shared" si="265"/>
        <v>#REF!</v>
      </c>
      <c r="AH199" s="586">
        <f t="shared" si="266"/>
        <v>10571</v>
      </c>
      <c r="AI199" s="586" t="e">
        <f t="shared" si="267"/>
        <v>#REF!</v>
      </c>
      <c r="AJ199" s="586" t="e">
        <f t="shared" si="268"/>
        <v>#REF!</v>
      </c>
    </row>
    <row r="200" spans="1:36" x14ac:dyDescent="0.2">
      <c r="A200" s="30" t="s">
        <v>475</v>
      </c>
      <c r="B200" s="576" t="s">
        <v>446</v>
      </c>
      <c r="C200" s="589" t="s">
        <v>253</v>
      </c>
      <c r="D200" s="54">
        <v>9973</v>
      </c>
      <c r="E200" s="586">
        <f>'SB(1-15)'!I40+'SB (16-31)'!I40</f>
        <v>0</v>
      </c>
      <c r="F200" s="586" t="e">
        <f>#REF!+'SB (16-31)'!J40</f>
        <v>#REF!</v>
      </c>
      <c r="G200" s="586" t="e">
        <f>#REF!+'SB (16-31)'!K40</f>
        <v>#REF!</v>
      </c>
      <c r="H200" s="586" t="e">
        <f>#REF!+'SB (16-31)'!L40</f>
        <v>#REF!</v>
      </c>
      <c r="I200" s="586" t="e">
        <f>#REF!+'SB (16-31)'!M40</f>
        <v>#REF!</v>
      </c>
      <c r="J200" s="586" t="e">
        <f>#REF!</f>
        <v>#REF!</v>
      </c>
      <c r="K200" s="586" t="e">
        <f>#REF!+'SB (16-31)'!O40</f>
        <v>#REF!</v>
      </c>
      <c r="L200" s="586" t="e">
        <f>#REF!+'SB (16-31)'!P40</f>
        <v>#REF!</v>
      </c>
      <c r="M200" s="586" t="e">
        <f>#REF!+'SB (16-31)'!R40</f>
        <v>#REF!</v>
      </c>
      <c r="N200" s="586">
        <v>99.73</v>
      </c>
      <c r="O200" s="586" t="e">
        <f>#REF!</f>
        <v>#REF!</v>
      </c>
      <c r="P200" s="586" t="e">
        <f>#REF!</f>
        <v>#REF!</v>
      </c>
      <c r="Q200" s="586" t="e">
        <f t="shared" si="258"/>
        <v>#REF!</v>
      </c>
      <c r="R200" s="586" t="e">
        <f>#REF!</f>
        <v>#REF!</v>
      </c>
      <c r="S200" s="586" t="e">
        <f>#REF!</f>
        <v>#REF!</v>
      </c>
      <c r="T200" s="586" t="e">
        <f t="shared" si="259"/>
        <v>#REF!</v>
      </c>
      <c r="U200" s="586" t="e">
        <f>#REF!+'SB (16-31)'!X40</f>
        <v>#REF!</v>
      </c>
      <c r="V200" s="586">
        <f>'SB (16-31)'!V40</f>
        <v>364.62</v>
      </c>
      <c r="W200" s="586">
        <f>'SB (16-31)'!W40</f>
        <v>364.62</v>
      </c>
      <c r="X200" s="586" t="e">
        <f t="shared" si="260"/>
        <v>#REF!</v>
      </c>
      <c r="Y200" s="602" t="e">
        <f>#REF!+'SB (16-31)'!AA40</f>
        <v>#REF!</v>
      </c>
      <c r="Z200" s="586" t="e">
        <f>#REF!+'SB (16-31)'!#REF!</f>
        <v>#REF!</v>
      </c>
      <c r="AA200" s="586" t="e">
        <f t="shared" si="261"/>
        <v>#REF!</v>
      </c>
      <c r="AB200" s="586">
        <f>'SB (16-31)'!U40</f>
        <v>0</v>
      </c>
      <c r="AC200" s="586" t="e">
        <f t="shared" si="262"/>
        <v>#REF!</v>
      </c>
      <c r="AE200" s="586">
        <f t="shared" si="263"/>
        <v>9973</v>
      </c>
      <c r="AF200" s="586" t="e">
        <f t="shared" si="264"/>
        <v>#REF!</v>
      </c>
      <c r="AG200" s="586" t="e">
        <f t="shared" si="265"/>
        <v>#REF!</v>
      </c>
      <c r="AH200" s="586">
        <f t="shared" si="266"/>
        <v>9973</v>
      </c>
      <c r="AI200" s="586" t="e">
        <f t="shared" si="267"/>
        <v>#REF!</v>
      </c>
      <c r="AJ200" s="586" t="e">
        <f t="shared" si="268"/>
        <v>#REF!</v>
      </c>
    </row>
    <row r="201" spans="1:36" x14ac:dyDescent="0.2">
      <c r="A201" s="30" t="s">
        <v>476</v>
      </c>
      <c r="B201" s="576" t="s">
        <v>446</v>
      </c>
      <c r="C201" s="589" t="s">
        <v>253</v>
      </c>
      <c r="D201" s="62">
        <v>9973</v>
      </c>
      <c r="E201" s="586">
        <f>'SB(1-15)'!I41+'SB (16-31)'!I32</f>
        <v>0</v>
      </c>
      <c r="F201" s="586" t="e">
        <f>#REF!+'SB (16-31)'!J32</f>
        <v>#REF!</v>
      </c>
      <c r="G201" s="586" t="e">
        <f>#REF!+'SB (16-31)'!K32</f>
        <v>#REF!</v>
      </c>
      <c r="H201" s="586" t="e">
        <f>#REF!+'SB (16-31)'!L32</f>
        <v>#REF!</v>
      </c>
      <c r="I201" s="586" t="e">
        <f>#REF!+'SB (16-31)'!M32</f>
        <v>#REF!</v>
      </c>
      <c r="J201" s="586" t="e">
        <f>#REF!</f>
        <v>#REF!</v>
      </c>
      <c r="K201" s="586" t="e">
        <f>#REF!+'SB (16-31)'!O32</f>
        <v>#REF!</v>
      </c>
      <c r="L201" s="586" t="e">
        <f>#REF!+'SB (16-31)'!P32</f>
        <v>#REF!</v>
      </c>
      <c r="M201" s="586" t="e">
        <f>#REF!+'SB (16-31)'!R32</f>
        <v>#REF!</v>
      </c>
      <c r="N201" s="586">
        <v>99.73</v>
      </c>
      <c r="O201" s="586" t="e">
        <f>#REF!</f>
        <v>#REF!</v>
      </c>
      <c r="P201" s="586" t="e">
        <f>#REF!</f>
        <v>#REF!</v>
      </c>
      <c r="Q201" s="586" t="e">
        <f t="shared" si="258"/>
        <v>#REF!</v>
      </c>
      <c r="R201" s="586" t="e">
        <f>#REF!</f>
        <v>#REF!</v>
      </c>
      <c r="S201" s="586" t="e">
        <f>#REF!</f>
        <v>#REF!</v>
      </c>
      <c r="T201" s="586" t="e">
        <f t="shared" si="259"/>
        <v>#REF!</v>
      </c>
      <c r="U201" s="586" t="e">
        <f>#REF!+'SB (16-31)'!X32</f>
        <v>#REF!</v>
      </c>
      <c r="V201" s="586">
        <f>'SB (16-31)'!V32</f>
        <v>271.5</v>
      </c>
      <c r="W201" s="586">
        <f>'SB (16-31)'!W32</f>
        <v>271.5</v>
      </c>
      <c r="X201" s="586" t="e">
        <f t="shared" si="260"/>
        <v>#REF!</v>
      </c>
      <c r="Y201" s="586" t="e">
        <f>#REF!+'SB (16-31)'!AA32</f>
        <v>#REF!</v>
      </c>
      <c r="Z201" s="586" t="e">
        <f>#REF!+'SB (16-31)'!#REF!</f>
        <v>#REF!</v>
      </c>
      <c r="AA201" s="586" t="e">
        <f t="shared" si="261"/>
        <v>#REF!</v>
      </c>
      <c r="AB201" s="586">
        <f>'SB (16-31)'!U32</f>
        <v>0</v>
      </c>
      <c r="AC201" s="586" t="e">
        <f t="shared" si="262"/>
        <v>#REF!</v>
      </c>
      <c r="AE201" s="586">
        <f t="shared" si="263"/>
        <v>9973</v>
      </c>
      <c r="AF201" s="586" t="e">
        <f t="shared" si="264"/>
        <v>#REF!</v>
      </c>
      <c r="AG201" s="586" t="e">
        <f t="shared" si="265"/>
        <v>#REF!</v>
      </c>
      <c r="AH201" s="586">
        <f t="shared" si="266"/>
        <v>9973</v>
      </c>
      <c r="AI201" s="586" t="e">
        <f t="shared" si="267"/>
        <v>#REF!</v>
      </c>
      <c r="AJ201" s="586" t="e">
        <f t="shared" si="268"/>
        <v>#REF!</v>
      </c>
    </row>
    <row r="202" spans="1:36" x14ac:dyDescent="0.2">
      <c r="A202" s="30" t="s">
        <v>37</v>
      </c>
      <c r="B202" s="576" t="s">
        <v>37</v>
      </c>
      <c r="C202" s="586"/>
      <c r="D202" s="450">
        <f>SUM(D191:D201)</f>
        <v>200376</v>
      </c>
      <c r="E202" s="450" t="e">
        <f t="shared" ref="E202:AC202" si="269">SUM(E191:E201)</f>
        <v>#REF!</v>
      </c>
      <c r="F202" s="450" t="e">
        <f t="shared" si="269"/>
        <v>#REF!</v>
      </c>
      <c r="G202" s="450" t="e">
        <f t="shared" si="269"/>
        <v>#REF!</v>
      </c>
      <c r="H202" s="450" t="e">
        <f t="shared" si="269"/>
        <v>#REF!</v>
      </c>
      <c r="I202" s="450" t="e">
        <f t="shared" si="269"/>
        <v>#REF!</v>
      </c>
      <c r="J202" s="450" t="e">
        <f t="shared" si="269"/>
        <v>#REF!</v>
      </c>
      <c r="K202" s="450" t="e">
        <f t="shared" si="269"/>
        <v>#REF!</v>
      </c>
      <c r="L202" s="450" t="e">
        <f t="shared" si="269"/>
        <v>#REF!</v>
      </c>
      <c r="M202" s="450" t="e">
        <f t="shared" si="269"/>
        <v>#REF!</v>
      </c>
      <c r="N202" s="450">
        <f>SUM(N191:N201)</f>
        <v>1099.46</v>
      </c>
      <c r="O202" s="450" t="e">
        <f t="shared" si="269"/>
        <v>#REF!</v>
      </c>
      <c r="P202" s="450" t="e">
        <f t="shared" si="269"/>
        <v>#REF!</v>
      </c>
      <c r="Q202" s="450" t="e">
        <f t="shared" si="269"/>
        <v>#REF!</v>
      </c>
      <c r="R202" s="450" t="e">
        <f t="shared" si="269"/>
        <v>#REF!</v>
      </c>
      <c r="S202" s="450" t="e">
        <f t="shared" si="269"/>
        <v>#REF!</v>
      </c>
      <c r="T202" s="450" t="e">
        <f t="shared" si="269"/>
        <v>#REF!</v>
      </c>
      <c r="U202" s="450" t="e">
        <f t="shared" si="269"/>
        <v>#REF!</v>
      </c>
      <c r="V202" s="450" t="e">
        <f t="shared" si="269"/>
        <v>#REF!</v>
      </c>
      <c r="W202" s="450" t="e">
        <f t="shared" si="269"/>
        <v>#REF!</v>
      </c>
      <c r="X202" s="450" t="e">
        <f t="shared" si="269"/>
        <v>#REF!</v>
      </c>
      <c r="Y202" s="450" t="e">
        <f t="shared" si="269"/>
        <v>#REF!</v>
      </c>
      <c r="Z202" s="450" t="e">
        <f t="shared" si="269"/>
        <v>#REF!</v>
      </c>
      <c r="AA202" s="450" t="e">
        <f t="shared" si="269"/>
        <v>#REF!</v>
      </c>
      <c r="AB202" s="450" t="e">
        <f t="shared" si="269"/>
        <v>#REF!</v>
      </c>
      <c r="AC202" s="450" t="e">
        <f t="shared" si="269"/>
        <v>#REF!</v>
      </c>
      <c r="AE202" s="601">
        <f>SUM(AE191:AE201)</f>
        <v>200376</v>
      </c>
      <c r="AF202" s="586"/>
      <c r="AG202" s="586"/>
      <c r="AH202" s="586"/>
      <c r="AI202" s="586"/>
      <c r="AJ202" s="586"/>
    </row>
    <row r="203" spans="1:36" ht="13.5" thickBot="1" x14ac:dyDescent="0.25">
      <c r="A203" s="593" t="s">
        <v>582</v>
      </c>
      <c r="B203" s="584"/>
      <c r="C203" s="597"/>
      <c r="D203" s="366">
        <f>D202+D189+D177</f>
        <v>992878</v>
      </c>
      <c r="E203" s="366" t="e">
        <f t="shared" ref="E203:AC203" si="270">E202+E189+E177</f>
        <v>#REF!</v>
      </c>
      <c r="F203" s="366" t="e">
        <f t="shared" si="270"/>
        <v>#REF!</v>
      </c>
      <c r="G203" s="366" t="e">
        <f t="shared" si="270"/>
        <v>#REF!</v>
      </c>
      <c r="H203" s="366" t="e">
        <f t="shared" si="270"/>
        <v>#REF!</v>
      </c>
      <c r="I203" s="366" t="e">
        <f t="shared" si="270"/>
        <v>#REF!</v>
      </c>
      <c r="J203" s="366" t="e">
        <f t="shared" si="270"/>
        <v>#REF!</v>
      </c>
      <c r="K203" s="366" t="e">
        <f t="shared" si="270"/>
        <v>#REF!</v>
      </c>
      <c r="L203" s="366" t="e">
        <f t="shared" si="270"/>
        <v>#REF!</v>
      </c>
      <c r="M203" s="366" t="e">
        <f t="shared" si="270"/>
        <v>#REF!</v>
      </c>
      <c r="N203" s="366">
        <f t="shared" si="270"/>
        <v>2488</v>
      </c>
      <c r="O203" s="366" t="e">
        <f t="shared" si="270"/>
        <v>#REF!</v>
      </c>
      <c r="P203" s="366" t="e">
        <f t="shared" si="270"/>
        <v>#REF!</v>
      </c>
      <c r="Q203" s="366" t="e">
        <f t="shared" si="270"/>
        <v>#REF!</v>
      </c>
      <c r="R203" s="366" t="e">
        <f t="shared" si="270"/>
        <v>#REF!</v>
      </c>
      <c r="S203" s="366" t="e">
        <f t="shared" si="270"/>
        <v>#REF!</v>
      </c>
      <c r="T203" s="366" t="e">
        <f t="shared" si="270"/>
        <v>#REF!</v>
      </c>
      <c r="U203" s="366" t="e">
        <f t="shared" si="270"/>
        <v>#REF!</v>
      </c>
      <c r="V203" s="366" t="e">
        <f t="shared" si="270"/>
        <v>#REF!</v>
      </c>
      <c r="W203" s="366" t="e">
        <f t="shared" si="270"/>
        <v>#REF!</v>
      </c>
      <c r="X203" s="366" t="e">
        <f t="shared" si="270"/>
        <v>#REF!</v>
      </c>
      <c r="Y203" s="366" t="e">
        <f t="shared" si="270"/>
        <v>#REF!</v>
      </c>
      <c r="Z203" s="366" t="e">
        <f t="shared" si="270"/>
        <v>#REF!</v>
      </c>
      <c r="AA203" s="366" t="e">
        <f t="shared" si="270"/>
        <v>#REF!</v>
      </c>
      <c r="AB203" s="366" t="e">
        <f t="shared" si="270"/>
        <v>#REF!</v>
      </c>
      <c r="AC203" s="366" t="e">
        <f t="shared" si="270"/>
        <v>#REF!</v>
      </c>
      <c r="AE203" s="586"/>
      <c r="AF203" s="586"/>
      <c r="AG203" s="586"/>
      <c r="AH203" s="586"/>
      <c r="AI203" s="586"/>
      <c r="AJ203" s="586"/>
    </row>
    <row r="204" spans="1:36" ht="13.5" thickTop="1" x14ac:dyDescent="0.2">
      <c r="E204" s="566"/>
      <c r="Y204" s="566" t="e">
        <f>Y203+Y170+Y125+Y80+Y40</f>
        <v>#REF!</v>
      </c>
    </row>
  </sheetData>
  <mergeCells count="36">
    <mergeCell ref="AC1:AC3"/>
    <mergeCell ref="AE2:AG2"/>
    <mergeCell ref="AE1:AG1"/>
    <mergeCell ref="K2:K3"/>
    <mergeCell ref="L2:L3"/>
    <mergeCell ref="M2:M3"/>
    <mergeCell ref="O2:P2"/>
    <mergeCell ref="Q2:Q3"/>
    <mergeCell ref="AH2:AJ2"/>
    <mergeCell ref="AH1:AJ1"/>
    <mergeCell ref="S2:S3"/>
    <mergeCell ref="T2:T3"/>
    <mergeCell ref="Y1:AA1"/>
    <mergeCell ref="Y2:Y3"/>
    <mergeCell ref="Z2:Z3"/>
    <mergeCell ref="AA2:AA3"/>
    <mergeCell ref="U1:X1"/>
    <mergeCell ref="U2:U3"/>
    <mergeCell ref="V2:V3"/>
    <mergeCell ref="W2:W3"/>
    <mergeCell ref="X2:X3"/>
    <mergeCell ref="R1:T1"/>
    <mergeCell ref="R2:R3"/>
    <mergeCell ref="AB1:AB3"/>
    <mergeCell ref="A1:A3"/>
    <mergeCell ref="B1:B3"/>
    <mergeCell ref="C1:C3"/>
    <mergeCell ref="D1:D3"/>
    <mergeCell ref="E1:Q1"/>
    <mergeCell ref="E2:E3"/>
    <mergeCell ref="F2:F3"/>
    <mergeCell ref="G2:G3"/>
    <mergeCell ref="H2:H3"/>
    <mergeCell ref="J2:J3"/>
    <mergeCell ref="I2:I3"/>
    <mergeCell ref="N2:N3"/>
  </mergeCells>
  <pageMargins left="0.7" right="0.7" top="0.75" bottom="0.75" header="0.3" footer="0.3"/>
  <pageSetup orientation="portrait"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B3:D8"/>
  <sheetViews>
    <sheetView workbookViewId="0">
      <selection activeCell="F19" sqref="F19"/>
    </sheetView>
  </sheetViews>
  <sheetFormatPr defaultRowHeight="12.75" x14ac:dyDescent="0.2"/>
  <cols>
    <col min="2" max="2" width="16.5703125" style="540" customWidth="1"/>
    <col min="3" max="3" width="14.28515625" customWidth="1"/>
    <col min="4" max="4" width="13.140625" customWidth="1"/>
  </cols>
  <sheetData>
    <row r="3" spans="2:4" x14ac:dyDescent="0.2">
      <c r="C3" s="566">
        <f>'Reg1(16-31)'!AD59</f>
        <v>261985.45</v>
      </c>
      <c r="D3" s="566"/>
    </row>
    <row r="4" spans="2:4" x14ac:dyDescent="0.2">
      <c r="C4" s="566" t="e">
        <f>#REF!</f>
        <v>#REF!</v>
      </c>
      <c r="D4" s="566"/>
    </row>
    <row r="5" spans="2:4" x14ac:dyDescent="0.2">
      <c r="C5" s="566">
        <f>'Reg3(16-31)'!AE66</f>
        <v>381200.39999999997</v>
      </c>
      <c r="D5" s="566"/>
    </row>
    <row r="6" spans="2:4" x14ac:dyDescent="0.2">
      <c r="C6" s="566">
        <f>'Reg4(16-31)'!AA62</f>
        <v>209050.96</v>
      </c>
      <c r="D6" s="566"/>
    </row>
    <row r="7" spans="2:4" x14ac:dyDescent="0.2">
      <c r="C7" s="88">
        <f>'SB (16-31)'!AD44</f>
        <v>377608.69</v>
      </c>
      <c r="D7" s="566"/>
    </row>
    <row r="8" spans="2:4" x14ac:dyDescent="0.2">
      <c r="B8" s="529"/>
      <c r="C8" s="566" t="e">
        <f>SUM(C3:C7)</f>
        <v>#REF!</v>
      </c>
      <c r="D8" s="56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vt:i4>
      </vt:variant>
    </vt:vector>
  </HeadingPairs>
  <TitlesOfParts>
    <vt:vector size="49" baseType="lpstr">
      <vt:lpstr>JO#1</vt:lpstr>
      <vt:lpstr>JOmto</vt:lpstr>
      <vt:lpstr>JO#02</vt:lpstr>
      <vt:lpstr>JO#LDRRM</vt:lpstr>
      <vt:lpstr>JO#5%DP</vt:lpstr>
      <vt:lpstr>JO#20%LDC</vt:lpstr>
      <vt:lpstr>JO#20%DF</vt:lpstr>
      <vt:lpstr>JO#MHO</vt:lpstr>
      <vt:lpstr>JO#SB</vt:lpstr>
      <vt:lpstr>Casual allow SB</vt:lpstr>
      <vt:lpstr>Casual allow</vt:lpstr>
      <vt:lpstr>CasualMHO1-15</vt:lpstr>
      <vt:lpstr>CasualMTO16-31</vt:lpstr>
      <vt:lpstr>CasualMHO16-31</vt:lpstr>
      <vt:lpstr>Casual 1-15 (SB)</vt:lpstr>
      <vt:lpstr>CasualSb16-31</vt:lpstr>
      <vt:lpstr>Casual 1-15</vt:lpstr>
      <vt:lpstr>Casual 16-31</vt:lpstr>
      <vt:lpstr>Reg1(1-15)</vt:lpstr>
      <vt:lpstr>Reg.2(1-15)</vt:lpstr>
      <vt:lpstr>Reg.3(1-15)</vt:lpstr>
      <vt:lpstr>Reg.4(1-15)</vt:lpstr>
      <vt:lpstr>SB(1-15)</vt:lpstr>
      <vt:lpstr>Reg1(16-31)</vt:lpstr>
      <vt:lpstr>RNEL115</vt:lpstr>
      <vt:lpstr>Reg2 (16-31)</vt:lpstr>
      <vt:lpstr>Reg3(16-31)</vt:lpstr>
      <vt:lpstr>Reg4(16-31)</vt:lpstr>
      <vt:lpstr>new hired co terminus</vt:lpstr>
      <vt:lpstr>SB (16-31)</vt:lpstr>
      <vt:lpstr>adjstmnt</vt:lpstr>
      <vt:lpstr>SBadjstmnt (2)</vt:lpstr>
      <vt:lpstr>Sheet1</vt:lpstr>
      <vt:lpstr>RECAP</vt:lpstr>
      <vt:lpstr>total2</vt:lpstr>
      <vt:lpstr>adjstmnt!Print_Area</vt:lpstr>
      <vt:lpstr>'Reg.2(1-15)'!Print_Area</vt:lpstr>
      <vt:lpstr>'Reg1(1-15)'!Print_Area</vt:lpstr>
      <vt:lpstr>'Reg1(16-31)'!Print_Area</vt:lpstr>
      <vt:lpstr>'Reg2 (16-31)'!Print_Area</vt:lpstr>
      <vt:lpstr>'Reg3(16-31)'!Print_Area</vt:lpstr>
      <vt:lpstr>RNEL115!Print_Area</vt:lpstr>
      <vt:lpstr>'SB(1-15)'!Print_Area</vt:lpstr>
      <vt:lpstr>'SBadjstmnt (2)'!Print_Area</vt:lpstr>
      <vt:lpstr>'Casual 1-15'!Print_Titles</vt:lpstr>
      <vt:lpstr>'Casual 1-15 (SB)'!Print_Titles</vt:lpstr>
      <vt:lpstr>'Casual 16-31'!Print_Titles</vt:lpstr>
      <vt:lpstr>'Casual allow'!Print_Titles</vt:lpstr>
      <vt:lpstr>'Casual allow SB'!Print_Titles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Pagsanjan</dc:creator>
  <cp:lastModifiedBy>John Peñaredondo</cp:lastModifiedBy>
  <cp:lastPrinted>2026-02-24T08:36:46Z</cp:lastPrinted>
  <dcterms:created xsi:type="dcterms:W3CDTF">2006-08-22T16:56:26Z</dcterms:created>
  <dcterms:modified xsi:type="dcterms:W3CDTF">2026-05-01T10:03:11Z</dcterms:modified>
</cp:coreProperties>
</file>